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omments1.xml" ContentType="application/vnd.openxmlformats-officedocument.spreadsheetml.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HP\Desktop\tutor\"/>
    </mc:Choice>
  </mc:AlternateContent>
  <bookViews>
    <workbookView xWindow="0" yWindow="456" windowWidth="7476" windowHeight="4308" firstSheet="8" activeTab="8"/>
  </bookViews>
  <sheets>
    <sheet name="Raw_Data" sheetId="1" r:id="rId1"/>
    <sheet name="Obj1_Volume_and_Value" sheetId="2" r:id="rId2"/>
    <sheet name="Obj2_High_Value_Customers" sheetId="3" r:id="rId3"/>
    <sheet name="Obj3_Product_Popularity" sheetId="4" r:id="rId4"/>
    <sheet name="Obj4_Geographic_Distribution" sheetId="5" r:id="rId5"/>
    <sheet name="Obj5_Growth_Trajectory" sheetId="6" r:id="rId6"/>
    <sheet name="Obj6_Business_Drivers_Summary" sheetId="7" r:id="rId7"/>
    <sheet name="Pivot_Engine" sheetId="9" state="hidden" r:id="rId8"/>
    <sheet name="Executive_Dashboard" sheetId="8" r:id="rId9"/>
  </sheets>
  <definedNames>
    <definedName name="_xlnm.Print_Area" localSheetId="8">Executive_Dashboard!$A$1:$W$64</definedName>
    <definedName name="Slicer_Account_Type">#N/A</definedName>
    <definedName name="Slicer_Payment_Method">#N/A</definedName>
    <definedName name="Slicer_State">#N/A</definedName>
  </definedNames>
  <calcPr calcId="162913"/>
  <pivotCaches>
    <pivotCache cacheId="14"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calcChain.xml><?xml version="1.0" encoding="utf-8"?>
<calcChain xmlns="http://schemas.openxmlformats.org/spreadsheetml/2006/main">
  <c r="Q54" i="8" l="1"/>
  <c r="Q53" i="8"/>
  <c r="Q52" i="8"/>
  <c r="Q51" i="8"/>
  <c r="Q50" i="8"/>
  <c r="Q49" i="8"/>
  <c r="Q48" i="8"/>
  <c r="Q47" i="8"/>
  <c r="Q46" i="8"/>
  <c r="Q45" i="8"/>
  <c r="C5" i="9"/>
  <c r="C3" i="9"/>
  <c r="B8" i="6"/>
  <c r="B9" i="6" s="1"/>
  <c r="D7" i="6"/>
  <c r="C7" i="6"/>
  <c r="E24" i="5"/>
  <c r="H24" i="5" s="1"/>
  <c r="D24" i="5"/>
  <c r="E23" i="5"/>
  <c r="H23" i="5" s="1"/>
  <c r="D23" i="5"/>
  <c r="G23" i="5" s="1"/>
  <c r="E22" i="5"/>
  <c r="D22" i="5"/>
  <c r="G22" i="5" s="1"/>
  <c r="U16" i="5"/>
  <c r="T16" i="5"/>
  <c r="V16" i="5" s="1"/>
  <c r="U15" i="5"/>
  <c r="T15" i="5"/>
  <c r="V15" i="5" s="1"/>
  <c r="V14" i="5"/>
  <c r="U14" i="5"/>
  <c r="T14" i="5"/>
  <c r="U13" i="5"/>
  <c r="T13" i="5"/>
  <c r="V13" i="5" s="1"/>
  <c r="U12" i="5"/>
  <c r="T12" i="5"/>
  <c r="V12" i="5" s="1"/>
  <c r="U11" i="5"/>
  <c r="T11" i="5"/>
  <c r="V11" i="5" s="1"/>
  <c r="U10" i="5"/>
  <c r="T10" i="5"/>
  <c r="V10" i="5" s="1"/>
  <c r="U9" i="5"/>
  <c r="T9" i="5"/>
  <c r="V9" i="5" s="1"/>
  <c r="U8" i="5"/>
  <c r="T8" i="5"/>
  <c r="V8" i="5" s="1"/>
  <c r="U7" i="5"/>
  <c r="T7" i="5"/>
  <c r="V7" i="5" s="1"/>
  <c r="F21" i="4"/>
  <c r="E21" i="4"/>
  <c r="C21" i="4"/>
  <c r="F20" i="4"/>
  <c r="E20" i="4"/>
  <c r="C20" i="4"/>
  <c r="F19" i="4"/>
  <c r="E19" i="4"/>
  <c r="C19" i="4"/>
  <c r="F18" i="4"/>
  <c r="E18" i="4"/>
  <c r="C18" i="4"/>
  <c r="F11" i="4"/>
  <c r="E11" i="4"/>
  <c r="C11" i="4"/>
  <c r="F10" i="4"/>
  <c r="E10" i="4"/>
  <c r="C10" i="4"/>
  <c r="F9" i="4"/>
  <c r="E9" i="4"/>
  <c r="C9" i="4"/>
  <c r="F8" i="4"/>
  <c r="E8" i="4"/>
  <c r="C8" i="4"/>
  <c r="F7" i="4"/>
  <c r="E7" i="4"/>
  <c r="C7" i="4"/>
  <c r="V356" i="3"/>
  <c r="U356" i="3"/>
  <c r="W356" i="3" s="1"/>
  <c r="T356" i="3"/>
  <c r="S356" i="3"/>
  <c r="V355" i="3"/>
  <c r="U355" i="3"/>
  <c r="W355" i="3" s="1"/>
  <c r="T355" i="3"/>
  <c r="S355" i="3"/>
  <c r="W354" i="3"/>
  <c r="V354" i="3"/>
  <c r="U354" i="3"/>
  <c r="T354" i="3"/>
  <c r="S354" i="3"/>
  <c r="V353" i="3"/>
  <c r="U353" i="3"/>
  <c r="W353" i="3" s="1"/>
  <c r="T353" i="3"/>
  <c r="S353" i="3"/>
  <c r="V352" i="3"/>
  <c r="U352" i="3"/>
  <c r="W352" i="3" s="1"/>
  <c r="T352" i="3"/>
  <c r="S352" i="3"/>
  <c r="V351" i="3"/>
  <c r="U351" i="3"/>
  <c r="W351" i="3" s="1"/>
  <c r="T351" i="3"/>
  <c r="S351" i="3"/>
  <c r="V350" i="3"/>
  <c r="U350" i="3"/>
  <c r="W350" i="3" s="1"/>
  <c r="T350" i="3"/>
  <c r="S350" i="3"/>
  <c r="V349" i="3"/>
  <c r="U349" i="3"/>
  <c r="W349" i="3" s="1"/>
  <c r="T349" i="3"/>
  <c r="S349" i="3"/>
  <c r="V348" i="3"/>
  <c r="U348" i="3"/>
  <c r="W348" i="3" s="1"/>
  <c r="T348" i="3"/>
  <c r="S348" i="3"/>
  <c r="V347" i="3"/>
  <c r="U347" i="3"/>
  <c r="W347" i="3" s="1"/>
  <c r="T347" i="3"/>
  <c r="S347" i="3"/>
  <c r="V346" i="3"/>
  <c r="U346" i="3"/>
  <c r="W346" i="3" s="1"/>
  <c r="T346" i="3"/>
  <c r="S346" i="3"/>
  <c r="W345" i="3"/>
  <c r="V345" i="3"/>
  <c r="U345" i="3"/>
  <c r="T345" i="3"/>
  <c r="S345" i="3"/>
  <c r="W344" i="3"/>
  <c r="V344" i="3"/>
  <c r="U344" i="3"/>
  <c r="T344" i="3"/>
  <c r="S344" i="3"/>
  <c r="V343" i="3"/>
  <c r="U343" i="3"/>
  <c r="W343" i="3" s="1"/>
  <c r="T343" i="3"/>
  <c r="S343" i="3"/>
  <c r="V342" i="3"/>
  <c r="U342" i="3"/>
  <c r="W342" i="3" s="1"/>
  <c r="T342" i="3"/>
  <c r="S342" i="3"/>
  <c r="V341" i="3"/>
  <c r="U341" i="3"/>
  <c r="W341" i="3" s="1"/>
  <c r="T341" i="3"/>
  <c r="S341" i="3"/>
  <c r="V340" i="3"/>
  <c r="U340" i="3"/>
  <c r="W340" i="3" s="1"/>
  <c r="T340" i="3"/>
  <c r="S340" i="3"/>
  <c r="V339" i="3"/>
  <c r="U339" i="3"/>
  <c r="W339" i="3" s="1"/>
  <c r="T339" i="3"/>
  <c r="S339" i="3"/>
  <c r="V338" i="3"/>
  <c r="U338" i="3"/>
  <c r="W338" i="3" s="1"/>
  <c r="T338" i="3"/>
  <c r="S338" i="3"/>
  <c r="V337" i="3"/>
  <c r="U337" i="3"/>
  <c r="W337" i="3" s="1"/>
  <c r="T337" i="3"/>
  <c r="S337" i="3"/>
  <c r="V336" i="3"/>
  <c r="U336" i="3"/>
  <c r="W336" i="3" s="1"/>
  <c r="T336" i="3"/>
  <c r="S336" i="3"/>
  <c r="V335" i="3"/>
  <c r="U335" i="3"/>
  <c r="W335" i="3" s="1"/>
  <c r="T335" i="3"/>
  <c r="S335" i="3"/>
  <c r="V334" i="3"/>
  <c r="U334" i="3"/>
  <c r="W334" i="3" s="1"/>
  <c r="T334" i="3"/>
  <c r="S334" i="3"/>
  <c r="V333" i="3"/>
  <c r="U333" i="3"/>
  <c r="W333" i="3" s="1"/>
  <c r="T333" i="3"/>
  <c r="S333" i="3"/>
  <c r="V332" i="3"/>
  <c r="U332" i="3"/>
  <c r="W332" i="3" s="1"/>
  <c r="T332" i="3"/>
  <c r="S332" i="3"/>
  <c r="V331" i="3"/>
  <c r="U331" i="3"/>
  <c r="W331" i="3" s="1"/>
  <c r="T331" i="3"/>
  <c r="S331" i="3"/>
  <c r="V330" i="3"/>
  <c r="U330" i="3"/>
  <c r="W330" i="3" s="1"/>
  <c r="T330" i="3"/>
  <c r="S330" i="3"/>
  <c r="V329" i="3"/>
  <c r="U329" i="3"/>
  <c r="W329" i="3" s="1"/>
  <c r="T329" i="3"/>
  <c r="S329" i="3"/>
  <c r="W328" i="3"/>
  <c r="V328" i="3"/>
  <c r="U328" i="3"/>
  <c r="T328" i="3"/>
  <c r="S328" i="3"/>
  <c r="V327" i="3"/>
  <c r="U327" i="3"/>
  <c r="W327" i="3" s="1"/>
  <c r="T327" i="3"/>
  <c r="S327" i="3"/>
  <c r="V326" i="3"/>
  <c r="U326" i="3"/>
  <c r="W326" i="3" s="1"/>
  <c r="T326" i="3"/>
  <c r="S326" i="3"/>
  <c r="V325" i="3"/>
  <c r="U325" i="3"/>
  <c r="W325" i="3" s="1"/>
  <c r="T325" i="3"/>
  <c r="S325" i="3"/>
  <c r="W324" i="3"/>
  <c r="V324" i="3"/>
  <c r="U324" i="3"/>
  <c r="T324" i="3"/>
  <c r="S324" i="3"/>
  <c r="V323" i="3"/>
  <c r="U323" i="3"/>
  <c r="W323" i="3" s="1"/>
  <c r="T323" i="3"/>
  <c r="S323" i="3"/>
  <c r="V322" i="3"/>
  <c r="U322" i="3"/>
  <c r="W322" i="3" s="1"/>
  <c r="T322" i="3"/>
  <c r="S322" i="3"/>
  <c r="V321" i="3"/>
  <c r="U321" i="3"/>
  <c r="W321" i="3" s="1"/>
  <c r="T321" i="3"/>
  <c r="S321" i="3"/>
  <c r="V320" i="3"/>
  <c r="U320" i="3"/>
  <c r="W320" i="3" s="1"/>
  <c r="T320" i="3"/>
  <c r="S320" i="3"/>
  <c r="V319" i="3"/>
  <c r="U319" i="3"/>
  <c r="W319" i="3" s="1"/>
  <c r="T319" i="3"/>
  <c r="S319" i="3"/>
  <c r="V318" i="3"/>
  <c r="U318" i="3"/>
  <c r="W318" i="3" s="1"/>
  <c r="T318" i="3"/>
  <c r="S318" i="3"/>
  <c r="W317" i="3"/>
  <c r="V317" i="3"/>
  <c r="U317" i="3"/>
  <c r="T317" i="3"/>
  <c r="S317" i="3"/>
  <c r="V316" i="3"/>
  <c r="U316" i="3"/>
  <c r="W316" i="3" s="1"/>
  <c r="T316" i="3"/>
  <c r="S316" i="3"/>
  <c r="V315" i="3"/>
  <c r="U315" i="3"/>
  <c r="W315" i="3" s="1"/>
  <c r="T315" i="3"/>
  <c r="S315" i="3"/>
  <c r="V314" i="3"/>
  <c r="U314" i="3"/>
  <c r="W314" i="3" s="1"/>
  <c r="T314" i="3"/>
  <c r="S314" i="3"/>
  <c r="V313" i="3"/>
  <c r="U313" i="3"/>
  <c r="W313" i="3" s="1"/>
  <c r="T313" i="3"/>
  <c r="S313" i="3"/>
  <c r="V312" i="3"/>
  <c r="U312" i="3"/>
  <c r="W312" i="3" s="1"/>
  <c r="T312" i="3"/>
  <c r="S312" i="3"/>
  <c r="V311" i="3"/>
  <c r="U311" i="3"/>
  <c r="W311" i="3" s="1"/>
  <c r="T311" i="3"/>
  <c r="S311" i="3"/>
  <c r="V310" i="3"/>
  <c r="U310" i="3"/>
  <c r="W310" i="3" s="1"/>
  <c r="T310" i="3"/>
  <c r="S310" i="3"/>
  <c r="W309" i="3"/>
  <c r="V309" i="3"/>
  <c r="U309" i="3"/>
  <c r="T309" i="3"/>
  <c r="S309" i="3"/>
  <c r="W308" i="3"/>
  <c r="V308" i="3"/>
  <c r="U308" i="3"/>
  <c r="T308" i="3"/>
  <c r="S308" i="3"/>
  <c r="V307" i="3"/>
  <c r="U307" i="3"/>
  <c r="W307" i="3" s="1"/>
  <c r="T307" i="3"/>
  <c r="S307" i="3"/>
  <c r="V306" i="3"/>
  <c r="U306" i="3"/>
  <c r="W306" i="3" s="1"/>
  <c r="T306" i="3"/>
  <c r="S306" i="3"/>
  <c r="V305" i="3"/>
  <c r="U305" i="3"/>
  <c r="W305" i="3" s="1"/>
  <c r="T305" i="3"/>
  <c r="S305" i="3"/>
  <c r="V304" i="3"/>
  <c r="U304" i="3"/>
  <c r="W304" i="3" s="1"/>
  <c r="T304" i="3"/>
  <c r="S304" i="3"/>
  <c r="V303" i="3"/>
  <c r="U303" i="3"/>
  <c r="W303" i="3" s="1"/>
  <c r="T303" i="3"/>
  <c r="S303" i="3"/>
  <c r="V302" i="3"/>
  <c r="U302" i="3"/>
  <c r="W302" i="3" s="1"/>
  <c r="T302" i="3"/>
  <c r="S302" i="3"/>
  <c r="W301" i="3"/>
  <c r="V301" i="3"/>
  <c r="U301" i="3"/>
  <c r="T301" i="3"/>
  <c r="S301" i="3"/>
  <c r="V300" i="3"/>
  <c r="U300" i="3"/>
  <c r="W300" i="3" s="1"/>
  <c r="T300" i="3"/>
  <c r="S300" i="3"/>
  <c r="V299" i="3"/>
  <c r="U299" i="3"/>
  <c r="W299" i="3" s="1"/>
  <c r="T299" i="3"/>
  <c r="S299" i="3"/>
  <c r="V298" i="3"/>
  <c r="U298" i="3"/>
  <c r="W298" i="3" s="1"/>
  <c r="T298" i="3"/>
  <c r="S298" i="3"/>
  <c r="V297" i="3"/>
  <c r="U297" i="3"/>
  <c r="W297" i="3" s="1"/>
  <c r="T297" i="3"/>
  <c r="S297" i="3"/>
  <c r="V296" i="3"/>
  <c r="U296" i="3"/>
  <c r="W296" i="3" s="1"/>
  <c r="T296" i="3"/>
  <c r="S296" i="3"/>
  <c r="V295" i="3"/>
  <c r="U295" i="3"/>
  <c r="W295" i="3" s="1"/>
  <c r="T295" i="3"/>
  <c r="S295" i="3"/>
  <c r="V294" i="3"/>
  <c r="U294" i="3"/>
  <c r="W294" i="3" s="1"/>
  <c r="T294" i="3"/>
  <c r="S294" i="3"/>
  <c r="W293" i="3"/>
  <c r="V293" i="3"/>
  <c r="U293" i="3"/>
  <c r="T293" i="3"/>
  <c r="S293" i="3"/>
  <c r="W292" i="3"/>
  <c r="V292" i="3"/>
  <c r="U292" i="3"/>
  <c r="T292" i="3"/>
  <c r="S292" i="3"/>
  <c r="V291" i="3"/>
  <c r="U291" i="3"/>
  <c r="W291" i="3" s="1"/>
  <c r="T291" i="3"/>
  <c r="S291" i="3"/>
  <c r="V290" i="3"/>
  <c r="U290" i="3"/>
  <c r="W290" i="3" s="1"/>
  <c r="T290" i="3"/>
  <c r="S290" i="3"/>
  <c r="V289" i="3"/>
  <c r="U289" i="3"/>
  <c r="W289" i="3" s="1"/>
  <c r="T289" i="3"/>
  <c r="S289" i="3"/>
  <c r="V288" i="3"/>
  <c r="U288" i="3"/>
  <c r="W288" i="3" s="1"/>
  <c r="T288" i="3"/>
  <c r="S288" i="3"/>
  <c r="V287" i="3"/>
  <c r="U287" i="3"/>
  <c r="W287" i="3" s="1"/>
  <c r="T287" i="3"/>
  <c r="S287" i="3"/>
  <c r="V286" i="3"/>
  <c r="U286" i="3"/>
  <c r="W286" i="3" s="1"/>
  <c r="T286" i="3"/>
  <c r="S286" i="3"/>
  <c r="W285" i="3"/>
  <c r="V285" i="3"/>
  <c r="U285" i="3"/>
  <c r="T285" i="3"/>
  <c r="S285" i="3"/>
  <c r="V284" i="3"/>
  <c r="U284" i="3"/>
  <c r="W284" i="3" s="1"/>
  <c r="T284" i="3"/>
  <c r="S284" i="3"/>
  <c r="V283" i="3"/>
  <c r="U283" i="3"/>
  <c r="W283" i="3" s="1"/>
  <c r="T283" i="3"/>
  <c r="S283" i="3"/>
  <c r="V282" i="3"/>
  <c r="U282" i="3"/>
  <c r="W282" i="3" s="1"/>
  <c r="T282" i="3"/>
  <c r="S282" i="3"/>
  <c r="V281" i="3"/>
  <c r="U281" i="3"/>
  <c r="W281" i="3" s="1"/>
  <c r="T281" i="3"/>
  <c r="S281" i="3"/>
  <c r="V280" i="3"/>
  <c r="U280" i="3"/>
  <c r="W280" i="3" s="1"/>
  <c r="T280" i="3"/>
  <c r="S280" i="3"/>
  <c r="V279" i="3"/>
  <c r="U279" i="3"/>
  <c r="W279" i="3" s="1"/>
  <c r="T279" i="3"/>
  <c r="S279" i="3"/>
  <c r="V278" i="3"/>
  <c r="U278" i="3"/>
  <c r="W278" i="3" s="1"/>
  <c r="T278" i="3"/>
  <c r="S278" i="3"/>
  <c r="W277" i="3"/>
  <c r="V277" i="3"/>
  <c r="U277" i="3"/>
  <c r="T277" i="3"/>
  <c r="S277" i="3"/>
  <c r="W276" i="3"/>
  <c r="V276" i="3"/>
  <c r="U276" i="3"/>
  <c r="T276" i="3"/>
  <c r="S276" i="3"/>
  <c r="V275" i="3"/>
  <c r="U275" i="3"/>
  <c r="W275" i="3" s="1"/>
  <c r="T275" i="3"/>
  <c r="S275" i="3"/>
  <c r="V274" i="3"/>
  <c r="U274" i="3"/>
  <c r="W274" i="3" s="1"/>
  <c r="T274" i="3"/>
  <c r="S274" i="3"/>
  <c r="V273" i="3"/>
  <c r="U273" i="3"/>
  <c r="W273" i="3" s="1"/>
  <c r="T273" i="3"/>
  <c r="S273" i="3"/>
  <c r="V272" i="3"/>
  <c r="U272" i="3"/>
  <c r="W272" i="3" s="1"/>
  <c r="T272" i="3"/>
  <c r="S272" i="3"/>
  <c r="V271" i="3"/>
  <c r="U271" i="3"/>
  <c r="W271" i="3" s="1"/>
  <c r="T271" i="3"/>
  <c r="S271" i="3"/>
  <c r="V270" i="3"/>
  <c r="U270" i="3"/>
  <c r="W270" i="3" s="1"/>
  <c r="T270" i="3"/>
  <c r="S270" i="3"/>
  <c r="W269" i="3"/>
  <c r="V269" i="3"/>
  <c r="U269" i="3"/>
  <c r="T269" i="3"/>
  <c r="S269" i="3"/>
  <c r="V268" i="3"/>
  <c r="U268" i="3"/>
  <c r="W268" i="3" s="1"/>
  <c r="T268" i="3"/>
  <c r="S268" i="3"/>
  <c r="V267" i="3"/>
  <c r="U267" i="3"/>
  <c r="W267" i="3" s="1"/>
  <c r="T267" i="3"/>
  <c r="S267" i="3"/>
  <c r="V266" i="3"/>
  <c r="U266" i="3"/>
  <c r="W266" i="3" s="1"/>
  <c r="T266" i="3"/>
  <c r="S266" i="3"/>
  <c r="V265" i="3"/>
  <c r="U265" i="3"/>
  <c r="W265" i="3" s="1"/>
  <c r="T265" i="3"/>
  <c r="S265" i="3"/>
  <c r="V264" i="3"/>
  <c r="U264" i="3"/>
  <c r="W264" i="3" s="1"/>
  <c r="T264" i="3"/>
  <c r="S264" i="3"/>
  <c r="V263" i="3"/>
  <c r="U263" i="3"/>
  <c r="W263" i="3" s="1"/>
  <c r="T263" i="3"/>
  <c r="S263" i="3"/>
  <c r="V262" i="3"/>
  <c r="U262" i="3"/>
  <c r="W262" i="3" s="1"/>
  <c r="T262" i="3"/>
  <c r="S262" i="3"/>
  <c r="W261" i="3"/>
  <c r="V261" i="3"/>
  <c r="U261" i="3"/>
  <c r="T261" i="3"/>
  <c r="S261" i="3"/>
  <c r="W260" i="3"/>
  <c r="V260" i="3"/>
  <c r="U260" i="3"/>
  <c r="T260" i="3"/>
  <c r="S260" i="3"/>
  <c r="V259" i="3"/>
  <c r="U259" i="3"/>
  <c r="W259" i="3" s="1"/>
  <c r="T259" i="3"/>
  <c r="S259" i="3"/>
  <c r="V258" i="3"/>
  <c r="U258" i="3"/>
  <c r="W258" i="3" s="1"/>
  <c r="T258" i="3"/>
  <c r="S258" i="3"/>
  <c r="V257" i="3"/>
  <c r="U257" i="3"/>
  <c r="W257" i="3" s="1"/>
  <c r="T257" i="3"/>
  <c r="S257" i="3"/>
  <c r="V256" i="3"/>
  <c r="U256" i="3"/>
  <c r="W256" i="3" s="1"/>
  <c r="T256" i="3"/>
  <c r="S256" i="3"/>
  <c r="V255" i="3"/>
  <c r="U255" i="3"/>
  <c r="W255" i="3" s="1"/>
  <c r="T255" i="3"/>
  <c r="S255" i="3"/>
  <c r="V254" i="3"/>
  <c r="U254" i="3"/>
  <c r="W254" i="3" s="1"/>
  <c r="T254" i="3"/>
  <c r="S254" i="3"/>
  <c r="W253" i="3"/>
  <c r="V253" i="3"/>
  <c r="U253" i="3"/>
  <c r="T253" i="3"/>
  <c r="S253" i="3"/>
  <c r="V252" i="3"/>
  <c r="U252" i="3"/>
  <c r="W252" i="3" s="1"/>
  <c r="T252" i="3"/>
  <c r="S252" i="3"/>
  <c r="V251" i="3"/>
  <c r="U251" i="3"/>
  <c r="W251" i="3" s="1"/>
  <c r="T251" i="3"/>
  <c r="S251" i="3"/>
  <c r="V250" i="3"/>
  <c r="U250" i="3"/>
  <c r="W250" i="3" s="1"/>
  <c r="T250" i="3"/>
  <c r="S250" i="3"/>
  <c r="V249" i="3"/>
  <c r="U249" i="3"/>
  <c r="W249" i="3" s="1"/>
  <c r="T249" i="3"/>
  <c r="S249" i="3"/>
  <c r="V248" i="3"/>
  <c r="U248" i="3"/>
  <c r="W248" i="3" s="1"/>
  <c r="T248" i="3"/>
  <c r="S248" i="3"/>
  <c r="V247" i="3"/>
  <c r="U247" i="3"/>
  <c r="W247" i="3" s="1"/>
  <c r="T247" i="3"/>
  <c r="S247" i="3"/>
  <c r="W246" i="3"/>
  <c r="V246" i="3"/>
  <c r="U246" i="3"/>
  <c r="T246" i="3"/>
  <c r="S246" i="3"/>
  <c r="W245" i="3"/>
  <c r="V245" i="3"/>
  <c r="U245" i="3"/>
  <c r="T245" i="3"/>
  <c r="S245" i="3"/>
  <c r="V244" i="3"/>
  <c r="U244" i="3"/>
  <c r="W244" i="3" s="1"/>
  <c r="T244" i="3"/>
  <c r="S244" i="3"/>
  <c r="V243" i="3"/>
  <c r="U243" i="3"/>
  <c r="W243" i="3" s="1"/>
  <c r="T243" i="3"/>
  <c r="S243" i="3"/>
  <c r="V242" i="3"/>
  <c r="U242" i="3"/>
  <c r="W242" i="3" s="1"/>
  <c r="T242" i="3"/>
  <c r="S242" i="3"/>
  <c r="V241" i="3"/>
  <c r="U241" i="3"/>
  <c r="W241" i="3" s="1"/>
  <c r="T241" i="3"/>
  <c r="S241" i="3"/>
  <c r="V240" i="3"/>
  <c r="U240" i="3"/>
  <c r="W240" i="3" s="1"/>
  <c r="T240" i="3"/>
  <c r="S240" i="3"/>
  <c r="V239" i="3"/>
  <c r="U239" i="3"/>
  <c r="W239" i="3" s="1"/>
  <c r="T239" i="3"/>
  <c r="S239" i="3"/>
  <c r="W238" i="3"/>
  <c r="V238" i="3"/>
  <c r="U238" i="3"/>
  <c r="T238" i="3"/>
  <c r="S238" i="3"/>
  <c r="V237" i="3"/>
  <c r="U237" i="3"/>
  <c r="W237" i="3" s="1"/>
  <c r="T237" i="3"/>
  <c r="S237" i="3"/>
  <c r="V236" i="3"/>
  <c r="U236" i="3"/>
  <c r="W236" i="3" s="1"/>
  <c r="T236" i="3"/>
  <c r="S236" i="3"/>
  <c r="V235" i="3"/>
  <c r="U235" i="3"/>
  <c r="W235" i="3" s="1"/>
  <c r="T235" i="3"/>
  <c r="S235" i="3"/>
  <c r="V234" i="3"/>
  <c r="U234" i="3"/>
  <c r="W234" i="3" s="1"/>
  <c r="T234" i="3"/>
  <c r="S234" i="3"/>
  <c r="V233" i="3"/>
  <c r="U233" i="3"/>
  <c r="W233" i="3" s="1"/>
  <c r="T233" i="3"/>
  <c r="S233" i="3"/>
  <c r="V232" i="3"/>
  <c r="U232" i="3"/>
  <c r="W232" i="3" s="1"/>
  <c r="T232" i="3"/>
  <c r="S232" i="3"/>
  <c r="V231" i="3"/>
  <c r="U231" i="3"/>
  <c r="W231" i="3" s="1"/>
  <c r="T231" i="3"/>
  <c r="S231" i="3"/>
  <c r="W230" i="3"/>
  <c r="V230" i="3"/>
  <c r="U230" i="3"/>
  <c r="T230" i="3"/>
  <c r="S230" i="3"/>
  <c r="W229" i="3"/>
  <c r="V229" i="3"/>
  <c r="U229" i="3"/>
  <c r="T229" i="3"/>
  <c r="S229" i="3"/>
  <c r="V228" i="3"/>
  <c r="U228" i="3"/>
  <c r="W228" i="3" s="1"/>
  <c r="T228" i="3"/>
  <c r="S228" i="3"/>
  <c r="V227" i="3"/>
  <c r="U227" i="3"/>
  <c r="W227" i="3" s="1"/>
  <c r="T227" i="3"/>
  <c r="S227" i="3"/>
  <c r="V226" i="3"/>
  <c r="U226" i="3"/>
  <c r="W226" i="3" s="1"/>
  <c r="T226" i="3"/>
  <c r="S226" i="3"/>
  <c r="V225" i="3"/>
  <c r="U225" i="3"/>
  <c r="W225" i="3" s="1"/>
  <c r="T225" i="3"/>
  <c r="S225" i="3"/>
  <c r="V224" i="3"/>
  <c r="U224" i="3"/>
  <c r="W224" i="3" s="1"/>
  <c r="T224" i="3"/>
  <c r="S224" i="3"/>
  <c r="V223" i="3"/>
  <c r="U223" i="3"/>
  <c r="W223" i="3" s="1"/>
  <c r="T223" i="3"/>
  <c r="S223" i="3"/>
  <c r="W222" i="3"/>
  <c r="V222" i="3"/>
  <c r="U222" i="3"/>
  <c r="T222" i="3"/>
  <c r="S222" i="3"/>
  <c r="V221" i="3"/>
  <c r="U221" i="3"/>
  <c r="W221" i="3" s="1"/>
  <c r="T221" i="3"/>
  <c r="S221" i="3"/>
  <c r="V220" i="3"/>
  <c r="U220" i="3"/>
  <c r="W220" i="3" s="1"/>
  <c r="T220" i="3"/>
  <c r="S220" i="3"/>
  <c r="V219" i="3"/>
  <c r="U219" i="3"/>
  <c r="W219" i="3" s="1"/>
  <c r="T219" i="3"/>
  <c r="S219" i="3"/>
  <c r="V218" i="3"/>
  <c r="U218" i="3"/>
  <c r="W218" i="3" s="1"/>
  <c r="T218" i="3"/>
  <c r="S218" i="3"/>
  <c r="V217" i="3"/>
  <c r="U217" i="3"/>
  <c r="W217" i="3" s="1"/>
  <c r="T217" i="3"/>
  <c r="S217" i="3"/>
  <c r="V216" i="3"/>
  <c r="U216" i="3"/>
  <c r="W216" i="3" s="1"/>
  <c r="T216" i="3"/>
  <c r="S216" i="3"/>
  <c r="V215" i="3"/>
  <c r="U215" i="3"/>
  <c r="W215" i="3" s="1"/>
  <c r="T215" i="3"/>
  <c r="S215" i="3"/>
  <c r="W214" i="3"/>
  <c r="V214" i="3"/>
  <c r="U214" i="3"/>
  <c r="T214" i="3"/>
  <c r="S214" i="3"/>
  <c r="W213" i="3"/>
  <c r="V213" i="3"/>
  <c r="U213" i="3"/>
  <c r="T213" i="3"/>
  <c r="S213" i="3"/>
  <c r="V212" i="3"/>
  <c r="U212" i="3"/>
  <c r="W212" i="3" s="1"/>
  <c r="T212" i="3"/>
  <c r="S212" i="3"/>
  <c r="V211" i="3"/>
  <c r="U211" i="3"/>
  <c r="W211" i="3" s="1"/>
  <c r="T211" i="3"/>
  <c r="S211" i="3"/>
  <c r="V210" i="3"/>
  <c r="U210" i="3"/>
  <c r="W210" i="3" s="1"/>
  <c r="T210" i="3"/>
  <c r="S210" i="3"/>
  <c r="V209" i="3"/>
  <c r="U209" i="3"/>
  <c r="W209" i="3" s="1"/>
  <c r="T209" i="3"/>
  <c r="S209" i="3"/>
  <c r="V208" i="3"/>
  <c r="U208" i="3"/>
  <c r="W208" i="3" s="1"/>
  <c r="T208" i="3"/>
  <c r="S208" i="3"/>
  <c r="V207" i="3"/>
  <c r="U207" i="3"/>
  <c r="W207" i="3" s="1"/>
  <c r="T207" i="3"/>
  <c r="S207" i="3"/>
  <c r="V206" i="3"/>
  <c r="U206" i="3"/>
  <c r="W206" i="3" s="1"/>
  <c r="T206" i="3"/>
  <c r="S206" i="3"/>
  <c r="W205" i="3"/>
  <c r="V205" i="3"/>
  <c r="U205" i="3"/>
  <c r="T205" i="3"/>
  <c r="S205" i="3"/>
  <c r="V204" i="3"/>
  <c r="U204" i="3"/>
  <c r="W204" i="3" s="1"/>
  <c r="T204" i="3"/>
  <c r="S204" i="3"/>
  <c r="V203" i="3"/>
  <c r="U203" i="3"/>
  <c r="W203" i="3" s="1"/>
  <c r="T203" i="3"/>
  <c r="S203" i="3"/>
  <c r="V202" i="3"/>
  <c r="U202" i="3"/>
  <c r="W202" i="3" s="1"/>
  <c r="T202" i="3"/>
  <c r="S202" i="3"/>
  <c r="V201" i="3"/>
  <c r="U201" i="3"/>
  <c r="W201" i="3" s="1"/>
  <c r="T201" i="3"/>
  <c r="S201" i="3"/>
  <c r="V200" i="3"/>
  <c r="U200" i="3"/>
  <c r="W200" i="3" s="1"/>
  <c r="T200" i="3"/>
  <c r="S200" i="3"/>
  <c r="V199" i="3"/>
  <c r="U199" i="3"/>
  <c r="W199" i="3" s="1"/>
  <c r="T199" i="3"/>
  <c r="S199" i="3"/>
  <c r="V198" i="3"/>
  <c r="U198" i="3"/>
  <c r="W198" i="3" s="1"/>
  <c r="T198" i="3"/>
  <c r="S198" i="3"/>
  <c r="V197" i="3"/>
  <c r="U197" i="3"/>
  <c r="W197" i="3" s="1"/>
  <c r="T197" i="3"/>
  <c r="S197" i="3"/>
  <c r="V196" i="3"/>
  <c r="U196" i="3"/>
  <c r="W196" i="3" s="1"/>
  <c r="T196" i="3"/>
  <c r="S196" i="3"/>
  <c r="V195" i="3"/>
  <c r="U195" i="3"/>
  <c r="W195" i="3" s="1"/>
  <c r="T195" i="3"/>
  <c r="S195" i="3"/>
  <c r="W194" i="3"/>
  <c r="V194" i="3"/>
  <c r="U194" i="3"/>
  <c r="T194" i="3"/>
  <c r="S194" i="3"/>
  <c r="W193" i="3"/>
  <c r="V193" i="3"/>
  <c r="U193" i="3"/>
  <c r="T193" i="3"/>
  <c r="S193" i="3"/>
  <c r="V192" i="3"/>
  <c r="U192" i="3"/>
  <c r="W192" i="3" s="1"/>
  <c r="T192" i="3"/>
  <c r="S192" i="3"/>
  <c r="V191" i="3"/>
  <c r="U191" i="3"/>
  <c r="W191" i="3" s="1"/>
  <c r="T191" i="3"/>
  <c r="S191" i="3"/>
  <c r="V190" i="3"/>
  <c r="U190" i="3"/>
  <c r="W190" i="3" s="1"/>
  <c r="T190" i="3"/>
  <c r="S190" i="3"/>
  <c r="V189" i="3"/>
  <c r="U189" i="3"/>
  <c r="W189" i="3" s="1"/>
  <c r="T189" i="3"/>
  <c r="S189" i="3"/>
  <c r="V188" i="3"/>
  <c r="U188" i="3"/>
  <c r="W188" i="3" s="1"/>
  <c r="T188" i="3"/>
  <c r="S188" i="3"/>
  <c r="V187" i="3"/>
  <c r="U187" i="3"/>
  <c r="W187" i="3" s="1"/>
  <c r="T187" i="3"/>
  <c r="S187" i="3"/>
  <c r="V186" i="3"/>
  <c r="U186" i="3"/>
  <c r="W186" i="3" s="1"/>
  <c r="T186" i="3"/>
  <c r="S186" i="3"/>
  <c r="V185" i="3"/>
  <c r="U185" i="3"/>
  <c r="W185" i="3" s="1"/>
  <c r="T185" i="3"/>
  <c r="S185" i="3"/>
  <c r="V184" i="3"/>
  <c r="U184" i="3"/>
  <c r="W184" i="3" s="1"/>
  <c r="T184" i="3"/>
  <c r="S184" i="3"/>
  <c r="V183" i="3"/>
  <c r="U183" i="3"/>
  <c r="W183" i="3" s="1"/>
  <c r="T183" i="3"/>
  <c r="S183" i="3"/>
  <c r="V182" i="3"/>
  <c r="U182" i="3"/>
  <c r="W182" i="3" s="1"/>
  <c r="T182" i="3"/>
  <c r="S182" i="3"/>
  <c r="V181" i="3"/>
  <c r="U181" i="3"/>
  <c r="W181" i="3" s="1"/>
  <c r="T181" i="3"/>
  <c r="S181" i="3"/>
  <c r="V180" i="3"/>
  <c r="U180" i="3"/>
  <c r="W180" i="3" s="1"/>
  <c r="T180" i="3"/>
  <c r="S180" i="3"/>
  <c r="V179" i="3"/>
  <c r="U179" i="3"/>
  <c r="W179" i="3" s="1"/>
  <c r="T179" i="3"/>
  <c r="S179" i="3"/>
  <c r="W178" i="3"/>
  <c r="V178" i="3"/>
  <c r="U178" i="3"/>
  <c r="T178" i="3"/>
  <c r="S178" i="3"/>
  <c r="W177" i="3"/>
  <c r="V177" i="3"/>
  <c r="U177" i="3"/>
  <c r="T177" i="3"/>
  <c r="S177" i="3"/>
  <c r="V176" i="3"/>
  <c r="U176" i="3"/>
  <c r="W176" i="3" s="1"/>
  <c r="T176" i="3"/>
  <c r="S176" i="3"/>
  <c r="V175" i="3"/>
  <c r="U175" i="3"/>
  <c r="W175" i="3" s="1"/>
  <c r="T175" i="3"/>
  <c r="S175" i="3"/>
  <c r="V174" i="3"/>
  <c r="U174" i="3"/>
  <c r="W174" i="3" s="1"/>
  <c r="T174" i="3"/>
  <c r="S174" i="3"/>
  <c r="V173" i="3"/>
  <c r="U173" i="3"/>
  <c r="W173" i="3" s="1"/>
  <c r="T173" i="3"/>
  <c r="S173" i="3"/>
  <c r="V172" i="3"/>
  <c r="U172" i="3"/>
  <c r="W172" i="3" s="1"/>
  <c r="T172" i="3"/>
  <c r="S172" i="3"/>
  <c r="V171" i="3"/>
  <c r="U171" i="3"/>
  <c r="W171" i="3" s="1"/>
  <c r="T171" i="3"/>
  <c r="S171" i="3"/>
  <c r="V170" i="3"/>
  <c r="U170" i="3"/>
  <c r="W170" i="3" s="1"/>
  <c r="T170" i="3"/>
  <c r="S170" i="3"/>
  <c r="V169" i="3"/>
  <c r="U169" i="3"/>
  <c r="W169" i="3" s="1"/>
  <c r="T169" i="3"/>
  <c r="S169" i="3"/>
  <c r="V168" i="3"/>
  <c r="U168" i="3"/>
  <c r="W168" i="3" s="1"/>
  <c r="T168" i="3"/>
  <c r="S168" i="3"/>
  <c r="V167" i="3"/>
  <c r="U167" i="3"/>
  <c r="W167" i="3" s="1"/>
  <c r="T167" i="3"/>
  <c r="S167" i="3"/>
  <c r="V166" i="3"/>
  <c r="U166" i="3"/>
  <c r="W166" i="3" s="1"/>
  <c r="T166" i="3"/>
  <c r="S166" i="3"/>
  <c r="V165" i="3"/>
  <c r="U165" i="3"/>
  <c r="W165" i="3" s="1"/>
  <c r="T165" i="3"/>
  <c r="S165" i="3"/>
  <c r="V164" i="3"/>
  <c r="U164" i="3"/>
  <c r="W164" i="3" s="1"/>
  <c r="T164" i="3"/>
  <c r="S164" i="3"/>
  <c r="V163" i="3"/>
  <c r="U163" i="3"/>
  <c r="W163" i="3" s="1"/>
  <c r="T163" i="3"/>
  <c r="S163" i="3"/>
  <c r="W162" i="3"/>
  <c r="V162" i="3"/>
  <c r="U162" i="3"/>
  <c r="T162" i="3"/>
  <c r="S162" i="3"/>
  <c r="W161" i="3"/>
  <c r="V161" i="3"/>
  <c r="U161" i="3"/>
  <c r="T161" i="3"/>
  <c r="S161" i="3"/>
  <c r="V160" i="3"/>
  <c r="U160" i="3"/>
  <c r="W160" i="3" s="1"/>
  <c r="T160" i="3"/>
  <c r="S160" i="3"/>
  <c r="V159" i="3"/>
  <c r="U159" i="3"/>
  <c r="W159" i="3" s="1"/>
  <c r="T159" i="3"/>
  <c r="S159" i="3"/>
  <c r="V158" i="3"/>
  <c r="U158" i="3"/>
  <c r="W158" i="3" s="1"/>
  <c r="T158" i="3"/>
  <c r="S158" i="3"/>
  <c r="V157" i="3"/>
  <c r="U157" i="3"/>
  <c r="W157" i="3" s="1"/>
  <c r="T157" i="3"/>
  <c r="S157" i="3"/>
  <c r="V156" i="3"/>
  <c r="U156" i="3"/>
  <c r="W156" i="3" s="1"/>
  <c r="T156" i="3"/>
  <c r="S156" i="3"/>
  <c r="V155" i="3"/>
  <c r="U155" i="3"/>
  <c r="W155" i="3" s="1"/>
  <c r="T155" i="3"/>
  <c r="S155" i="3"/>
  <c r="V154" i="3"/>
  <c r="U154" i="3"/>
  <c r="W154" i="3" s="1"/>
  <c r="T154" i="3"/>
  <c r="S154" i="3"/>
  <c r="V153" i="3"/>
  <c r="U153" i="3"/>
  <c r="W153" i="3" s="1"/>
  <c r="T153" i="3"/>
  <c r="S153" i="3"/>
  <c r="V152" i="3"/>
  <c r="U152" i="3"/>
  <c r="W152" i="3" s="1"/>
  <c r="T152" i="3"/>
  <c r="S152" i="3"/>
  <c r="V151" i="3"/>
  <c r="U151" i="3"/>
  <c r="W151" i="3" s="1"/>
  <c r="T151" i="3"/>
  <c r="S151" i="3"/>
  <c r="V150" i="3"/>
  <c r="U150" i="3"/>
  <c r="W150" i="3" s="1"/>
  <c r="T150" i="3"/>
  <c r="S150" i="3"/>
  <c r="V149" i="3"/>
  <c r="U149" i="3"/>
  <c r="W149" i="3" s="1"/>
  <c r="T149" i="3"/>
  <c r="S149" i="3"/>
  <c r="V148" i="3"/>
  <c r="U148" i="3"/>
  <c r="W148" i="3" s="1"/>
  <c r="T148" i="3"/>
  <c r="S148" i="3"/>
  <c r="V147" i="3"/>
  <c r="U147" i="3"/>
  <c r="W147" i="3" s="1"/>
  <c r="T147" i="3"/>
  <c r="S147" i="3"/>
  <c r="W146" i="3"/>
  <c r="V146" i="3"/>
  <c r="U146" i="3"/>
  <c r="T146" i="3"/>
  <c r="S146" i="3"/>
  <c r="W145" i="3"/>
  <c r="V145" i="3"/>
  <c r="U145" i="3"/>
  <c r="T145" i="3"/>
  <c r="S145" i="3"/>
  <c r="V144" i="3"/>
  <c r="U144" i="3"/>
  <c r="W144" i="3" s="1"/>
  <c r="T144" i="3"/>
  <c r="S144" i="3"/>
  <c r="V143" i="3"/>
  <c r="U143" i="3"/>
  <c r="W143" i="3" s="1"/>
  <c r="T143" i="3"/>
  <c r="S143" i="3"/>
  <c r="V142" i="3"/>
  <c r="U142" i="3"/>
  <c r="W142" i="3" s="1"/>
  <c r="T142" i="3"/>
  <c r="S142" i="3"/>
  <c r="V141" i="3"/>
  <c r="U141" i="3"/>
  <c r="W141" i="3" s="1"/>
  <c r="T141" i="3"/>
  <c r="S141" i="3"/>
  <c r="V140" i="3"/>
  <c r="U140" i="3"/>
  <c r="W140" i="3" s="1"/>
  <c r="T140" i="3"/>
  <c r="S140" i="3"/>
  <c r="V139" i="3"/>
  <c r="U139" i="3"/>
  <c r="W139" i="3" s="1"/>
  <c r="T139" i="3"/>
  <c r="S139" i="3"/>
  <c r="V138" i="3"/>
  <c r="U138" i="3"/>
  <c r="W138" i="3" s="1"/>
  <c r="T138" i="3"/>
  <c r="S138" i="3"/>
  <c r="V137" i="3"/>
  <c r="U137" i="3"/>
  <c r="W137" i="3" s="1"/>
  <c r="T137" i="3"/>
  <c r="S137" i="3"/>
  <c r="V136" i="3"/>
  <c r="U136" i="3"/>
  <c r="W136" i="3" s="1"/>
  <c r="T136" i="3"/>
  <c r="S136" i="3"/>
  <c r="V135" i="3"/>
  <c r="U135" i="3"/>
  <c r="W135" i="3" s="1"/>
  <c r="T135" i="3"/>
  <c r="S135" i="3"/>
  <c r="V134" i="3"/>
  <c r="U134" i="3"/>
  <c r="W134" i="3" s="1"/>
  <c r="T134" i="3"/>
  <c r="S134" i="3"/>
  <c r="V133" i="3"/>
  <c r="U133" i="3"/>
  <c r="W133" i="3" s="1"/>
  <c r="T133" i="3"/>
  <c r="S133" i="3"/>
  <c r="V132" i="3"/>
  <c r="U132" i="3"/>
  <c r="W132" i="3" s="1"/>
  <c r="T132" i="3"/>
  <c r="S132" i="3"/>
  <c r="V131" i="3"/>
  <c r="U131" i="3"/>
  <c r="W131" i="3" s="1"/>
  <c r="T131" i="3"/>
  <c r="S131" i="3"/>
  <c r="W130" i="3"/>
  <c r="V130" i="3"/>
  <c r="U130" i="3"/>
  <c r="T130" i="3"/>
  <c r="S130" i="3"/>
  <c r="W129" i="3"/>
  <c r="V129" i="3"/>
  <c r="U129" i="3"/>
  <c r="T129" i="3"/>
  <c r="S129" i="3"/>
  <c r="V128" i="3"/>
  <c r="U128" i="3"/>
  <c r="W128" i="3" s="1"/>
  <c r="T128" i="3"/>
  <c r="S128" i="3"/>
  <c r="V127" i="3"/>
  <c r="U127" i="3"/>
  <c r="W127" i="3" s="1"/>
  <c r="T127" i="3"/>
  <c r="S127" i="3"/>
  <c r="V126" i="3"/>
  <c r="U126" i="3"/>
  <c r="W126" i="3" s="1"/>
  <c r="T126" i="3"/>
  <c r="S126" i="3"/>
  <c r="V125" i="3"/>
  <c r="U125" i="3"/>
  <c r="W125" i="3" s="1"/>
  <c r="T125" i="3"/>
  <c r="S125" i="3"/>
  <c r="V124" i="3"/>
  <c r="U124" i="3"/>
  <c r="W124" i="3" s="1"/>
  <c r="T124" i="3"/>
  <c r="S124" i="3"/>
  <c r="V123" i="3"/>
  <c r="U123" i="3"/>
  <c r="W123" i="3" s="1"/>
  <c r="T123" i="3"/>
  <c r="S123" i="3"/>
  <c r="V122" i="3"/>
  <c r="U122" i="3"/>
  <c r="W122" i="3" s="1"/>
  <c r="T122" i="3"/>
  <c r="S122" i="3"/>
  <c r="V121" i="3"/>
  <c r="U121" i="3"/>
  <c r="W121" i="3" s="1"/>
  <c r="T121" i="3"/>
  <c r="S121" i="3"/>
  <c r="V120" i="3"/>
  <c r="U120" i="3"/>
  <c r="W120" i="3" s="1"/>
  <c r="T120" i="3"/>
  <c r="S120" i="3"/>
  <c r="V119" i="3"/>
  <c r="U119" i="3"/>
  <c r="W119" i="3" s="1"/>
  <c r="T119" i="3"/>
  <c r="S119" i="3"/>
  <c r="V118" i="3"/>
  <c r="U118" i="3"/>
  <c r="W118" i="3" s="1"/>
  <c r="T118" i="3"/>
  <c r="S118" i="3"/>
  <c r="V117" i="3"/>
  <c r="U117" i="3"/>
  <c r="W117" i="3" s="1"/>
  <c r="T117" i="3"/>
  <c r="S117" i="3"/>
  <c r="V116" i="3"/>
  <c r="U116" i="3"/>
  <c r="W116" i="3" s="1"/>
  <c r="T116" i="3"/>
  <c r="S116" i="3"/>
  <c r="V115" i="3"/>
  <c r="U115" i="3"/>
  <c r="W115" i="3" s="1"/>
  <c r="T115" i="3"/>
  <c r="S115" i="3"/>
  <c r="W114" i="3"/>
  <c r="V114" i="3"/>
  <c r="U114" i="3"/>
  <c r="T114" i="3"/>
  <c r="S114" i="3"/>
  <c r="W113" i="3"/>
  <c r="V113" i="3"/>
  <c r="U113" i="3"/>
  <c r="T113" i="3"/>
  <c r="S113" i="3"/>
  <c r="V112" i="3"/>
  <c r="U112" i="3"/>
  <c r="W112" i="3" s="1"/>
  <c r="T112" i="3"/>
  <c r="S112" i="3"/>
  <c r="V111" i="3"/>
  <c r="U111" i="3"/>
  <c r="W111" i="3" s="1"/>
  <c r="T111" i="3"/>
  <c r="S111" i="3"/>
  <c r="V110" i="3"/>
  <c r="U110" i="3"/>
  <c r="W110" i="3" s="1"/>
  <c r="T110" i="3"/>
  <c r="S110" i="3"/>
  <c r="V109" i="3"/>
  <c r="U109" i="3"/>
  <c r="W109" i="3" s="1"/>
  <c r="T109" i="3"/>
  <c r="S109" i="3"/>
  <c r="V108" i="3"/>
  <c r="U108" i="3"/>
  <c r="W108" i="3" s="1"/>
  <c r="T108" i="3"/>
  <c r="S108" i="3"/>
  <c r="V107" i="3"/>
  <c r="U107" i="3"/>
  <c r="W107" i="3" s="1"/>
  <c r="T107" i="3"/>
  <c r="S107" i="3"/>
  <c r="V106" i="3"/>
  <c r="U106" i="3"/>
  <c r="W106" i="3" s="1"/>
  <c r="T106" i="3"/>
  <c r="S106" i="3"/>
  <c r="V105" i="3"/>
  <c r="U105" i="3"/>
  <c r="W105" i="3" s="1"/>
  <c r="T105" i="3"/>
  <c r="S105" i="3"/>
  <c r="V104" i="3"/>
  <c r="U104" i="3"/>
  <c r="W104" i="3" s="1"/>
  <c r="T104" i="3"/>
  <c r="S104" i="3"/>
  <c r="V103" i="3"/>
  <c r="U103" i="3"/>
  <c r="W103" i="3" s="1"/>
  <c r="T103" i="3"/>
  <c r="S103" i="3"/>
  <c r="V102" i="3"/>
  <c r="U102" i="3"/>
  <c r="W102" i="3" s="1"/>
  <c r="T102" i="3"/>
  <c r="S102" i="3"/>
  <c r="V101" i="3"/>
  <c r="U101" i="3"/>
  <c r="W101" i="3" s="1"/>
  <c r="T101" i="3"/>
  <c r="S101" i="3"/>
  <c r="V100" i="3"/>
  <c r="U100" i="3"/>
  <c r="W100" i="3" s="1"/>
  <c r="T100" i="3"/>
  <c r="S100" i="3"/>
  <c r="V99" i="3"/>
  <c r="U99" i="3"/>
  <c r="W99" i="3" s="1"/>
  <c r="T99" i="3"/>
  <c r="S99" i="3"/>
  <c r="W98" i="3"/>
  <c r="V98" i="3"/>
  <c r="U98" i="3"/>
  <c r="T98" i="3"/>
  <c r="S98" i="3"/>
  <c r="W97" i="3"/>
  <c r="V97" i="3"/>
  <c r="U97" i="3"/>
  <c r="T97" i="3"/>
  <c r="S97" i="3"/>
  <c r="V96" i="3"/>
  <c r="U96" i="3"/>
  <c r="W96" i="3" s="1"/>
  <c r="T96" i="3"/>
  <c r="S96" i="3"/>
  <c r="V95" i="3"/>
  <c r="U95" i="3"/>
  <c r="W95" i="3" s="1"/>
  <c r="T95" i="3"/>
  <c r="S95" i="3"/>
  <c r="V94" i="3"/>
  <c r="U94" i="3"/>
  <c r="W94" i="3" s="1"/>
  <c r="T94" i="3"/>
  <c r="S94" i="3"/>
  <c r="V93" i="3"/>
  <c r="U93" i="3"/>
  <c r="W93" i="3" s="1"/>
  <c r="T93" i="3"/>
  <c r="S93" i="3"/>
  <c r="V92" i="3"/>
  <c r="U92" i="3"/>
  <c r="W92" i="3" s="1"/>
  <c r="T92" i="3"/>
  <c r="S92" i="3"/>
  <c r="V91" i="3"/>
  <c r="U91" i="3"/>
  <c r="W91" i="3" s="1"/>
  <c r="T91" i="3"/>
  <c r="S91" i="3"/>
  <c r="W90" i="3"/>
  <c r="V90" i="3"/>
  <c r="U90" i="3"/>
  <c r="T90" i="3"/>
  <c r="S90" i="3"/>
  <c r="V89" i="3"/>
  <c r="U89" i="3"/>
  <c r="W89" i="3" s="1"/>
  <c r="T89" i="3"/>
  <c r="S89" i="3"/>
  <c r="V88" i="3"/>
  <c r="U88" i="3"/>
  <c r="W88" i="3" s="1"/>
  <c r="T88" i="3"/>
  <c r="S88" i="3"/>
  <c r="V87" i="3"/>
  <c r="U87" i="3"/>
  <c r="W87" i="3" s="1"/>
  <c r="T87" i="3"/>
  <c r="S87" i="3"/>
  <c r="V86" i="3"/>
  <c r="U86" i="3"/>
  <c r="W86" i="3" s="1"/>
  <c r="T86" i="3"/>
  <c r="S86" i="3"/>
  <c r="V85" i="3"/>
  <c r="U85" i="3"/>
  <c r="W85" i="3" s="1"/>
  <c r="T85" i="3"/>
  <c r="S85" i="3"/>
  <c r="V84" i="3"/>
  <c r="U84" i="3"/>
  <c r="W84" i="3" s="1"/>
  <c r="T84" i="3"/>
  <c r="S84" i="3"/>
  <c r="V83" i="3"/>
  <c r="U83" i="3"/>
  <c r="W83" i="3" s="1"/>
  <c r="T83" i="3"/>
  <c r="S83" i="3"/>
  <c r="V82" i="3"/>
  <c r="U82" i="3"/>
  <c r="W82" i="3" s="1"/>
  <c r="T82" i="3"/>
  <c r="S82" i="3"/>
  <c r="W81" i="3"/>
  <c r="V81" i="3"/>
  <c r="U81" i="3"/>
  <c r="T81" i="3"/>
  <c r="S81" i="3"/>
  <c r="V80" i="3"/>
  <c r="U80" i="3"/>
  <c r="W80" i="3" s="1"/>
  <c r="T80" i="3"/>
  <c r="S80" i="3"/>
  <c r="V79" i="3"/>
  <c r="U79" i="3"/>
  <c r="W79" i="3" s="1"/>
  <c r="T79" i="3"/>
  <c r="S79" i="3"/>
  <c r="V78" i="3"/>
  <c r="U78" i="3"/>
  <c r="W78" i="3" s="1"/>
  <c r="T78" i="3"/>
  <c r="S78" i="3"/>
  <c r="V77" i="3"/>
  <c r="U77" i="3"/>
  <c r="W77" i="3" s="1"/>
  <c r="T77" i="3"/>
  <c r="S77" i="3"/>
  <c r="W76" i="3"/>
  <c r="V76" i="3"/>
  <c r="U76" i="3"/>
  <c r="T76" i="3"/>
  <c r="S76" i="3"/>
  <c r="V75" i="3"/>
  <c r="U75" i="3"/>
  <c r="W75" i="3" s="1"/>
  <c r="T75" i="3"/>
  <c r="S75" i="3"/>
  <c r="V74" i="3"/>
  <c r="U74" i="3"/>
  <c r="W74" i="3" s="1"/>
  <c r="T74" i="3"/>
  <c r="S74" i="3"/>
  <c r="W73" i="3"/>
  <c r="V73" i="3"/>
  <c r="U73" i="3"/>
  <c r="T73" i="3"/>
  <c r="S73" i="3"/>
  <c r="V72" i="3"/>
  <c r="U72" i="3"/>
  <c r="W72" i="3" s="1"/>
  <c r="T72" i="3"/>
  <c r="S72" i="3"/>
  <c r="V71" i="3"/>
  <c r="U71" i="3"/>
  <c r="W71" i="3" s="1"/>
  <c r="T71" i="3"/>
  <c r="S71" i="3"/>
  <c r="V70" i="3"/>
  <c r="U70" i="3"/>
  <c r="W70" i="3" s="1"/>
  <c r="T70" i="3"/>
  <c r="S70" i="3"/>
  <c r="V69" i="3"/>
  <c r="U69" i="3"/>
  <c r="W69" i="3" s="1"/>
  <c r="T69" i="3"/>
  <c r="S69" i="3"/>
  <c r="V68" i="3"/>
  <c r="U68" i="3"/>
  <c r="W68" i="3" s="1"/>
  <c r="T68" i="3"/>
  <c r="S68" i="3"/>
  <c r="V67" i="3"/>
  <c r="U67" i="3"/>
  <c r="W67" i="3" s="1"/>
  <c r="T67" i="3"/>
  <c r="S67" i="3"/>
  <c r="V66" i="3"/>
  <c r="U66" i="3"/>
  <c r="W66" i="3" s="1"/>
  <c r="T66" i="3"/>
  <c r="S66" i="3"/>
  <c r="V65" i="3"/>
  <c r="U65" i="3"/>
  <c r="W65" i="3" s="1"/>
  <c r="T65" i="3"/>
  <c r="S65" i="3"/>
  <c r="V64" i="3"/>
  <c r="U64" i="3"/>
  <c r="W64" i="3" s="1"/>
  <c r="T64" i="3"/>
  <c r="S64" i="3"/>
  <c r="V63" i="3"/>
  <c r="U63" i="3"/>
  <c r="W63" i="3" s="1"/>
  <c r="T63" i="3"/>
  <c r="S63" i="3"/>
  <c r="V62" i="3"/>
  <c r="U62" i="3"/>
  <c r="W62" i="3" s="1"/>
  <c r="T62" i="3"/>
  <c r="S62" i="3"/>
  <c r="V61" i="3"/>
  <c r="U61" i="3"/>
  <c r="W61" i="3" s="1"/>
  <c r="T61" i="3"/>
  <c r="S61" i="3"/>
  <c r="W60" i="3"/>
  <c r="V60" i="3"/>
  <c r="U60" i="3"/>
  <c r="T60" i="3"/>
  <c r="S60" i="3"/>
  <c r="V59" i="3"/>
  <c r="U59" i="3"/>
  <c r="W59" i="3" s="1"/>
  <c r="T59" i="3"/>
  <c r="S59" i="3"/>
  <c r="V58" i="3"/>
  <c r="U58" i="3"/>
  <c r="W58" i="3" s="1"/>
  <c r="T58" i="3"/>
  <c r="S58" i="3"/>
  <c r="W57" i="3"/>
  <c r="V57" i="3"/>
  <c r="U57" i="3"/>
  <c r="T57" i="3"/>
  <c r="S57" i="3"/>
  <c r="V56" i="3"/>
  <c r="U56" i="3"/>
  <c r="W56" i="3" s="1"/>
  <c r="T56" i="3"/>
  <c r="S56" i="3"/>
  <c r="V55" i="3"/>
  <c r="U55" i="3"/>
  <c r="W55" i="3" s="1"/>
  <c r="T55" i="3"/>
  <c r="S55" i="3"/>
  <c r="V54" i="3"/>
  <c r="U54" i="3"/>
  <c r="W54" i="3" s="1"/>
  <c r="T54" i="3"/>
  <c r="S54" i="3"/>
  <c r="V53" i="3"/>
  <c r="U53" i="3"/>
  <c r="W53" i="3" s="1"/>
  <c r="T53" i="3"/>
  <c r="S53" i="3"/>
  <c r="V52" i="3"/>
  <c r="U52" i="3"/>
  <c r="W52" i="3" s="1"/>
  <c r="T52" i="3"/>
  <c r="S52" i="3"/>
  <c r="V51" i="3"/>
  <c r="U51" i="3"/>
  <c r="W51" i="3" s="1"/>
  <c r="T51" i="3"/>
  <c r="S51" i="3"/>
  <c r="V50" i="3"/>
  <c r="U50" i="3"/>
  <c r="W50" i="3" s="1"/>
  <c r="T50" i="3"/>
  <c r="S50" i="3"/>
  <c r="V49" i="3"/>
  <c r="U49" i="3"/>
  <c r="W49" i="3" s="1"/>
  <c r="T49" i="3"/>
  <c r="S49" i="3"/>
  <c r="V48" i="3"/>
  <c r="U48" i="3"/>
  <c r="W48" i="3" s="1"/>
  <c r="T48" i="3"/>
  <c r="S48" i="3"/>
  <c r="V47" i="3"/>
  <c r="U47" i="3"/>
  <c r="W47" i="3" s="1"/>
  <c r="T47" i="3"/>
  <c r="S47" i="3"/>
  <c r="V46" i="3"/>
  <c r="U46" i="3"/>
  <c r="W46" i="3" s="1"/>
  <c r="T46" i="3"/>
  <c r="S46" i="3"/>
  <c r="V45" i="3"/>
  <c r="U45" i="3"/>
  <c r="W45" i="3" s="1"/>
  <c r="T45" i="3"/>
  <c r="S45" i="3"/>
  <c r="W44" i="3"/>
  <c r="V44" i="3"/>
  <c r="U44" i="3"/>
  <c r="T44" i="3"/>
  <c r="S44" i="3"/>
  <c r="V43" i="3"/>
  <c r="U43" i="3"/>
  <c r="W43" i="3" s="1"/>
  <c r="T43" i="3"/>
  <c r="S43" i="3"/>
  <c r="V42" i="3"/>
  <c r="U42" i="3"/>
  <c r="W42" i="3" s="1"/>
  <c r="T42" i="3"/>
  <c r="S42" i="3"/>
  <c r="W41" i="3"/>
  <c r="V41" i="3"/>
  <c r="U41" i="3"/>
  <c r="T41" i="3"/>
  <c r="S41" i="3"/>
  <c r="V40" i="3"/>
  <c r="U40" i="3"/>
  <c r="W40" i="3" s="1"/>
  <c r="T40" i="3"/>
  <c r="S40" i="3"/>
  <c r="V39" i="3"/>
  <c r="U39" i="3"/>
  <c r="W39" i="3" s="1"/>
  <c r="T39" i="3"/>
  <c r="S39" i="3"/>
  <c r="V38" i="3"/>
  <c r="U38" i="3"/>
  <c r="W38" i="3" s="1"/>
  <c r="T38" i="3"/>
  <c r="S38" i="3"/>
  <c r="V37" i="3"/>
  <c r="U37" i="3"/>
  <c r="W37" i="3" s="1"/>
  <c r="T37" i="3"/>
  <c r="S37" i="3"/>
  <c r="V36" i="3"/>
  <c r="U36" i="3"/>
  <c r="W36" i="3" s="1"/>
  <c r="T36" i="3"/>
  <c r="S36" i="3"/>
  <c r="V35" i="3"/>
  <c r="U35" i="3"/>
  <c r="W35" i="3" s="1"/>
  <c r="T35" i="3"/>
  <c r="S35" i="3"/>
  <c r="F35" i="3"/>
  <c r="H35" i="3" s="1"/>
  <c r="E35" i="3"/>
  <c r="V34" i="3"/>
  <c r="U34" i="3"/>
  <c r="W34" i="3" s="1"/>
  <c r="T34" i="3"/>
  <c r="S34" i="3"/>
  <c r="G34" i="3"/>
  <c r="F34" i="3"/>
  <c r="H34" i="3" s="1"/>
  <c r="E34" i="3"/>
  <c r="V33" i="3"/>
  <c r="U33" i="3"/>
  <c r="W33" i="3" s="1"/>
  <c r="T33" i="3"/>
  <c r="S33" i="3"/>
  <c r="H33" i="3"/>
  <c r="F33" i="3"/>
  <c r="G33" i="3" s="1"/>
  <c r="E33" i="3"/>
  <c r="V32" i="3"/>
  <c r="U32" i="3"/>
  <c r="W32" i="3" s="1"/>
  <c r="T32" i="3"/>
  <c r="S32" i="3"/>
  <c r="F32" i="3"/>
  <c r="H32" i="3" s="1"/>
  <c r="E32" i="3"/>
  <c r="E36" i="3" s="1"/>
  <c r="V31" i="3"/>
  <c r="U31" i="3"/>
  <c r="W31" i="3" s="1"/>
  <c r="T31" i="3"/>
  <c r="S31" i="3"/>
  <c r="V30" i="3"/>
  <c r="U30" i="3"/>
  <c r="W30" i="3" s="1"/>
  <c r="T30" i="3"/>
  <c r="S30" i="3"/>
  <c r="V29" i="3"/>
  <c r="U29" i="3"/>
  <c r="W29" i="3" s="1"/>
  <c r="T29" i="3"/>
  <c r="S29" i="3"/>
  <c r="V28" i="3"/>
  <c r="U28" i="3"/>
  <c r="W28" i="3" s="1"/>
  <c r="T28" i="3"/>
  <c r="S28" i="3"/>
  <c r="V27" i="3"/>
  <c r="U27" i="3"/>
  <c r="W27" i="3" s="1"/>
  <c r="T27" i="3"/>
  <c r="S27" i="3"/>
  <c r="W26" i="3"/>
  <c r="V26" i="3"/>
  <c r="U26" i="3"/>
  <c r="T26" i="3"/>
  <c r="S26" i="3"/>
  <c r="F26" i="3"/>
  <c r="E26" i="3"/>
  <c r="G26" i="3" s="1"/>
  <c r="D26" i="3"/>
  <c r="V25" i="3"/>
  <c r="U25" i="3"/>
  <c r="W25" i="3" s="1"/>
  <c r="T25" i="3"/>
  <c r="S25" i="3"/>
  <c r="F25" i="3"/>
  <c r="E25" i="3"/>
  <c r="G25" i="3" s="1"/>
  <c r="D25" i="3"/>
  <c r="W24" i="3"/>
  <c r="V24" i="3"/>
  <c r="U24" i="3"/>
  <c r="T24" i="3"/>
  <c r="S24" i="3"/>
  <c r="F24" i="3"/>
  <c r="E24" i="3"/>
  <c r="G24" i="3" s="1"/>
  <c r="D24" i="3"/>
  <c r="V23" i="3"/>
  <c r="U23" i="3"/>
  <c r="W23" i="3" s="1"/>
  <c r="T23" i="3"/>
  <c r="S23" i="3"/>
  <c r="F23" i="3"/>
  <c r="E23" i="3"/>
  <c r="G23" i="3" s="1"/>
  <c r="D23" i="3"/>
  <c r="W22" i="3"/>
  <c r="V22" i="3"/>
  <c r="U22" i="3"/>
  <c r="T22" i="3"/>
  <c r="S22" i="3"/>
  <c r="V21" i="3"/>
  <c r="U21" i="3"/>
  <c r="W21" i="3" s="1"/>
  <c r="T21" i="3"/>
  <c r="S21" i="3"/>
  <c r="V20" i="3"/>
  <c r="U20" i="3"/>
  <c r="W20" i="3" s="1"/>
  <c r="T20" i="3"/>
  <c r="S20" i="3"/>
  <c r="V19" i="3"/>
  <c r="U19" i="3"/>
  <c r="W19" i="3" s="1"/>
  <c r="T19" i="3"/>
  <c r="S19" i="3"/>
  <c r="V18" i="3"/>
  <c r="U18" i="3"/>
  <c r="W18" i="3" s="1"/>
  <c r="T18" i="3"/>
  <c r="S18" i="3"/>
  <c r="V17" i="3"/>
  <c r="U17" i="3"/>
  <c r="W17" i="3" s="1"/>
  <c r="T17" i="3"/>
  <c r="S17" i="3"/>
  <c r="V16" i="3"/>
  <c r="U16" i="3"/>
  <c r="W16" i="3" s="1"/>
  <c r="T16" i="3"/>
  <c r="S16" i="3"/>
  <c r="V15" i="3"/>
  <c r="U15" i="3"/>
  <c r="W15" i="3" s="1"/>
  <c r="T15" i="3"/>
  <c r="S15" i="3"/>
  <c r="V14" i="3"/>
  <c r="U14" i="3"/>
  <c r="W14" i="3" s="1"/>
  <c r="T14" i="3"/>
  <c r="S14" i="3"/>
  <c r="V13" i="3"/>
  <c r="U13" i="3"/>
  <c r="W13" i="3" s="1"/>
  <c r="T13" i="3"/>
  <c r="S13" i="3"/>
  <c r="V12" i="3"/>
  <c r="U12" i="3"/>
  <c r="W12" i="3" s="1"/>
  <c r="T12" i="3"/>
  <c r="S12" i="3"/>
  <c r="V11" i="3"/>
  <c r="U11" i="3"/>
  <c r="W11" i="3" s="1"/>
  <c r="T11" i="3"/>
  <c r="S11" i="3"/>
  <c r="V10" i="3"/>
  <c r="U10" i="3"/>
  <c r="W10" i="3" s="1"/>
  <c r="T10" i="3"/>
  <c r="S10" i="3"/>
  <c r="V9" i="3"/>
  <c r="U9" i="3"/>
  <c r="W9" i="3" s="1"/>
  <c r="T9" i="3"/>
  <c r="S9" i="3"/>
  <c r="W8" i="3"/>
  <c r="V8" i="3"/>
  <c r="U8" i="3"/>
  <c r="T8" i="3"/>
  <c r="S8" i="3"/>
  <c r="V7" i="3"/>
  <c r="U7" i="3"/>
  <c r="W7" i="3" s="1"/>
  <c r="T7" i="3"/>
  <c r="S7" i="3"/>
  <c r="E18" i="2"/>
  <c r="C18" i="2"/>
  <c r="E17" i="2"/>
  <c r="C17" i="2"/>
  <c r="E16" i="2"/>
  <c r="C16" i="2"/>
  <c r="C9" i="2"/>
  <c r="C8" i="2"/>
  <c r="C11" i="2" s="1"/>
  <c r="C7" i="2"/>
  <c r="B9" i="9"/>
  <c r="B8" i="9"/>
  <c r="B4" i="9"/>
  <c r="B3" i="9"/>
  <c r="D11" i="2"/>
  <c r="D9" i="2"/>
  <c r="D7" i="2"/>
  <c r="D10" i="2"/>
  <c r="D8" i="2"/>
  <c r="B23" i="2" l="1"/>
  <c r="G16" i="2"/>
  <c r="I10" i="4"/>
  <c r="F24" i="5"/>
  <c r="B5" i="9"/>
  <c r="C7" i="9"/>
  <c r="B7" i="9"/>
  <c r="B6" i="9"/>
  <c r="C4" i="9"/>
  <c r="C6" i="9"/>
  <c r="C25" i="3"/>
  <c r="F17" i="2"/>
  <c r="B25" i="2" s="1"/>
  <c r="E19" i="2"/>
  <c r="F18" i="2" s="1"/>
  <c r="D27" i="3"/>
  <c r="G18" i="2"/>
  <c r="C26" i="3"/>
  <c r="G27" i="3"/>
  <c r="H20" i="4"/>
  <c r="C12" i="4"/>
  <c r="D9" i="4" s="1"/>
  <c r="H11" i="4"/>
  <c r="E22" i="4"/>
  <c r="G20" i="4" s="1"/>
  <c r="H21" i="4"/>
  <c r="D25" i="5"/>
  <c r="G25" i="5" s="1"/>
  <c r="G24" i="5"/>
  <c r="I7" i="4"/>
  <c r="H10" i="4"/>
  <c r="I11" i="4"/>
  <c r="I21" i="4"/>
  <c r="E25" i="5"/>
  <c r="H25" i="5" s="1"/>
  <c r="C8" i="6"/>
  <c r="E8" i="6" s="1"/>
  <c r="C14" i="3"/>
  <c r="D7" i="3"/>
  <c r="E8" i="3"/>
  <c r="D16" i="3"/>
  <c r="H36" i="3"/>
  <c r="C10" i="3"/>
  <c r="G10" i="3"/>
  <c r="E16" i="3"/>
  <c r="C24" i="3"/>
  <c r="E7" i="3"/>
  <c r="F8" i="3"/>
  <c r="H8" i="3" s="1"/>
  <c r="C9" i="3"/>
  <c r="G9" i="3"/>
  <c r="D14" i="3"/>
  <c r="C22" i="7"/>
  <c r="G35" i="3"/>
  <c r="F36" i="3"/>
  <c r="G36" i="3" s="1"/>
  <c r="C7" i="5"/>
  <c r="E16" i="5"/>
  <c r="C14" i="5"/>
  <c r="H14" i="5" s="1"/>
  <c r="D13" i="5"/>
  <c r="E12" i="5"/>
  <c r="C10" i="5"/>
  <c r="H10" i="5" s="1"/>
  <c r="D9" i="5"/>
  <c r="E8" i="5"/>
  <c r="D11" i="3"/>
  <c r="G14" i="3"/>
  <c r="E27" i="3"/>
  <c r="F27" i="3" s="1"/>
  <c r="D10" i="3"/>
  <c r="E15" i="3"/>
  <c r="F16" i="3"/>
  <c r="H16" i="3" s="1"/>
  <c r="C19" i="2"/>
  <c r="D18" i="2" s="1"/>
  <c r="F7" i="3"/>
  <c r="D9" i="3"/>
  <c r="F11" i="3"/>
  <c r="H11" i="3" s="1"/>
  <c r="C12" i="3"/>
  <c r="D13" i="3"/>
  <c r="F15" i="3"/>
  <c r="H15" i="3" s="1"/>
  <c r="C16" i="3"/>
  <c r="G16" i="3"/>
  <c r="C23" i="3"/>
  <c r="G32" i="3"/>
  <c r="F9" i="3"/>
  <c r="H9" i="3" s="1"/>
  <c r="D15" i="3"/>
  <c r="E11" i="3"/>
  <c r="F12" i="3"/>
  <c r="H12" i="3" s="1"/>
  <c r="C13" i="3"/>
  <c r="G13" i="3"/>
  <c r="F16" i="2"/>
  <c r="C8" i="3"/>
  <c r="G8" i="3"/>
  <c r="E10" i="3"/>
  <c r="G12" i="3"/>
  <c r="E14" i="3"/>
  <c r="C10" i="2"/>
  <c r="C7" i="3"/>
  <c r="G7" i="3"/>
  <c r="D8" i="3"/>
  <c r="E9" i="3"/>
  <c r="F10" i="3"/>
  <c r="H10" i="3" s="1"/>
  <c r="C11" i="3"/>
  <c r="G11" i="3"/>
  <c r="D12" i="3"/>
  <c r="E13" i="3"/>
  <c r="F14" i="3"/>
  <c r="H14" i="3" s="1"/>
  <c r="C15" i="3"/>
  <c r="G15" i="3"/>
  <c r="G21" i="4"/>
  <c r="G18" i="4"/>
  <c r="B10" i="6"/>
  <c r="D9" i="6"/>
  <c r="C9" i="6"/>
  <c r="G17" i="2"/>
  <c r="E12" i="3"/>
  <c r="F13" i="3"/>
  <c r="H13" i="3" s="1"/>
  <c r="D16" i="5"/>
  <c r="H8" i="4"/>
  <c r="I9" i="4"/>
  <c r="H19" i="4"/>
  <c r="I20" i="4"/>
  <c r="C22" i="4"/>
  <c r="F22" i="4" s="1"/>
  <c r="H7" i="4"/>
  <c r="I8" i="4"/>
  <c r="D11" i="4"/>
  <c r="E12" i="4"/>
  <c r="G9" i="4" s="1"/>
  <c r="H18" i="4"/>
  <c r="I19" i="4"/>
  <c r="E9" i="5"/>
  <c r="D10" i="5"/>
  <c r="C11" i="5"/>
  <c r="H11" i="5" s="1"/>
  <c r="E13" i="5"/>
  <c r="D14" i="5"/>
  <c r="C15" i="5"/>
  <c r="H15" i="5" s="1"/>
  <c r="F22" i="5"/>
  <c r="D8" i="6"/>
  <c r="F8" i="6" s="1"/>
  <c r="D10" i="4"/>
  <c r="I18" i="4"/>
  <c r="D7" i="5"/>
  <c r="C8" i="5"/>
  <c r="H8" i="5" s="1"/>
  <c r="E10" i="5"/>
  <c r="D11" i="5"/>
  <c r="C12" i="5"/>
  <c r="H12" i="5" s="1"/>
  <c r="E14" i="5"/>
  <c r="D15" i="5"/>
  <c r="C16" i="5"/>
  <c r="H16" i="5" s="1"/>
  <c r="F23" i="5"/>
  <c r="G7" i="6"/>
  <c r="H9" i="4"/>
  <c r="E7" i="5"/>
  <c r="D8" i="5"/>
  <c r="C9" i="5"/>
  <c r="H9" i="5" s="1"/>
  <c r="E11" i="5"/>
  <c r="D12" i="5"/>
  <c r="C13" i="5"/>
  <c r="H13" i="5" s="1"/>
  <c r="E15" i="5"/>
  <c r="H22" i="5"/>
  <c r="Y13" i="5" l="1"/>
  <c r="X13" i="5"/>
  <c r="Y12" i="5"/>
  <c r="X12" i="5"/>
  <c r="Y11" i="5"/>
  <c r="X11" i="5"/>
  <c r="Y16" i="5"/>
  <c r="X16" i="5"/>
  <c r="Y15" i="5"/>
  <c r="X15" i="5"/>
  <c r="Y14" i="5"/>
  <c r="X14" i="5"/>
  <c r="Y9" i="5"/>
  <c r="X9" i="5"/>
  <c r="Y8" i="5"/>
  <c r="X8" i="5"/>
  <c r="Y10" i="5"/>
  <c r="X10" i="5"/>
  <c r="C21" i="7"/>
  <c r="F25" i="5"/>
  <c r="G19" i="4"/>
  <c r="G22" i="4" s="1"/>
  <c r="D10" i="7"/>
  <c r="D8" i="4"/>
  <c r="F19" i="2"/>
  <c r="C27" i="3"/>
  <c r="D7" i="4"/>
  <c r="G8" i="5"/>
  <c r="F8" i="5"/>
  <c r="C19" i="7"/>
  <c r="G8" i="4"/>
  <c r="H7" i="3"/>
  <c r="H17" i="3" s="1"/>
  <c r="F17" i="3"/>
  <c r="G9" i="5"/>
  <c r="F9" i="5"/>
  <c r="F9" i="6"/>
  <c r="G17" i="3"/>
  <c r="G9" i="6"/>
  <c r="E9" i="6"/>
  <c r="G12" i="5"/>
  <c r="F12" i="5"/>
  <c r="E17" i="5"/>
  <c r="E26" i="5" s="1"/>
  <c r="H26" i="5" s="1"/>
  <c r="D17" i="5"/>
  <c r="G7" i="5"/>
  <c r="F7" i="5"/>
  <c r="D20" i="4"/>
  <c r="D19" i="4"/>
  <c r="G11" i="5"/>
  <c r="F11" i="5"/>
  <c r="D21" i="4"/>
  <c r="F10" i="5"/>
  <c r="G10" i="5"/>
  <c r="D18" i="4"/>
  <c r="B11" i="6"/>
  <c r="D10" i="6"/>
  <c r="F10" i="6" s="1"/>
  <c r="C10" i="6"/>
  <c r="C20" i="2"/>
  <c r="D16" i="2"/>
  <c r="H7" i="5"/>
  <c r="D17" i="2"/>
  <c r="G19" i="2"/>
  <c r="G8" i="6"/>
  <c r="G15" i="5"/>
  <c r="F15" i="5"/>
  <c r="F14" i="5"/>
  <c r="G14" i="5"/>
  <c r="F12" i="4"/>
  <c r="G10" i="4"/>
  <c r="G11" i="4"/>
  <c r="G7" i="4"/>
  <c r="D12" i="4"/>
  <c r="G16" i="5"/>
  <c r="F16" i="5"/>
  <c r="G13" i="5"/>
  <c r="F13" i="5"/>
  <c r="B24" i="2"/>
  <c r="Y7" i="5" l="1"/>
  <c r="X7" i="5"/>
  <c r="G12" i="4"/>
  <c r="D11" i="7"/>
  <c r="D12" i="7"/>
  <c r="D19" i="2"/>
  <c r="B12" i="6"/>
  <c r="D11" i="6"/>
  <c r="F11" i="6" s="1"/>
  <c r="C11" i="6"/>
  <c r="G17" i="5"/>
  <c r="C20" i="7"/>
  <c r="D13" i="7"/>
  <c r="D22" i="4"/>
  <c r="D26" i="5"/>
  <c r="F17" i="5"/>
  <c r="E10" i="6"/>
  <c r="G10" i="6"/>
  <c r="G26" i="5" l="1"/>
  <c r="F26" i="5"/>
  <c r="B13" i="6"/>
  <c r="D12" i="6"/>
  <c r="F12" i="6" s="1"/>
  <c r="C12" i="6"/>
  <c r="G11" i="6"/>
  <c r="E11" i="6"/>
  <c r="B14" i="6" l="1"/>
  <c r="D13" i="6"/>
  <c r="C13" i="6"/>
  <c r="E12" i="6"/>
  <c r="G12" i="6"/>
  <c r="F13" i="6" l="1"/>
  <c r="B15" i="6"/>
  <c r="D14" i="6"/>
  <c r="F14" i="6" s="1"/>
  <c r="C14" i="6"/>
  <c r="G13" i="6"/>
  <c r="E13" i="6"/>
  <c r="B16" i="6" l="1"/>
  <c r="D15" i="6"/>
  <c r="F15" i="6" s="1"/>
  <c r="C15" i="6"/>
  <c r="E14" i="6"/>
  <c r="G14" i="6"/>
  <c r="G15" i="6" l="1"/>
  <c r="E15" i="6"/>
  <c r="B17" i="6"/>
  <c r="D16" i="6"/>
  <c r="F16" i="6" s="1"/>
  <c r="C16" i="6"/>
  <c r="B18" i="6" l="1"/>
  <c r="D17" i="6"/>
  <c r="F17" i="6" s="1"/>
  <c r="C17" i="6"/>
  <c r="E16" i="6"/>
  <c r="G16" i="6"/>
  <c r="D18" i="6" l="1"/>
  <c r="D27" i="6" s="1"/>
  <c r="C18" i="6"/>
  <c r="G17" i="6"/>
  <c r="E17" i="6"/>
  <c r="D25" i="6" l="1"/>
  <c r="E18" i="6"/>
  <c r="D23" i="6" s="1"/>
  <c r="G18" i="6"/>
  <c r="C19" i="6"/>
  <c r="G19" i="6" s="1"/>
  <c r="D30" i="6"/>
  <c r="D31" i="6" s="1"/>
  <c r="D28" i="6"/>
  <c r="D29" i="6"/>
  <c r="D26" i="6"/>
  <c r="F18" i="6"/>
  <c r="D24" i="6" s="1"/>
  <c r="D19" i="6"/>
  <c r="D32" i="6"/>
  <c r="D14" i="7" l="1"/>
  <c r="B6" i="7"/>
</calcChain>
</file>

<file path=xl/comments1.xml><?xml version="1.0" encoding="utf-8"?>
<comments xmlns="http://schemas.openxmlformats.org/spreadsheetml/2006/main">
  <authors>
    <author>Analyst</author>
  </authors>
  <commentList>
    <comment ref="W6" authorId="0" shapeId="0">
      <text>
        <r>
          <rPr>
            <sz val="11"/>
            <color theme="1"/>
            <rFont val="Calibri"/>
            <family val="2"/>
            <scheme val="minor"/>
          </rPr>
          <t>Adds ROW()/10^7 (far below ₦0.01) so tied totals still rank uniquely.</t>
        </r>
      </text>
    </comment>
  </commentList>
</comments>
</file>

<file path=xl/comments2.xml><?xml version="1.0" encoding="utf-8"?>
<comments xmlns="http://schemas.openxmlformats.org/spreadsheetml/2006/main">
  <authors>
    <author>Analyst</author>
  </authors>
  <commentList>
    <comment ref="B7" authorId="0" shapeId="0">
      <text>
        <r>
          <rPr>
            <sz val="11"/>
            <color theme="1"/>
            <rFont val="Calibri"/>
            <family val="2"/>
            <scheme val="minor"/>
          </rPr>
          <t>Start month (input). Later months roll forward with EDATE.</t>
        </r>
      </text>
    </comment>
  </commentList>
</comments>
</file>

<file path=xl/sharedStrings.xml><?xml version="1.0" encoding="utf-8"?>
<sst xmlns="http://schemas.openxmlformats.org/spreadsheetml/2006/main" count="20679" uniqueCount="3069">
  <si>
    <t>Transaction_ID</t>
  </si>
  <si>
    <t>Customer_ID</t>
  </si>
  <si>
    <t>Transaction_Date</t>
  </si>
  <si>
    <t>Transaction_Type</t>
  </si>
  <si>
    <t>Amount</t>
  </si>
  <si>
    <t>Transaction_Status</t>
  </si>
  <si>
    <t>Customer_Age</t>
  </si>
  <si>
    <t>Gender</t>
  </si>
  <si>
    <t>State</t>
  </si>
  <si>
    <t>Account_Type</t>
  </si>
  <si>
    <t>Payment_Method</t>
  </si>
  <si>
    <t>TXN-20250001</t>
  </si>
  <si>
    <t>CUST-0043</t>
  </si>
  <si>
    <t>Airtime/Data</t>
  </si>
  <si>
    <t>Successful</t>
  </si>
  <si>
    <t>Male</t>
  </si>
  <si>
    <t>Ogun</t>
  </si>
  <si>
    <t>Savings</t>
  </si>
  <si>
    <t>Bank Transfer</t>
  </si>
  <si>
    <t>TXN-20250002</t>
  </si>
  <si>
    <t>CUST-0277</t>
  </si>
  <si>
    <t>Kano</t>
  </si>
  <si>
    <t>Wallet Balance</t>
  </si>
  <si>
    <t>TXN-20250003</t>
  </si>
  <si>
    <t>CUST-0265</t>
  </si>
  <si>
    <t>Oyo</t>
  </si>
  <si>
    <t>TXN-20250004</t>
  </si>
  <si>
    <t>CUST-0052</t>
  </si>
  <si>
    <t>Transfer</t>
  </si>
  <si>
    <t>Female</t>
  </si>
  <si>
    <t>Edo</t>
  </si>
  <si>
    <t>TXN-20250005</t>
  </si>
  <si>
    <t>CUST-0276</t>
  </si>
  <si>
    <t>Bill Payment</t>
  </si>
  <si>
    <t>Lagos</t>
  </si>
  <si>
    <t>USSD</t>
  </si>
  <si>
    <t>TXN-20250006</t>
  </si>
  <si>
    <t>CUST-0233</t>
  </si>
  <si>
    <t>POS Payment</t>
  </si>
  <si>
    <t>TXN-20250007</t>
  </si>
  <si>
    <t>CUST-0312</t>
  </si>
  <si>
    <t>TXN-20250008</t>
  </si>
  <si>
    <t>CUST-0308</t>
  </si>
  <si>
    <t>Enugu</t>
  </si>
  <si>
    <t>Tier 1 Wallet</t>
  </si>
  <si>
    <t>Debit Card</t>
  </si>
  <si>
    <t>TXN-20250009</t>
  </si>
  <si>
    <t>CUST-0229</t>
  </si>
  <si>
    <t>Rivers</t>
  </si>
  <si>
    <t>Current</t>
  </si>
  <si>
    <t>TXN-20250010</t>
  </si>
  <si>
    <t>CUST-0035</t>
  </si>
  <si>
    <t>Tier 3 Verified</t>
  </si>
  <si>
    <t>TXN-20250011</t>
  </si>
  <si>
    <t>CUST-0088</t>
  </si>
  <si>
    <t>TXN-20250012</t>
  </si>
  <si>
    <t>CUST-0178</t>
  </si>
  <si>
    <t>Failed</t>
  </si>
  <si>
    <t>TXN-20250013</t>
  </si>
  <si>
    <t>CUST-0296</t>
  </si>
  <si>
    <t>FCT Abuja</t>
  </si>
  <si>
    <t>TXN-20250014</t>
  </si>
  <si>
    <t>CUST-0304</t>
  </si>
  <si>
    <t>TXN-20250015</t>
  </si>
  <si>
    <t>CUST-0077</t>
  </si>
  <si>
    <t>TXN-20250016</t>
  </si>
  <si>
    <t>TXN-20250017</t>
  </si>
  <si>
    <t>CUST-0224</t>
  </si>
  <si>
    <t>TXN-20250018</t>
  </si>
  <si>
    <t>CUST-0346</t>
  </si>
  <si>
    <t>TXN-20250019</t>
  </si>
  <si>
    <t>CUST-0108</t>
  </si>
  <si>
    <t>TXN-20250020</t>
  </si>
  <si>
    <t>CUST-0319</t>
  </si>
  <si>
    <t>TXN-20250021</t>
  </si>
  <si>
    <t>CUST-0166</t>
  </si>
  <si>
    <t>TXN-20250022</t>
  </si>
  <si>
    <t>CUST-0009</t>
  </si>
  <si>
    <t>Kaduna</t>
  </si>
  <si>
    <t>TXN-20250023</t>
  </si>
  <si>
    <t>CUST-0079</t>
  </si>
  <si>
    <t>TXN-20250024</t>
  </si>
  <si>
    <t>CUST-0153</t>
  </si>
  <si>
    <t>TXN-20250025</t>
  </si>
  <si>
    <t>CUST-0014</t>
  </si>
  <si>
    <t>TXN-20250026</t>
  </si>
  <si>
    <t>CUST-0053</t>
  </si>
  <si>
    <t>TXN-20250027</t>
  </si>
  <si>
    <t>CUST-0034</t>
  </si>
  <si>
    <t>TXN-20250028</t>
  </si>
  <si>
    <t>CUST-0101</t>
  </si>
  <si>
    <t>TXN-20250029</t>
  </si>
  <si>
    <t>CUST-0066</t>
  </si>
  <si>
    <t>TXN-20250030</t>
  </si>
  <si>
    <t>CUST-0122</t>
  </si>
  <si>
    <t>Delta</t>
  </si>
  <si>
    <t>TXN-20250031</t>
  </si>
  <si>
    <t>CUST-0189</t>
  </si>
  <si>
    <t>TXN-20250032</t>
  </si>
  <si>
    <t>CUST-0159</t>
  </si>
  <si>
    <t>TXN-20250033</t>
  </si>
  <si>
    <t>CUST-0328</t>
  </si>
  <si>
    <t>TXN-20250034</t>
  </si>
  <si>
    <t>CUST-0325</t>
  </si>
  <si>
    <t>TXN-20250035</t>
  </si>
  <si>
    <t>CUST-0323</t>
  </si>
  <si>
    <t>TXN-20250036</t>
  </si>
  <si>
    <t>CUST-0054</t>
  </si>
  <si>
    <t>TXN-20250037</t>
  </si>
  <si>
    <t>CUST-0273</t>
  </si>
  <si>
    <t>TXN-20250038</t>
  </si>
  <si>
    <t>CUST-0151</t>
  </si>
  <si>
    <t>TXN-20250039</t>
  </si>
  <si>
    <t>CUST-0024</t>
  </si>
  <si>
    <t>TXN-20250040</t>
  </si>
  <si>
    <t>CUST-0146</t>
  </si>
  <si>
    <t>TXN-20250041</t>
  </si>
  <si>
    <t>CUST-0127</t>
  </si>
  <si>
    <t>TXN-20250042</t>
  </si>
  <si>
    <t>CUST-0269</t>
  </si>
  <si>
    <t>TXN-20250043</t>
  </si>
  <si>
    <t>CUST-0350</t>
  </si>
  <si>
    <t>Pending</t>
  </si>
  <si>
    <t>TXN-20250044</t>
  </si>
  <si>
    <t>CUST-0192</t>
  </si>
  <si>
    <t>TXN-20250045</t>
  </si>
  <si>
    <t>CUST-0298</t>
  </si>
  <si>
    <t>TXN-20250046</t>
  </si>
  <si>
    <t>CUST-0038</t>
  </si>
  <si>
    <t>TXN-20250047</t>
  </si>
  <si>
    <t>CUST-0238</t>
  </si>
  <si>
    <t>TXN-20250048</t>
  </si>
  <si>
    <t>CUST-0313</t>
  </si>
  <si>
    <t>TXN-20250049</t>
  </si>
  <si>
    <t>CUST-0268</t>
  </si>
  <si>
    <t>TXN-20250050</t>
  </si>
  <si>
    <t>CUST-0271</t>
  </si>
  <si>
    <t>TXN-20250051</t>
  </si>
  <si>
    <t>CUST-0171</t>
  </si>
  <si>
    <t>TXN-20250052</t>
  </si>
  <si>
    <t>CUST-0133</t>
  </si>
  <si>
    <t>TXN-20250053</t>
  </si>
  <si>
    <t>CUST-0172</t>
  </si>
  <si>
    <t>TXN-20250054</t>
  </si>
  <si>
    <t>CUST-0113</t>
  </si>
  <si>
    <t>TXN-20250055</t>
  </si>
  <si>
    <t>CUST-0125</t>
  </si>
  <si>
    <t>TXN-20250056</t>
  </si>
  <si>
    <t>CUST-0123</t>
  </si>
  <si>
    <t>TXN-20250057</t>
  </si>
  <si>
    <t>CUST-0152</t>
  </si>
  <si>
    <t>TXN-20250058</t>
  </si>
  <si>
    <t>CUST-0291</t>
  </si>
  <si>
    <t>TXN-20250059</t>
  </si>
  <si>
    <t>Card Withdrawal</t>
  </si>
  <si>
    <t>TXN-20250060</t>
  </si>
  <si>
    <t>CUST-0163</t>
  </si>
  <si>
    <t>TXN-20250061</t>
  </si>
  <si>
    <t>CUST-0252</t>
  </si>
  <si>
    <t>TXN-20250062</t>
  </si>
  <si>
    <t>TXN-20250063</t>
  </si>
  <si>
    <t>CUST-0205</t>
  </si>
  <si>
    <t>TXN-20250064</t>
  </si>
  <si>
    <t>CUST-0280</t>
  </si>
  <si>
    <t>TXN-20250065</t>
  </si>
  <si>
    <t>CUST-0047</t>
  </si>
  <si>
    <t>TXN-20250066</t>
  </si>
  <si>
    <t>CUST-0297</t>
  </si>
  <si>
    <t>TXN-20250067</t>
  </si>
  <si>
    <t>CUST-0309</t>
  </si>
  <si>
    <t>TXN-20250068</t>
  </si>
  <si>
    <t>CUST-0065</t>
  </si>
  <si>
    <t>TXN-20250069</t>
  </si>
  <si>
    <t>CUST-0283</t>
  </si>
  <si>
    <t>TXN-20250070</t>
  </si>
  <si>
    <t>TXN-20250071</t>
  </si>
  <si>
    <t>CUST-0095</t>
  </si>
  <si>
    <t>TXN-20250072</t>
  </si>
  <si>
    <t>TXN-20250073</t>
  </si>
  <si>
    <t>CUST-0011</t>
  </si>
  <si>
    <t>TXN-20250074</t>
  </si>
  <si>
    <t>CUST-0288</t>
  </si>
  <si>
    <t>TXN-20250075</t>
  </si>
  <si>
    <t>CUST-0025</t>
  </si>
  <si>
    <t>TXN-20250076</t>
  </si>
  <si>
    <t>CUST-0223</t>
  </si>
  <si>
    <t>TXN-20250077</t>
  </si>
  <si>
    <t>TXN-20250078</t>
  </si>
  <si>
    <t>CUST-0115</t>
  </si>
  <si>
    <t>TXN-20250079</t>
  </si>
  <si>
    <t>CUST-0197</t>
  </si>
  <si>
    <t>TXN-20250080</t>
  </si>
  <si>
    <t>CUST-0074</t>
  </si>
  <si>
    <t>TXN-20250081</t>
  </si>
  <si>
    <t>CUST-0257</t>
  </si>
  <si>
    <t>TXN-20250082</t>
  </si>
  <si>
    <t>TXN-20250083</t>
  </si>
  <si>
    <t>TXN-20250084</t>
  </si>
  <si>
    <t>CUST-0059</t>
  </si>
  <si>
    <t>TXN-20250085</t>
  </si>
  <si>
    <t>TXN-20250086</t>
  </si>
  <si>
    <t>CUST-0284</t>
  </si>
  <si>
    <t>TXN-20250087</t>
  </si>
  <si>
    <t>CUST-0185</t>
  </si>
  <si>
    <t>TXN-20250088</t>
  </si>
  <si>
    <t>TXN-20250089</t>
  </si>
  <si>
    <t>TXN-20250090</t>
  </si>
  <si>
    <t>CUST-0334</t>
  </si>
  <si>
    <t>TXN-20250091</t>
  </si>
  <si>
    <t>CUST-0335</t>
  </si>
  <si>
    <t>TXN-20250092</t>
  </si>
  <si>
    <t>CUST-0126</t>
  </si>
  <si>
    <t>TXN-20250093</t>
  </si>
  <si>
    <t>CUST-0317</t>
  </si>
  <si>
    <t>TXN-20250094</t>
  </si>
  <si>
    <t>CUST-0157</t>
  </si>
  <si>
    <t>TXN-20250095</t>
  </si>
  <si>
    <t>CUST-0240</t>
  </si>
  <si>
    <t>TXN-20250096</t>
  </si>
  <si>
    <t>CUST-0105</t>
  </si>
  <si>
    <t>TXN-20250097</t>
  </si>
  <si>
    <t>CUST-0260</t>
  </si>
  <si>
    <t>TXN-20250098</t>
  </si>
  <si>
    <t>CUST-0016</t>
  </si>
  <si>
    <t>TXN-20250099</t>
  </si>
  <si>
    <t>CUST-0191</t>
  </si>
  <si>
    <t>TXN-20250100</t>
  </si>
  <si>
    <t>TXN-20250101</t>
  </si>
  <si>
    <t>CUST-0184</t>
  </si>
  <si>
    <t>TXN-20250102</t>
  </si>
  <si>
    <t>CUST-0050</t>
  </si>
  <si>
    <t>TXN-20250103</t>
  </si>
  <si>
    <t>CUST-0168</t>
  </si>
  <si>
    <t>TXN-20250104</t>
  </si>
  <si>
    <t>CUST-0091</t>
  </si>
  <si>
    <t>TXN-20250105</t>
  </si>
  <si>
    <t>CUST-0020</t>
  </si>
  <si>
    <t>TXN-20250106</t>
  </si>
  <si>
    <t>CUST-0045</t>
  </si>
  <si>
    <t>TXN-20250107</t>
  </si>
  <si>
    <t>CUST-0287</t>
  </si>
  <si>
    <t>TXN-20250108</t>
  </si>
  <si>
    <t>TXN-20250109</t>
  </si>
  <si>
    <t>TXN-20250110</t>
  </si>
  <si>
    <t>CUST-0343</t>
  </si>
  <si>
    <t>TXN-20250111</t>
  </si>
  <si>
    <t>CUST-0248</t>
  </si>
  <si>
    <t>TXN-20250112</t>
  </si>
  <si>
    <t>CUST-0010</t>
  </si>
  <si>
    <t>TXN-20250113</t>
  </si>
  <si>
    <t>CUST-0097</t>
  </si>
  <si>
    <t>TXN-20250114</t>
  </si>
  <si>
    <t>CUST-0031</t>
  </si>
  <si>
    <t>TXN-20250115</t>
  </si>
  <si>
    <t>CUST-0213</t>
  </si>
  <si>
    <t>TXN-20250116</t>
  </si>
  <si>
    <t>CUST-0023</t>
  </si>
  <si>
    <t>TXN-20250117</t>
  </si>
  <si>
    <t>CUST-0167</t>
  </si>
  <si>
    <t>TXN-20250118</t>
  </si>
  <si>
    <t>CUST-0139</t>
  </si>
  <si>
    <t>TXN-20250119</t>
  </si>
  <si>
    <t>CUST-0089</t>
  </si>
  <si>
    <t>TXN-20250120</t>
  </si>
  <si>
    <t>CUST-0107</t>
  </si>
  <si>
    <t>TXN-20250121</t>
  </si>
  <si>
    <t>CUST-0170</t>
  </si>
  <si>
    <t>TXN-20250122</t>
  </si>
  <si>
    <t>CUST-0310</t>
  </si>
  <si>
    <t>TXN-20250123</t>
  </si>
  <si>
    <t>CUST-0266</t>
  </si>
  <si>
    <t>TXN-20250124</t>
  </si>
  <si>
    <t>CUST-0293</t>
  </si>
  <si>
    <t>TXN-20250125</t>
  </si>
  <si>
    <t>TXN-20250126</t>
  </si>
  <si>
    <t>CUST-0049</t>
  </si>
  <si>
    <t>TXN-20250127</t>
  </si>
  <si>
    <t>CUST-0246</t>
  </si>
  <si>
    <t>TXN-20250128</t>
  </si>
  <si>
    <t>CUST-0051</t>
  </si>
  <si>
    <t>TXN-20250129</t>
  </si>
  <si>
    <t>TXN-20250130</t>
  </si>
  <si>
    <t>CUST-0219</t>
  </si>
  <si>
    <t>TXN-20250131</t>
  </si>
  <si>
    <t>CUST-0226</t>
  </si>
  <si>
    <t>TXN-20250132</t>
  </si>
  <si>
    <t>CUST-0148</t>
  </si>
  <si>
    <t>TXN-20250133</t>
  </si>
  <si>
    <t>TXN-20250134</t>
  </si>
  <si>
    <t>CUST-0289</t>
  </si>
  <si>
    <t>TXN-20250135</t>
  </si>
  <si>
    <t>CUST-0116</t>
  </si>
  <si>
    <t>TXN-20250136</t>
  </si>
  <si>
    <t>CUST-0212</t>
  </si>
  <si>
    <t>TXN-20250137</t>
  </si>
  <si>
    <t>TXN-20250138</t>
  </si>
  <si>
    <t>CUST-0262</t>
  </si>
  <si>
    <t>TXN-20250139</t>
  </si>
  <si>
    <t>TXN-20250140</t>
  </si>
  <si>
    <t>CUST-0006</t>
  </si>
  <si>
    <t>TXN-20250141</t>
  </si>
  <si>
    <t>CUST-0118</t>
  </si>
  <si>
    <t>TXN-20250142</t>
  </si>
  <si>
    <t>TXN-20250143</t>
  </si>
  <si>
    <t>TXN-20250144</t>
  </si>
  <si>
    <t>CUST-0217</t>
  </si>
  <si>
    <t>TXN-20250145</t>
  </si>
  <si>
    <t>CUST-0333</t>
  </si>
  <si>
    <t>TXN-20250146</t>
  </si>
  <si>
    <t>CUST-0216</t>
  </si>
  <si>
    <t>TXN-20250147</t>
  </si>
  <si>
    <t>CUST-0109</t>
  </si>
  <si>
    <t>TXN-20250148</t>
  </si>
  <si>
    <t>CUST-0225</t>
  </si>
  <si>
    <t>TXN-20250149</t>
  </si>
  <si>
    <t>CUST-0198</t>
  </si>
  <si>
    <t>TXN-20250150</t>
  </si>
  <si>
    <t>CUST-0264</t>
  </si>
  <si>
    <t>TXN-20250151</t>
  </si>
  <si>
    <t>TXN-20250152</t>
  </si>
  <si>
    <t>TXN-20250153</t>
  </si>
  <si>
    <t>TXN-20250154</t>
  </si>
  <si>
    <t>TXN-20250155</t>
  </si>
  <si>
    <t>CUST-0285</t>
  </si>
  <si>
    <t>TXN-20250156</t>
  </si>
  <si>
    <t>CUST-0258</t>
  </si>
  <si>
    <t>TXN-20250157</t>
  </si>
  <si>
    <t>CUST-0085</t>
  </si>
  <si>
    <t>TXN-20250158</t>
  </si>
  <si>
    <t>CUST-0022</t>
  </si>
  <si>
    <t>TXN-20250159</t>
  </si>
  <si>
    <t>TXN-20250160</t>
  </si>
  <si>
    <t>CUST-0218</t>
  </si>
  <si>
    <t>TXN-20250161</t>
  </si>
  <si>
    <t>CUST-0324</t>
  </si>
  <si>
    <t>TXN-20250162</t>
  </si>
  <si>
    <t>CUST-0173</t>
  </si>
  <si>
    <t>TXN-20250163</t>
  </si>
  <si>
    <t>CUST-0221</t>
  </si>
  <si>
    <t>TXN-20250164</t>
  </si>
  <si>
    <t>TXN-20250165</t>
  </si>
  <si>
    <t>CUST-0183</t>
  </si>
  <si>
    <t>TXN-20250166</t>
  </si>
  <si>
    <t>CUST-0069</t>
  </si>
  <si>
    <t>TXN-20250167</t>
  </si>
  <si>
    <t>TXN-20250168</t>
  </si>
  <si>
    <t>CUST-0138</t>
  </si>
  <si>
    <t>TXN-20250169</t>
  </si>
  <si>
    <t>CUST-0039</t>
  </si>
  <si>
    <t>TXN-20250170</t>
  </si>
  <si>
    <t>TXN-20250171</t>
  </si>
  <si>
    <t>TXN-20250172</t>
  </si>
  <si>
    <t>CUST-0136</t>
  </si>
  <si>
    <t>TXN-20250173</t>
  </si>
  <si>
    <t>CUST-0098</t>
  </si>
  <si>
    <t>TXN-20250174</t>
  </si>
  <si>
    <t>TXN-20250175</t>
  </si>
  <si>
    <t>CUST-0175</t>
  </si>
  <si>
    <t>TXN-20250176</t>
  </si>
  <si>
    <t>TXN-20250177</t>
  </si>
  <si>
    <t>CUST-0299</t>
  </si>
  <si>
    <t>TXN-20250178</t>
  </si>
  <si>
    <t>CUST-0144</t>
  </si>
  <si>
    <t>TXN-20250179</t>
  </si>
  <si>
    <t>CUST-0292</t>
  </si>
  <si>
    <t>TXN-20250180</t>
  </si>
  <si>
    <t>CUST-0294</t>
  </si>
  <si>
    <t>TXN-20250181</t>
  </si>
  <si>
    <t>CUST-0137</t>
  </si>
  <si>
    <t>TXN-20250182</t>
  </si>
  <si>
    <t>CUST-0142</t>
  </si>
  <si>
    <t>TXN-20250183</t>
  </si>
  <si>
    <t>CUST-0100</t>
  </si>
  <si>
    <t>TXN-20250184</t>
  </si>
  <si>
    <t>CUST-0180</t>
  </si>
  <si>
    <t>TXN-20250185</t>
  </si>
  <si>
    <t>TXN-20250186</t>
  </si>
  <si>
    <t>CUST-0030</t>
  </si>
  <si>
    <t>TXN-20250187</t>
  </si>
  <si>
    <t>TXN-20250188</t>
  </si>
  <si>
    <t>CUST-0322</t>
  </si>
  <si>
    <t>TXN-20250189</t>
  </si>
  <si>
    <t>CUST-0040</t>
  </si>
  <si>
    <t>TXN-20250190</t>
  </si>
  <si>
    <t>CUST-0121</t>
  </si>
  <si>
    <t>TXN-20250191</t>
  </si>
  <si>
    <t>CUST-0174</t>
  </si>
  <si>
    <t>TXN-20250192</t>
  </si>
  <si>
    <t>CUST-0235</t>
  </si>
  <si>
    <t>TXN-20250193</t>
  </si>
  <si>
    <t>CUST-0078</t>
  </si>
  <si>
    <t>TXN-20250194</t>
  </si>
  <si>
    <t>TXN-20250195</t>
  </si>
  <si>
    <t>CUST-0092</t>
  </si>
  <si>
    <t>TXN-20250196</t>
  </si>
  <si>
    <t>CUST-0075</t>
  </si>
  <si>
    <t>TXN-20250197</t>
  </si>
  <si>
    <t>TXN-20250198</t>
  </si>
  <si>
    <t>TXN-20250199</t>
  </si>
  <si>
    <t>CUST-0206</t>
  </si>
  <si>
    <t>TXN-20250200</t>
  </si>
  <si>
    <t>CUST-0239</t>
  </si>
  <si>
    <t>TXN-20250201</t>
  </si>
  <si>
    <t>CUST-0061</t>
  </si>
  <si>
    <t>TXN-20250202</t>
  </si>
  <si>
    <t>TXN-20250203</t>
  </si>
  <si>
    <t>CUST-0237</t>
  </si>
  <si>
    <t>TXN-20250204</t>
  </si>
  <si>
    <t>CUST-0099</t>
  </si>
  <si>
    <t>TXN-20250205</t>
  </si>
  <si>
    <t>TXN-20250206</t>
  </si>
  <si>
    <t>TXN-20250207</t>
  </si>
  <si>
    <t>TXN-20250208</t>
  </si>
  <si>
    <t>TXN-20250209</t>
  </si>
  <si>
    <t>TXN-20250210</t>
  </si>
  <si>
    <t>CUST-0275</t>
  </si>
  <si>
    <t>TXN-20250211</t>
  </si>
  <si>
    <t>CUST-0036</t>
  </si>
  <si>
    <t>TXN-20250212</t>
  </si>
  <si>
    <t>TXN-20250213</t>
  </si>
  <si>
    <t>TXN-20250214</t>
  </si>
  <si>
    <t>TXN-20250215</t>
  </si>
  <si>
    <t>TXN-20250216</t>
  </si>
  <si>
    <t>CUST-0064</t>
  </si>
  <si>
    <t>TXN-20250217</t>
  </si>
  <si>
    <t>TXN-20250218</t>
  </si>
  <si>
    <t>TXN-20250219</t>
  </si>
  <si>
    <t>CUST-0210</t>
  </si>
  <si>
    <t>TXN-20250220</t>
  </si>
  <si>
    <t>CUST-0220</t>
  </si>
  <si>
    <t>TXN-20250221</t>
  </si>
  <si>
    <t>CUST-0164</t>
  </si>
  <si>
    <t>TXN-20250222</t>
  </si>
  <si>
    <t>CUST-0154</t>
  </si>
  <si>
    <t>TXN-20250223</t>
  </si>
  <si>
    <t>CUST-0046</t>
  </si>
  <si>
    <t>TXN-20250224</t>
  </si>
  <si>
    <t>TXN-20250225</t>
  </si>
  <si>
    <t>CUST-0301</t>
  </si>
  <si>
    <t>TXN-20250226</t>
  </si>
  <si>
    <t>CUST-0347</t>
  </si>
  <si>
    <t>TXN-20250227</t>
  </si>
  <si>
    <t>TXN-20250228</t>
  </si>
  <si>
    <t>TXN-20250229</t>
  </si>
  <si>
    <t>TXN-20250230</t>
  </si>
  <si>
    <t>TXN-20250231</t>
  </si>
  <si>
    <t>CUST-0135</t>
  </si>
  <si>
    <t>TXN-20250232</t>
  </si>
  <si>
    <t>TXN-20250233</t>
  </si>
  <si>
    <t>CUST-0134</t>
  </si>
  <si>
    <t>TXN-20250234</t>
  </si>
  <si>
    <t>TXN-20250235</t>
  </si>
  <si>
    <t>CUST-0005</t>
  </si>
  <si>
    <t>TXN-20250236</t>
  </si>
  <si>
    <t>CUST-0044</t>
  </si>
  <si>
    <t>TXN-20250237</t>
  </si>
  <si>
    <t>TXN-20250238</t>
  </si>
  <si>
    <t>TXN-20250239</t>
  </si>
  <si>
    <t>TXN-20250240</t>
  </si>
  <si>
    <t>TXN-20250241</t>
  </si>
  <si>
    <t>TXN-20250242</t>
  </si>
  <si>
    <t>CUST-0102</t>
  </si>
  <si>
    <t>TXN-20250243</t>
  </si>
  <si>
    <t>TXN-20250244</t>
  </si>
  <si>
    <t>CUST-0103</t>
  </si>
  <si>
    <t>TXN-20250245</t>
  </si>
  <si>
    <t>TXN-20250246</t>
  </si>
  <si>
    <t>TXN-20250247</t>
  </si>
  <si>
    <t>CUST-0349</t>
  </si>
  <si>
    <t>TXN-20250248</t>
  </si>
  <si>
    <t>TXN-20250249</t>
  </si>
  <si>
    <t>TXN-20250250</t>
  </si>
  <si>
    <t>TXN-20250251</t>
  </si>
  <si>
    <t>TXN-20250252</t>
  </si>
  <si>
    <t>TXN-20250253</t>
  </si>
  <si>
    <t>TXN-20250254</t>
  </si>
  <si>
    <t>CUST-0208</t>
  </si>
  <si>
    <t>TXN-20250255</t>
  </si>
  <si>
    <t>TXN-20250256</t>
  </si>
  <si>
    <t>TXN-20250257</t>
  </si>
  <si>
    <t>TXN-20250258</t>
  </si>
  <si>
    <t>CUST-0255</t>
  </si>
  <si>
    <t>TXN-20250259</t>
  </si>
  <si>
    <t>CUST-0311</t>
  </si>
  <si>
    <t>TXN-20250260</t>
  </si>
  <si>
    <t>CUST-0281</t>
  </si>
  <si>
    <t>TXN-20250261</t>
  </si>
  <si>
    <t>TXN-20250262</t>
  </si>
  <si>
    <t>TXN-20250263</t>
  </si>
  <si>
    <t>CUST-0076</t>
  </si>
  <si>
    <t>TXN-20250264</t>
  </si>
  <si>
    <t>TXN-20250265</t>
  </si>
  <si>
    <t>CUST-0261</t>
  </si>
  <si>
    <t>TXN-20250266</t>
  </si>
  <si>
    <t>CUST-0147</t>
  </si>
  <si>
    <t>TXN-20250267</t>
  </si>
  <si>
    <t>TXN-20250268</t>
  </si>
  <si>
    <t>CUST-0176</t>
  </si>
  <si>
    <t>TXN-20250269</t>
  </si>
  <si>
    <t>TXN-20250270</t>
  </si>
  <si>
    <t>CUST-0130</t>
  </si>
  <si>
    <t>TXN-20250271</t>
  </si>
  <si>
    <t>CUST-0193</t>
  </si>
  <si>
    <t>TXN-20250272</t>
  </si>
  <si>
    <t>TXN-20250273</t>
  </si>
  <si>
    <t>CUST-0008</t>
  </si>
  <si>
    <t>TXN-20250274</t>
  </si>
  <si>
    <t>TXN-20250275</t>
  </si>
  <si>
    <t>TXN-20250276</t>
  </si>
  <si>
    <t>CUST-0228</t>
  </si>
  <si>
    <t>TXN-20250277</t>
  </si>
  <si>
    <t>CUST-0003</t>
  </si>
  <si>
    <t>TXN-20250278</t>
  </si>
  <si>
    <t>CUST-0267</t>
  </si>
  <si>
    <t>TXN-20250279</t>
  </si>
  <si>
    <t>TXN-20250280</t>
  </si>
  <si>
    <t>TXN-20250281</t>
  </si>
  <si>
    <t>CUST-0234</t>
  </si>
  <si>
    <t>TXN-20250282</t>
  </si>
  <si>
    <t>TXN-20250283</t>
  </si>
  <si>
    <t>TXN-20250284</t>
  </si>
  <si>
    <t>CUST-0140</t>
  </si>
  <si>
    <t>TXN-20250285</t>
  </si>
  <si>
    <t>TXN-20250286</t>
  </si>
  <si>
    <t>CUST-0004</t>
  </si>
  <si>
    <t>TXN-20250287</t>
  </si>
  <si>
    <t>TXN-20250288</t>
  </si>
  <si>
    <t>CUST-0111</t>
  </si>
  <si>
    <t>TXN-20250289</t>
  </si>
  <si>
    <t>CUST-0037</t>
  </si>
  <si>
    <t>TXN-20250290</t>
  </si>
  <si>
    <t>TXN-20250291</t>
  </si>
  <si>
    <t>CUST-0314</t>
  </si>
  <si>
    <t>TXN-20250292</t>
  </si>
  <si>
    <t>TXN-20250293</t>
  </si>
  <si>
    <t>CUST-0232</t>
  </si>
  <si>
    <t>TXN-20250294</t>
  </si>
  <si>
    <t>TXN-20250295</t>
  </si>
  <si>
    <t>CUST-0094</t>
  </si>
  <si>
    <t>TXN-20250296</t>
  </si>
  <si>
    <t>TXN-20250297</t>
  </si>
  <si>
    <t>CUST-0158</t>
  </si>
  <si>
    <t>TXN-20250298</t>
  </si>
  <si>
    <t>CUST-0204</t>
  </si>
  <si>
    <t>TXN-20250299</t>
  </si>
  <si>
    <t>CUST-0033</t>
  </si>
  <si>
    <t>TXN-20250300</t>
  </si>
  <si>
    <t>CUST-0028</t>
  </si>
  <si>
    <t>TXN-20250301</t>
  </si>
  <si>
    <t>CUST-0270</t>
  </si>
  <si>
    <t>TXN-20250302</t>
  </si>
  <si>
    <t>CUST-0156</t>
  </si>
  <si>
    <t>TXN-20250303</t>
  </si>
  <si>
    <t>TXN-20250304</t>
  </si>
  <si>
    <t>TXN-20250305</t>
  </si>
  <si>
    <t>TXN-20250306</t>
  </si>
  <si>
    <t>TXN-20250307</t>
  </si>
  <si>
    <t>TXN-20250308</t>
  </si>
  <si>
    <t>TXN-20250309</t>
  </si>
  <si>
    <t>TXN-20250310</t>
  </si>
  <si>
    <t>CUST-0119</t>
  </si>
  <si>
    <t>TXN-20250311</t>
  </si>
  <si>
    <t>CUST-0303</t>
  </si>
  <si>
    <t>TXN-20250312</t>
  </si>
  <si>
    <t>CUST-0093</t>
  </si>
  <si>
    <t>TXN-20250313</t>
  </si>
  <si>
    <t>TXN-20250314</t>
  </si>
  <si>
    <t>CUST-0055</t>
  </si>
  <si>
    <t>TXN-20250315</t>
  </si>
  <si>
    <t>TXN-20250316</t>
  </si>
  <si>
    <t>TXN-20250317</t>
  </si>
  <si>
    <t>TXN-20250318</t>
  </si>
  <si>
    <t>CUST-0342</t>
  </si>
  <si>
    <t>TXN-20250319</t>
  </si>
  <si>
    <t>TXN-20250320</t>
  </si>
  <si>
    <t>CUST-0056</t>
  </si>
  <si>
    <t>TXN-20250321</t>
  </si>
  <si>
    <t>TXN-20250322</t>
  </si>
  <si>
    <t>TXN-20250323</t>
  </si>
  <si>
    <t>TXN-20250324</t>
  </si>
  <si>
    <t>TXN-20250325</t>
  </si>
  <si>
    <t>CUST-0090</t>
  </si>
  <si>
    <t>TXN-20250326</t>
  </si>
  <si>
    <t>TXN-20250327</t>
  </si>
  <si>
    <t>TXN-20250328</t>
  </si>
  <si>
    <t>CUST-0251</t>
  </si>
  <si>
    <t>TXN-20250329</t>
  </si>
  <si>
    <t>CUST-0344</t>
  </si>
  <si>
    <t>TXN-20250330</t>
  </si>
  <si>
    <t>TXN-20250331</t>
  </si>
  <si>
    <t>TXN-20250332</t>
  </si>
  <si>
    <t>TXN-20250333</t>
  </si>
  <si>
    <t>TXN-20250334</t>
  </si>
  <si>
    <t>CUST-0143</t>
  </si>
  <si>
    <t>TXN-20250335</t>
  </si>
  <si>
    <t>CUST-0083</t>
  </si>
  <si>
    <t>TXN-20250336</t>
  </si>
  <si>
    <t>CUST-0329</t>
  </si>
  <si>
    <t>TXN-20250337</t>
  </si>
  <si>
    <t>TXN-20250338</t>
  </si>
  <si>
    <t>TXN-20250339</t>
  </si>
  <si>
    <t>TXN-20250340</t>
  </si>
  <si>
    <t>TXN-20250341</t>
  </si>
  <si>
    <t>CUST-0084</t>
  </si>
  <si>
    <t>TXN-20250342</t>
  </si>
  <si>
    <t>CUST-0230</t>
  </si>
  <si>
    <t>TXN-20250343</t>
  </si>
  <si>
    <t>CUST-0316</t>
  </si>
  <si>
    <t>TXN-20250344</t>
  </si>
  <si>
    <t>TXN-20250345</t>
  </si>
  <si>
    <t>TXN-20250346</t>
  </si>
  <si>
    <t>TXN-20250347</t>
  </si>
  <si>
    <t>TXN-20250348</t>
  </si>
  <si>
    <t>TXN-20250349</t>
  </si>
  <si>
    <t>TXN-20250350</t>
  </si>
  <si>
    <t>TXN-20250351</t>
  </si>
  <si>
    <t>TXN-20250352</t>
  </si>
  <si>
    <t>CUST-0320</t>
  </si>
  <si>
    <t>TXN-20250353</t>
  </si>
  <si>
    <t>CUST-0300</t>
  </si>
  <si>
    <t>TXN-20250354</t>
  </si>
  <si>
    <t>TXN-20250355</t>
  </si>
  <si>
    <t>TXN-20250356</t>
  </si>
  <si>
    <t>CUST-0063</t>
  </si>
  <si>
    <t>TXN-20250357</t>
  </si>
  <si>
    <t>TXN-20250358</t>
  </si>
  <si>
    <t>TXN-20250359</t>
  </si>
  <si>
    <t>TXN-20250360</t>
  </si>
  <si>
    <t>TXN-20250361</t>
  </si>
  <si>
    <t>CUST-0096</t>
  </si>
  <si>
    <t>TXN-20250362</t>
  </si>
  <si>
    <t>CUST-0286</t>
  </si>
  <si>
    <t>TXN-20250363</t>
  </si>
  <si>
    <t>TXN-20250364</t>
  </si>
  <si>
    <t>CUST-0181</t>
  </si>
  <si>
    <t>TXN-20250365</t>
  </si>
  <si>
    <t>TXN-20250366</t>
  </si>
  <si>
    <t>TXN-20250367</t>
  </si>
  <si>
    <t>TXN-20250368</t>
  </si>
  <si>
    <t>TXN-20250369</t>
  </si>
  <si>
    <t>TXN-20250370</t>
  </si>
  <si>
    <t>TXN-20250371</t>
  </si>
  <si>
    <t>CUST-0177</t>
  </si>
  <si>
    <t>TXN-20250372</t>
  </si>
  <si>
    <t>TXN-20250373</t>
  </si>
  <si>
    <t>TXN-20250374</t>
  </si>
  <si>
    <t>TXN-20250375</t>
  </si>
  <si>
    <t>TXN-20250376</t>
  </si>
  <si>
    <t>TXN-20250377</t>
  </si>
  <si>
    <t>CUST-0114</t>
  </si>
  <si>
    <t>TXN-20250378</t>
  </si>
  <si>
    <t>TXN-20250379</t>
  </si>
  <si>
    <t>TXN-20250380</t>
  </si>
  <si>
    <t>TXN-20250381</t>
  </si>
  <si>
    <t>CUST-0012</t>
  </si>
  <si>
    <t>TXN-20250382</t>
  </si>
  <si>
    <t>TXN-20250383</t>
  </si>
  <si>
    <t>TXN-20250384</t>
  </si>
  <si>
    <t>TXN-20250385</t>
  </si>
  <si>
    <t>TXN-20250386</t>
  </si>
  <si>
    <t>CUST-0062</t>
  </si>
  <si>
    <t>TXN-20250387</t>
  </si>
  <si>
    <t>CUST-0132</t>
  </si>
  <si>
    <t>TXN-20250388</t>
  </si>
  <si>
    <t>TXN-20250389</t>
  </si>
  <si>
    <t>TXN-20250390</t>
  </si>
  <si>
    <t>TXN-20250391</t>
  </si>
  <si>
    <t>TXN-20250392</t>
  </si>
  <si>
    <t>TXN-20250393</t>
  </si>
  <si>
    <t>TXN-20250394</t>
  </si>
  <si>
    <t>TXN-20250395</t>
  </si>
  <si>
    <t>TXN-20250396</t>
  </si>
  <si>
    <t>TXN-20250397</t>
  </si>
  <si>
    <t>TXN-20250398</t>
  </si>
  <si>
    <t>TXN-20250399</t>
  </si>
  <si>
    <t>TXN-20250400</t>
  </si>
  <si>
    <t>TXN-20250401</t>
  </si>
  <si>
    <t>TXN-20250402</t>
  </si>
  <si>
    <t>TXN-20250403</t>
  </si>
  <si>
    <t>TXN-20250404</t>
  </si>
  <si>
    <t>TXN-20250405</t>
  </si>
  <si>
    <t>TXN-20250406</t>
  </si>
  <si>
    <t>TXN-20250407</t>
  </si>
  <si>
    <t>TXN-20250408</t>
  </si>
  <si>
    <t>TXN-20250409</t>
  </si>
  <si>
    <t>TXN-20250410</t>
  </si>
  <si>
    <t>TXN-20250411</t>
  </si>
  <si>
    <t>TXN-20250412</t>
  </si>
  <si>
    <t>CUST-0068</t>
  </si>
  <si>
    <t>TXN-20250413</t>
  </si>
  <si>
    <t>CUST-0190</t>
  </si>
  <si>
    <t>TXN-20250414</t>
  </si>
  <si>
    <t>CUST-0182</t>
  </si>
  <si>
    <t>TXN-20250415</t>
  </si>
  <si>
    <t>TXN-20250416</t>
  </si>
  <si>
    <t>TXN-20250417</t>
  </si>
  <si>
    <t>TXN-20250418</t>
  </si>
  <si>
    <t>TXN-20250419</t>
  </si>
  <si>
    <t>TXN-20250420</t>
  </si>
  <si>
    <t>TXN-20250421</t>
  </si>
  <si>
    <t>TXN-20250422</t>
  </si>
  <si>
    <t>TXN-20250423</t>
  </si>
  <si>
    <t>TXN-20250424</t>
  </si>
  <si>
    <t>TXN-20250425</t>
  </si>
  <si>
    <t>TXN-20250426</t>
  </si>
  <si>
    <t>TXN-20250427</t>
  </si>
  <si>
    <t>TXN-20250428</t>
  </si>
  <si>
    <t>CUST-0327</t>
  </si>
  <si>
    <t>TXN-20250429</t>
  </si>
  <si>
    <t>CUST-0307</t>
  </si>
  <si>
    <t>TXN-20250430</t>
  </si>
  <si>
    <t>TXN-20250431</t>
  </si>
  <si>
    <t>TXN-20250432</t>
  </si>
  <si>
    <t>TXN-20250433</t>
  </si>
  <si>
    <t>TXN-20250434</t>
  </si>
  <si>
    <t>TXN-20250435</t>
  </si>
  <si>
    <t>CUST-0007</t>
  </si>
  <si>
    <t>TXN-20250436</t>
  </si>
  <si>
    <t>CUST-0124</t>
  </si>
  <si>
    <t>TXN-20250437</t>
  </si>
  <si>
    <t>TXN-20250438</t>
  </si>
  <si>
    <t>TXN-20250439</t>
  </si>
  <si>
    <t>CUST-0128</t>
  </si>
  <si>
    <t>TXN-20250440</t>
  </si>
  <si>
    <t>CUST-0080</t>
  </si>
  <si>
    <t>TXN-20250441</t>
  </si>
  <si>
    <t>TXN-20250442</t>
  </si>
  <si>
    <t>TXN-20250443</t>
  </si>
  <si>
    <t>TXN-20250444</t>
  </si>
  <si>
    <t>TXN-20250445</t>
  </si>
  <si>
    <t>CUST-0070</t>
  </si>
  <si>
    <t>TXN-20250446</t>
  </si>
  <si>
    <t>CUST-0250</t>
  </si>
  <si>
    <t>TXN-20250447</t>
  </si>
  <si>
    <t>CUST-0018</t>
  </si>
  <si>
    <t>TXN-20250448</t>
  </si>
  <si>
    <t>TXN-20250449</t>
  </si>
  <si>
    <t>TXN-20250450</t>
  </si>
  <si>
    <t>TXN-20250451</t>
  </si>
  <si>
    <t>TXN-20250452</t>
  </si>
  <si>
    <t>CUST-0179</t>
  </si>
  <si>
    <t>TXN-20250453</t>
  </si>
  <si>
    <t>TXN-20250454</t>
  </si>
  <si>
    <t>CUST-0019</t>
  </si>
  <si>
    <t>TXN-20250455</t>
  </si>
  <si>
    <t>TXN-20250456</t>
  </si>
  <si>
    <t>CUST-0150</t>
  </si>
  <si>
    <t>TXN-20250457</t>
  </si>
  <si>
    <t>TXN-20250458</t>
  </si>
  <si>
    <t>TXN-20250459</t>
  </si>
  <si>
    <t>TXN-20250460</t>
  </si>
  <si>
    <t>TXN-20250461</t>
  </si>
  <si>
    <t>CUST-0058</t>
  </si>
  <si>
    <t>TXN-20250462</t>
  </si>
  <si>
    <t>TXN-20250463</t>
  </si>
  <si>
    <t>TXN-20250464</t>
  </si>
  <si>
    <t>CUST-0315</t>
  </si>
  <si>
    <t>TXN-20250465</t>
  </si>
  <si>
    <t>TXN-20250466</t>
  </si>
  <si>
    <t>CUST-0072</t>
  </si>
  <si>
    <t>TXN-20250467</t>
  </si>
  <si>
    <t>TXN-20250468</t>
  </si>
  <si>
    <t>TXN-20250469</t>
  </si>
  <si>
    <t>TXN-20250470</t>
  </si>
  <si>
    <t>TXN-20250471</t>
  </si>
  <si>
    <t>CUST-0013</t>
  </si>
  <si>
    <t>TXN-20250472</t>
  </si>
  <si>
    <t>CUST-0247</t>
  </si>
  <si>
    <t>TXN-20250473</t>
  </si>
  <si>
    <t>CUST-0002</t>
  </si>
  <si>
    <t>TXN-20250474</t>
  </si>
  <si>
    <t>TXN-20250475</t>
  </si>
  <si>
    <t>CUST-0082</t>
  </si>
  <si>
    <t>TXN-20250476</t>
  </si>
  <si>
    <t>CUST-0339</t>
  </si>
  <si>
    <t>TXN-20250477</t>
  </si>
  <si>
    <t>TXN-20250478</t>
  </si>
  <si>
    <t>TXN-20250479</t>
  </si>
  <si>
    <t>TXN-20250480</t>
  </si>
  <si>
    <t>TXN-20250481</t>
  </si>
  <si>
    <t>TXN-20250482</t>
  </si>
  <si>
    <t>CUST-0141</t>
  </si>
  <si>
    <t>TXN-20250483</t>
  </si>
  <si>
    <t>TXN-20250484</t>
  </si>
  <si>
    <t>CUST-0202</t>
  </si>
  <si>
    <t>TXN-20250485</t>
  </si>
  <si>
    <t>CUST-0330</t>
  </si>
  <si>
    <t>TXN-20250486</t>
  </si>
  <si>
    <t>TXN-20250487</t>
  </si>
  <si>
    <t>TXN-20250488</t>
  </si>
  <si>
    <t>TXN-20250489</t>
  </si>
  <si>
    <t>TXN-20250490</t>
  </si>
  <si>
    <t>CUST-0196</t>
  </si>
  <si>
    <t>TXN-20250491</t>
  </si>
  <si>
    <t>TXN-20250492</t>
  </si>
  <si>
    <t>TXN-20250493</t>
  </si>
  <si>
    <t>TXN-20250494</t>
  </si>
  <si>
    <t>TXN-20250495</t>
  </si>
  <si>
    <t>CUST-0057</t>
  </si>
  <si>
    <t>TXN-20250496</t>
  </si>
  <si>
    <t>TXN-20250497</t>
  </si>
  <si>
    <t>CUST-0244</t>
  </si>
  <si>
    <t>TXN-20250498</t>
  </si>
  <si>
    <t>TXN-20250499</t>
  </si>
  <si>
    <t>TXN-20250500</t>
  </si>
  <si>
    <t>TXN-20250501</t>
  </si>
  <si>
    <t>CUST-0279</t>
  </si>
  <si>
    <t>TXN-20250502</t>
  </si>
  <si>
    <t>CUST-0201</t>
  </si>
  <si>
    <t>TXN-20250503</t>
  </si>
  <si>
    <t>CUST-0241</t>
  </si>
  <si>
    <t>TXN-20250504</t>
  </si>
  <si>
    <t>TXN-20250505</t>
  </si>
  <si>
    <t>TXN-20250506</t>
  </si>
  <si>
    <t>TXN-20250507</t>
  </si>
  <si>
    <t>TXN-20250508</t>
  </si>
  <si>
    <t>CUST-0256</t>
  </si>
  <si>
    <t>TXN-20250509</t>
  </si>
  <si>
    <t>TXN-20250510</t>
  </si>
  <si>
    <t>TXN-20250511</t>
  </si>
  <si>
    <t>TXN-20250512</t>
  </si>
  <si>
    <t>TXN-20250513</t>
  </si>
  <si>
    <t>TXN-20250514</t>
  </si>
  <si>
    <t>TXN-20250515</t>
  </si>
  <si>
    <t>TXN-20250516</t>
  </si>
  <si>
    <t>TXN-20250517</t>
  </si>
  <si>
    <t>TXN-20250518</t>
  </si>
  <si>
    <t>TXN-20250519</t>
  </si>
  <si>
    <t>TXN-20250520</t>
  </si>
  <si>
    <t>CUST-0155</t>
  </si>
  <si>
    <t>TXN-20250521</t>
  </si>
  <si>
    <t>TXN-20250522</t>
  </si>
  <si>
    <t>TXN-20250523</t>
  </si>
  <si>
    <t>TXN-20250524</t>
  </si>
  <si>
    <t>CUST-0345</t>
  </si>
  <si>
    <t>TXN-20250525</t>
  </si>
  <si>
    <t>TXN-20250526</t>
  </si>
  <si>
    <t>CUST-0032</t>
  </si>
  <si>
    <t>TXN-20250527</t>
  </si>
  <si>
    <t>CUST-0243</t>
  </si>
  <si>
    <t>TXN-20250528</t>
  </si>
  <si>
    <t>TXN-20250529</t>
  </si>
  <si>
    <t>TXN-20250530</t>
  </si>
  <si>
    <t>TXN-20250531</t>
  </si>
  <si>
    <t>TXN-20250532</t>
  </si>
  <si>
    <t>CUST-0041</t>
  </si>
  <si>
    <t>TXN-20250533</t>
  </si>
  <si>
    <t>CUST-0161</t>
  </si>
  <si>
    <t>TXN-20250534</t>
  </si>
  <si>
    <t>TXN-20250535</t>
  </si>
  <si>
    <t>TXN-20250536</t>
  </si>
  <si>
    <t>TXN-20250537</t>
  </si>
  <si>
    <t>TXN-20250538</t>
  </si>
  <si>
    <t>CUST-0348</t>
  </si>
  <si>
    <t>TXN-20250539</t>
  </si>
  <si>
    <t>TXN-20250540</t>
  </si>
  <si>
    <t>TXN-20250541</t>
  </si>
  <si>
    <t>TXN-20250542</t>
  </si>
  <si>
    <t>TXN-20250543</t>
  </si>
  <si>
    <t>TXN-20250544</t>
  </si>
  <si>
    <t>CUST-0194</t>
  </si>
  <si>
    <t>TXN-20250545</t>
  </si>
  <si>
    <t>TXN-20250546</t>
  </si>
  <si>
    <t>TXN-20250547</t>
  </si>
  <si>
    <t>TXN-20250548</t>
  </si>
  <si>
    <t>TXN-20250549</t>
  </si>
  <si>
    <t>TXN-20250550</t>
  </si>
  <si>
    <t>TXN-20250551</t>
  </si>
  <si>
    <t>CUST-0214</t>
  </si>
  <si>
    <t>TXN-20250552</t>
  </si>
  <si>
    <t>TXN-20250553</t>
  </si>
  <si>
    <t>TXN-20250554</t>
  </si>
  <si>
    <t>CUST-0188</t>
  </si>
  <si>
    <t>TXN-20250555</t>
  </si>
  <si>
    <t>CUST-0209</t>
  </si>
  <si>
    <t>TXN-20250556</t>
  </si>
  <si>
    <t>TXN-20250557</t>
  </si>
  <si>
    <t>TXN-20250558</t>
  </si>
  <si>
    <t>TXN-20250559</t>
  </si>
  <si>
    <t>TXN-20250560</t>
  </si>
  <si>
    <t>TXN-20250561</t>
  </si>
  <si>
    <t>TXN-20250562</t>
  </si>
  <si>
    <t>TXN-20250563</t>
  </si>
  <si>
    <t>TXN-20250564</t>
  </si>
  <si>
    <t>TXN-20250565</t>
  </si>
  <si>
    <t>TXN-20250566</t>
  </si>
  <si>
    <t>TXN-20250567</t>
  </si>
  <si>
    <t>CUST-0029</t>
  </si>
  <si>
    <t>TXN-20250568</t>
  </si>
  <si>
    <t>TXN-20250569</t>
  </si>
  <si>
    <t>TXN-20250570</t>
  </si>
  <si>
    <t>TXN-20250571</t>
  </si>
  <si>
    <t>TXN-20250572</t>
  </si>
  <si>
    <t>CUST-0200</t>
  </si>
  <si>
    <t>TXN-20250573</t>
  </si>
  <si>
    <t>TXN-20250574</t>
  </si>
  <si>
    <t>CUST-0067</t>
  </si>
  <si>
    <t>TXN-20250575</t>
  </si>
  <si>
    <t>CUST-0282</t>
  </si>
  <si>
    <t>TXN-20250576</t>
  </si>
  <si>
    <t>TXN-20250577</t>
  </si>
  <si>
    <t>TXN-20250578</t>
  </si>
  <si>
    <t>TXN-20250579</t>
  </si>
  <si>
    <t>CUST-0222</t>
  </si>
  <si>
    <t>TXN-20250580</t>
  </si>
  <si>
    <t>TXN-20250581</t>
  </si>
  <si>
    <t>TXN-20250582</t>
  </si>
  <si>
    <t>TXN-20250583</t>
  </si>
  <si>
    <t>TXN-20250584</t>
  </si>
  <si>
    <t>CUST-0253</t>
  </si>
  <si>
    <t>TXN-20250585</t>
  </si>
  <si>
    <t>TXN-20250586</t>
  </si>
  <si>
    <t>TXN-20250587</t>
  </si>
  <si>
    <t>TXN-20250588</t>
  </si>
  <si>
    <t>TXN-20250589</t>
  </si>
  <si>
    <t>TXN-20250590</t>
  </si>
  <si>
    <t>TXN-20250591</t>
  </si>
  <si>
    <t>CUST-0120</t>
  </si>
  <si>
    <t>TXN-20250592</t>
  </si>
  <si>
    <t>TXN-20250593</t>
  </si>
  <si>
    <t>TXN-20250594</t>
  </si>
  <si>
    <t>TXN-20250595</t>
  </si>
  <si>
    <t>TXN-20250596</t>
  </si>
  <si>
    <t>TXN-20250597</t>
  </si>
  <si>
    <t>TXN-20250598</t>
  </si>
  <si>
    <t>TXN-20250599</t>
  </si>
  <si>
    <t>CUST-0215</t>
  </si>
  <si>
    <t>TXN-20250600</t>
  </si>
  <si>
    <t>TXN-20250601</t>
  </si>
  <si>
    <t>TXN-20250602</t>
  </si>
  <si>
    <t>CUST-0290</t>
  </si>
  <si>
    <t>TXN-20250603</t>
  </si>
  <si>
    <t>TXN-20250604</t>
  </si>
  <si>
    <t>TXN-20250605</t>
  </si>
  <si>
    <t>TXN-20250606</t>
  </si>
  <si>
    <t>TXN-20250607</t>
  </si>
  <si>
    <t>TXN-20250608</t>
  </si>
  <si>
    <t>TXN-20250609</t>
  </si>
  <si>
    <t>TXN-20250610</t>
  </si>
  <si>
    <t>CUST-0104</t>
  </si>
  <si>
    <t>TXN-20250611</t>
  </si>
  <si>
    <t>TXN-20250612</t>
  </si>
  <si>
    <t>TXN-20250613</t>
  </si>
  <si>
    <t>CUST-0001</t>
  </si>
  <si>
    <t>TXN-20250614</t>
  </si>
  <si>
    <t>TXN-20250615</t>
  </si>
  <si>
    <t>TXN-20250616</t>
  </si>
  <si>
    <t>CUST-0042</t>
  </si>
  <si>
    <t>TXN-20250617</t>
  </si>
  <si>
    <t>CUST-0254</t>
  </si>
  <si>
    <t>TXN-20250618</t>
  </si>
  <si>
    <t>TXN-20250619</t>
  </si>
  <si>
    <t>TXN-20250620</t>
  </si>
  <si>
    <t>TXN-20250621</t>
  </si>
  <si>
    <t>CUST-0110</t>
  </si>
  <si>
    <t>TXN-20250622</t>
  </si>
  <si>
    <t>TXN-20250623</t>
  </si>
  <si>
    <t>TXN-20250624</t>
  </si>
  <si>
    <t>CUST-0087</t>
  </si>
  <si>
    <t>TXN-20250625</t>
  </si>
  <si>
    <t>TXN-20250626</t>
  </si>
  <si>
    <t>TXN-20250627</t>
  </si>
  <si>
    <t>TXN-20250628</t>
  </si>
  <si>
    <t>CUST-0199</t>
  </si>
  <si>
    <t>TXN-20250629</t>
  </si>
  <si>
    <t>TXN-20250630</t>
  </si>
  <si>
    <t>TXN-20250631</t>
  </si>
  <si>
    <t>TXN-20250632</t>
  </si>
  <si>
    <t>TXN-20250633</t>
  </si>
  <si>
    <t>CUST-0131</t>
  </si>
  <si>
    <t>TXN-20250634</t>
  </si>
  <si>
    <t>TXN-20250635</t>
  </si>
  <si>
    <t>TXN-20250636</t>
  </si>
  <si>
    <t>TXN-20250637</t>
  </si>
  <si>
    <t>TXN-20250638</t>
  </si>
  <si>
    <t>TXN-20250639</t>
  </si>
  <si>
    <t>TXN-20250640</t>
  </si>
  <si>
    <t>CUST-0263</t>
  </si>
  <si>
    <t>TXN-20250641</t>
  </si>
  <si>
    <t>TXN-20250642</t>
  </si>
  <si>
    <t>CUST-0129</t>
  </si>
  <si>
    <t>TXN-20250643</t>
  </si>
  <si>
    <t>TXN-20250644</t>
  </si>
  <si>
    <t>TXN-20250645</t>
  </si>
  <si>
    <t>TXN-20250646</t>
  </si>
  <si>
    <t>TXN-20250647</t>
  </si>
  <si>
    <t>TXN-20250648</t>
  </si>
  <si>
    <t>TXN-20250649</t>
  </si>
  <si>
    <t>CUST-0195</t>
  </si>
  <si>
    <t>TXN-20250650</t>
  </si>
  <si>
    <t>TXN-20250651</t>
  </si>
  <si>
    <t>TXN-20250652</t>
  </si>
  <si>
    <t>TXN-20250653</t>
  </si>
  <si>
    <t>TXN-20250654</t>
  </si>
  <si>
    <t>TXN-20250655</t>
  </si>
  <si>
    <t>TXN-20250656</t>
  </si>
  <si>
    <t>TXN-20250657</t>
  </si>
  <si>
    <t>CUST-0145</t>
  </si>
  <si>
    <t>TXN-20250658</t>
  </si>
  <si>
    <t>TXN-20250659</t>
  </si>
  <si>
    <t>TXN-20250660</t>
  </si>
  <si>
    <t>TXN-20250661</t>
  </si>
  <si>
    <t>TXN-20250662</t>
  </si>
  <si>
    <t>TXN-20250663</t>
  </si>
  <si>
    <t>TXN-20250664</t>
  </si>
  <si>
    <t>TXN-20250665</t>
  </si>
  <si>
    <t>TXN-20250666</t>
  </si>
  <si>
    <t>TXN-20250667</t>
  </si>
  <si>
    <t>TXN-20250668</t>
  </si>
  <si>
    <t>TXN-20250669</t>
  </si>
  <si>
    <t>TXN-20250670</t>
  </si>
  <si>
    <t>TXN-20250671</t>
  </si>
  <si>
    <t>TXN-20250672</t>
  </si>
  <si>
    <t>CUST-0305</t>
  </si>
  <si>
    <t>TXN-20250673</t>
  </si>
  <si>
    <t>TXN-20250674</t>
  </si>
  <si>
    <t>TXN-20250675</t>
  </si>
  <si>
    <t>TXN-20250676</t>
  </si>
  <si>
    <t>TXN-20250677</t>
  </si>
  <si>
    <t>TXN-20250678</t>
  </si>
  <si>
    <t>TXN-20250679</t>
  </si>
  <si>
    <t>CUST-0259</t>
  </si>
  <si>
    <t>TXN-20250680</t>
  </si>
  <si>
    <t>TXN-20250681</t>
  </si>
  <si>
    <t>TXN-20250682</t>
  </si>
  <si>
    <t>TXN-20250683</t>
  </si>
  <si>
    <t>CUST-0026</t>
  </si>
  <si>
    <t>TXN-20250684</t>
  </si>
  <si>
    <t>CUST-0321</t>
  </si>
  <si>
    <t>TXN-20250685</t>
  </si>
  <si>
    <t>TXN-20250686</t>
  </si>
  <si>
    <t>TXN-20250687</t>
  </si>
  <si>
    <t>TXN-20250688</t>
  </si>
  <si>
    <t>TXN-20250689</t>
  </si>
  <si>
    <t>TXN-20250690</t>
  </si>
  <si>
    <t>TXN-20250691</t>
  </si>
  <si>
    <t>TXN-20250692</t>
  </si>
  <si>
    <t>TXN-20250693</t>
  </si>
  <si>
    <t>TXN-20250694</t>
  </si>
  <si>
    <t>TXN-20250695</t>
  </si>
  <si>
    <t>CUST-0242</t>
  </si>
  <si>
    <t>TXN-20250696</t>
  </si>
  <si>
    <t>TXN-20250697</t>
  </si>
  <si>
    <t>TXN-20250698</t>
  </si>
  <si>
    <t>TXN-20250699</t>
  </si>
  <si>
    <t>TXN-20250700</t>
  </si>
  <si>
    <t>TXN-20250701</t>
  </si>
  <si>
    <t>TXN-20250702</t>
  </si>
  <si>
    <t>TXN-20250703</t>
  </si>
  <si>
    <t>CUST-0318</t>
  </si>
  <si>
    <t>TXN-20250704</t>
  </si>
  <si>
    <t>TXN-20250705</t>
  </si>
  <si>
    <t>TXN-20250706</t>
  </si>
  <si>
    <t>TXN-20250707</t>
  </si>
  <si>
    <t>TXN-20250708</t>
  </si>
  <si>
    <t>TXN-20250709</t>
  </si>
  <si>
    <t>TXN-20250710</t>
  </si>
  <si>
    <t>TXN-20250711</t>
  </si>
  <si>
    <t>TXN-20250712</t>
  </si>
  <si>
    <t>TXN-20250713</t>
  </si>
  <si>
    <t>TXN-20250714</t>
  </si>
  <si>
    <t>TXN-20250715</t>
  </si>
  <si>
    <t>TXN-20250716</t>
  </si>
  <si>
    <t>TXN-20250717</t>
  </si>
  <si>
    <t>TXN-20250718</t>
  </si>
  <si>
    <t>TXN-20250719</t>
  </si>
  <si>
    <t>CUST-0249</t>
  </si>
  <si>
    <t>TXN-20250720</t>
  </si>
  <si>
    <t>CUST-0336</t>
  </si>
  <si>
    <t>TXN-20250721</t>
  </si>
  <si>
    <t>TXN-20250722</t>
  </si>
  <si>
    <t>TXN-20250723</t>
  </si>
  <si>
    <t>TXN-20250724</t>
  </si>
  <si>
    <t>TXN-20250725</t>
  </si>
  <si>
    <t>TXN-20250726</t>
  </si>
  <si>
    <t>TXN-20250727</t>
  </si>
  <si>
    <t>TXN-20250728</t>
  </si>
  <si>
    <t>CUST-0073</t>
  </si>
  <si>
    <t>TXN-20250729</t>
  </si>
  <si>
    <t>TXN-20250730</t>
  </si>
  <si>
    <t>TXN-20250731</t>
  </si>
  <si>
    <t>TXN-20250732</t>
  </si>
  <si>
    <t>TXN-20250733</t>
  </si>
  <si>
    <t>TXN-20250734</t>
  </si>
  <si>
    <t>TXN-20250735</t>
  </si>
  <si>
    <t>TXN-20250736</t>
  </si>
  <si>
    <t>CUST-0236</t>
  </si>
  <si>
    <t>TXN-20250737</t>
  </si>
  <si>
    <t>TXN-20250738</t>
  </si>
  <si>
    <t>TXN-20250739</t>
  </si>
  <si>
    <t>TXN-20250740</t>
  </si>
  <si>
    <t>TXN-20250741</t>
  </si>
  <si>
    <t>TXN-20250742</t>
  </si>
  <si>
    <t>TXN-20250743</t>
  </si>
  <si>
    <t>TXN-20250744</t>
  </si>
  <si>
    <t>TXN-20250745</t>
  </si>
  <si>
    <t>TXN-20250746</t>
  </si>
  <si>
    <t>TXN-20250747</t>
  </si>
  <si>
    <t>TXN-20250748</t>
  </si>
  <si>
    <t>TXN-20250749</t>
  </si>
  <si>
    <t>TXN-20250750</t>
  </si>
  <si>
    <t>CUST-0302</t>
  </si>
  <si>
    <t>TXN-20250751</t>
  </si>
  <si>
    <t>TXN-20250752</t>
  </si>
  <si>
    <t>TXN-20250753</t>
  </si>
  <si>
    <t>TXN-20250754</t>
  </si>
  <si>
    <t>TXN-20250755</t>
  </si>
  <si>
    <t>TXN-20250756</t>
  </si>
  <si>
    <t>TXN-20250757</t>
  </si>
  <si>
    <t>TXN-20250758</t>
  </si>
  <si>
    <t>TXN-20250759</t>
  </si>
  <si>
    <t>TXN-20250760</t>
  </si>
  <si>
    <t>TXN-20250761</t>
  </si>
  <si>
    <t>TXN-20250762</t>
  </si>
  <si>
    <t>TXN-20250763</t>
  </si>
  <si>
    <t>TXN-20250764</t>
  </si>
  <si>
    <t>TXN-20250765</t>
  </si>
  <si>
    <t>TXN-20250766</t>
  </si>
  <si>
    <t>CUST-0306</t>
  </si>
  <si>
    <t>TXN-20250767</t>
  </si>
  <si>
    <t>TXN-20250768</t>
  </si>
  <si>
    <t>TXN-20250769</t>
  </si>
  <si>
    <t>TXN-20250770</t>
  </si>
  <si>
    <t>TXN-20250771</t>
  </si>
  <si>
    <t>TXN-20250772</t>
  </si>
  <si>
    <t>TXN-20250773</t>
  </si>
  <si>
    <t>TXN-20250774</t>
  </si>
  <si>
    <t>TXN-20250775</t>
  </si>
  <si>
    <t>TXN-20250776</t>
  </si>
  <si>
    <t>TXN-20250777</t>
  </si>
  <si>
    <t>CUST-0017</t>
  </si>
  <si>
    <t>TXN-20250778</t>
  </si>
  <si>
    <t>TXN-20250779</t>
  </si>
  <si>
    <t>TXN-20250780</t>
  </si>
  <si>
    <t>TXN-20250781</t>
  </si>
  <si>
    <t>TXN-20250782</t>
  </si>
  <si>
    <t>TXN-20250783</t>
  </si>
  <si>
    <t>TXN-20250784</t>
  </si>
  <si>
    <t>TXN-20250785</t>
  </si>
  <si>
    <t>TXN-20250786</t>
  </si>
  <si>
    <t>TXN-20250787</t>
  </si>
  <si>
    <t>TXN-20250788</t>
  </si>
  <si>
    <t>TXN-20250789</t>
  </si>
  <si>
    <t>TXN-20250790</t>
  </si>
  <si>
    <t>TXN-20250791</t>
  </si>
  <si>
    <t>TXN-20250792</t>
  </si>
  <si>
    <t>TXN-20250793</t>
  </si>
  <si>
    <t>TXN-20250794</t>
  </si>
  <si>
    <t>TXN-20250795</t>
  </si>
  <si>
    <t>TXN-20250796</t>
  </si>
  <si>
    <t>TXN-20250797</t>
  </si>
  <si>
    <t>TXN-20250798</t>
  </si>
  <si>
    <t>TXN-20250799</t>
  </si>
  <si>
    <t>TXN-20250800</t>
  </si>
  <si>
    <t>TXN-20250801</t>
  </si>
  <si>
    <t>TXN-20250802</t>
  </si>
  <si>
    <t>TXN-20250803</t>
  </si>
  <si>
    <t>TXN-20250804</t>
  </si>
  <si>
    <t>TXN-20250805</t>
  </si>
  <si>
    <t>TXN-20250806</t>
  </si>
  <si>
    <t>TXN-20250807</t>
  </si>
  <si>
    <t>TXN-20250808</t>
  </si>
  <si>
    <t>TXN-20250809</t>
  </si>
  <si>
    <t>TXN-20250810</t>
  </si>
  <si>
    <t>TXN-20250811</t>
  </si>
  <si>
    <t>TXN-20250812</t>
  </si>
  <si>
    <t>TXN-20250813</t>
  </si>
  <si>
    <t>TXN-20250814</t>
  </si>
  <si>
    <t>TXN-20250815</t>
  </si>
  <si>
    <t>TXN-20250816</t>
  </si>
  <si>
    <t>TXN-20250817</t>
  </si>
  <si>
    <t>CUST-0186</t>
  </si>
  <si>
    <t>TXN-20250818</t>
  </si>
  <si>
    <t>TXN-20250819</t>
  </si>
  <si>
    <t>TXN-20250820</t>
  </si>
  <si>
    <t>CUST-0015</t>
  </si>
  <si>
    <t>TXN-20250821</t>
  </si>
  <si>
    <t>TXN-20250822</t>
  </si>
  <si>
    <t>TXN-20250823</t>
  </si>
  <si>
    <t>TXN-20250824</t>
  </si>
  <si>
    <t>TXN-20250825</t>
  </si>
  <si>
    <t>TXN-20250826</t>
  </si>
  <si>
    <t>TXN-20250827</t>
  </si>
  <si>
    <t>TXN-20250828</t>
  </si>
  <si>
    <t>TXN-20250829</t>
  </si>
  <si>
    <t>TXN-20250830</t>
  </si>
  <si>
    <t>TXN-20250831</t>
  </si>
  <si>
    <t>TXN-20250832</t>
  </si>
  <si>
    <t>TXN-20250833</t>
  </si>
  <si>
    <t>TXN-20250834</t>
  </si>
  <si>
    <t>TXN-20250835</t>
  </si>
  <si>
    <t>CUST-0112</t>
  </si>
  <si>
    <t>TXN-20250836</t>
  </si>
  <si>
    <t>TXN-20250837</t>
  </si>
  <si>
    <t>CUST-0227</t>
  </si>
  <si>
    <t>TXN-20250838</t>
  </si>
  <si>
    <t>TXN-20250839</t>
  </si>
  <si>
    <t>TXN-20250840</t>
  </si>
  <si>
    <t>TXN-20250841</t>
  </si>
  <si>
    <t>TXN-20250842</t>
  </si>
  <si>
    <t>TXN-20250843</t>
  </si>
  <si>
    <t>CUST-0187</t>
  </si>
  <si>
    <t>TXN-20250844</t>
  </si>
  <si>
    <t>TXN-20250845</t>
  </si>
  <si>
    <t>TXN-20250846</t>
  </si>
  <si>
    <t>CUST-0106</t>
  </si>
  <si>
    <t>TXN-20250847</t>
  </si>
  <si>
    <t>TXN-20250848</t>
  </si>
  <si>
    <t>TXN-20250849</t>
  </si>
  <si>
    <t>TXN-20250850</t>
  </si>
  <si>
    <t>TXN-20250851</t>
  </si>
  <si>
    <t>TXN-20250852</t>
  </si>
  <si>
    <t>TXN-20250853</t>
  </si>
  <si>
    <t>TXN-20250854</t>
  </si>
  <si>
    <t>CUST-0081</t>
  </si>
  <si>
    <t>TXN-20250855</t>
  </si>
  <si>
    <t>TXN-20250856</t>
  </si>
  <si>
    <t>TXN-20250857</t>
  </si>
  <si>
    <t>TXN-20250858</t>
  </si>
  <si>
    <t>TXN-20250859</t>
  </si>
  <si>
    <t>TXN-20250860</t>
  </si>
  <si>
    <t>TXN-20250861</t>
  </si>
  <si>
    <t>TXN-20250862</t>
  </si>
  <si>
    <t>TXN-20250863</t>
  </si>
  <si>
    <t>TXN-20250864</t>
  </si>
  <si>
    <t>TXN-20250865</t>
  </si>
  <si>
    <t>TXN-20250866</t>
  </si>
  <si>
    <t>TXN-20250867</t>
  </si>
  <si>
    <t>TXN-20250868</t>
  </si>
  <si>
    <t>CUST-0027</t>
  </si>
  <si>
    <t>TXN-20250869</t>
  </si>
  <si>
    <t>TXN-20250870</t>
  </si>
  <si>
    <t>TXN-20250871</t>
  </si>
  <si>
    <t>TXN-20250872</t>
  </si>
  <si>
    <t>TXN-20250873</t>
  </si>
  <si>
    <t>TXN-20250874</t>
  </si>
  <si>
    <t>TXN-20250875</t>
  </si>
  <si>
    <t>TXN-20250876</t>
  </si>
  <si>
    <t>TXN-20250877</t>
  </si>
  <si>
    <t>TXN-20250878</t>
  </si>
  <si>
    <t>TXN-20250879</t>
  </si>
  <si>
    <t>TXN-20250880</t>
  </si>
  <si>
    <t>CUST-0295</t>
  </si>
  <si>
    <t>TXN-20250881</t>
  </si>
  <si>
    <t>TXN-20250882</t>
  </si>
  <si>
    <t>TXN-20250883</t>
  </si>
  <si>
    <t>TXN-20250884</t>
  </si>
  <si>
    <t>TXN-20250885</t>
  </si>
  <si>
    <t>TXN-20250886</t>
  </si>
  <si>
    <t>TXN-20250887</t>
  </si>
  <si>
    <t>TXN-20250888</t>
  </si>
  <si>
    <t>TXN-20250889</t>
  </si>
  <si>
    <t>TXN-20250890</t>
  </si>
  <si>
    <t>TXN-20250891</t>
  </si>
  <si>
    <t>TXN-20250892</t>
  </si>
  <si>
    <t>TXN-20250893</t>
  </si>
  <si>
    <t>TXN-20250894</t>
  </si>
  <si>
    <t>TXN-20250895</t>
  </si>
  <si>
    <t>TXN-20250896</t>
  </si>
  <si>
    <t>TXN-20250897</t>
  </si>
  <si>
    <t>TXN-20250898</t>
  </si>
  <si>
    <t>TXN-20250899</t>
  </si>
  <si>
    <t>TXN-20250900</t>
  </si>
  <si>
    <t>TXN-20250901</t>
  </si>
  <si>
    <t>TXN-20250902</t>
  </si>
  <si>
    <t>TXN-20250903</t>
  </si>
  <si>
    <t>TXN-20250904</t>
  </si>
  <si>
    <t>TXN-20250905</t>
  </si>
  <si>
    <t>TXN-20250906</t>
  </si>
  <si>
    <t>TXN-20250907</t>
  </si>
  <si>
    <t>TXN-20250908</t>
  </si>
  <si>
    <t>TXN-20250909</t>
  </si>
  <si>
    <t>TXN-20250910</t>
  </si>
  <si>
    <t>TXN-20250911</t>
  </si>
  <si>
    <t>CUST-0060</t>
  </si>
  <si>
    <t>TXN-20250912</t>
  </si>
  <si>
    <t>TXN-20250913</t>
  </si>
  <si>
    <t>TXN-20250914</t>
  </si>
  <si>
    <t>TXN-20250915</t>
  </si>
  <si>
    <t>TXN-20250916</t>
  </si>
  <si>
    <t>TXN-20250917</t>
  </si>
  <si>
    <t>TXN-20250918</t>
  </si>
  <si>
    <t>TXN-20250919</t>
  </si>
  <si>
    <t>TXN-20250920</t>
  </si>
  <si>
    <t>TXN-20250921</t>
  </si>
  <si>
    <t>TXN-20250922</t>
  </si>
  <si>
    <t>TXN-20250923</t>
  </si>
  <si>
    <t>TXN-20250924</t>
  </si>
  <si>
    <t>TXN-20250925</t>
  </si>
  <si>
    <t>TXN-20250926</t>
  </si>
  <si>
    <t>CUST-0021</t>
  </si>
  <si>
    <t>TXN-20250927</t>
  </si>
  <si>
    <t>TXN-20250928</t>
  </si>
  <si>
    <t>TXN-20250929</t>
  </si>
  <si>
    <t>TXN-20250930</t>
  </si>
  <si>
    <t>TXN-20250931</t>
  </si>
  <si>
    <t>TXN-20250932</t>
  </si>
  <si>
    <t>TXN-20250933</t>
  </si>
  <si>
    <t>TXN-20250934</t>
  </si>
  <si>
    <t>TXN-20250935</t>
  </si>
  <si>
    <t>TXN-20250936</t>
  </si>
  <si>
    <t>TXN-20250937</t>
  </si>
  <si>
    <t>TXN-20250938</t>
  </si>
  <si>
    <t>TXN-20250939</t>
  </si>
  <si>
    <t>CUST-0341</t>
  </si>
  <si>
    <t>TXN-20250940</t>
  </si>
  <si>
    <t>CUST-0245</t>
  </si>
  <si>
    <t>TXN-20250941</t>
  </si>
  <si>
    <t>TXN-20250942</t>
  </si>
  <si>
    <t>TXN-20250943</t>
  </si>
  <si>
    <t>TXN-20250944</t>
  </si>
  <si>
    <t>CUST-0071</t>
  </si>
  <si>
    <t>TXN-20250945</t>
  </si>
  <si>
    <t>TXN-20250946</t>
  </si>
  <si>
    <t>TXN-20250947</t>
  </si>
  <si>
    <t>TXN-20250948</t>
  </si>
  <si>
    <t>TXN-20250949</t>
  </si>
  <si>
    <t>TXN-20250950</t>
  </si>
  <si>
    <t>TXN-20250951</t>
  </si>
  <si>
    <t>TXN-20250952</t>
  </si>
  <si>
    <t>TXN-20250953</t>
  </si>
  <si>
    <t>TXN-20250954</t>
  </si>
  <si>
    <t>TXN-20250955</t>
  </si>
  <si>
    <t>TXN-20250956</t>
  </si>
  <si>
    <t>TXN-20250957</t>
  </si>
  <si>
    <t>TXN-20250958</t>
  </si>
  <si>
    <t>TXN-20250959</t>
  </si>
  <si>
    <t>TXN-20250960</t>
  </si>
  <si>
    <t>TXN-20250961</t>
  </si>
  <si>
    <t>TXN-20250962</t>
  </si>
  <si>
    <t>TXN-20250963</t>
  </si>
  <si>
    <t>TXN-20250964</t>
  </si>
  <si>
    <t>TXN-20250965</t>
  </si>
  <si>
    <t>TXN-20250966</t>
  </si>
  <si>
    <t>TXN-20250967</t>
  </si>
  <si>
    <t>TXN-20250968</t>
  </si>
  <si>
    <t>TXN-20250969</t>
  </si>
  <si>
    <t>CUST-0332</t>
  </si>
  <si>
    <t>TXN-20250970</t>
  </si>
  <si>
    <t>TXN-20250971</t>
  </si>
  <si>
    <t>TXN-20250972</t>
  </si>
  <si>
    <t>TXN-20250973</t>
  </si>
  <si>
    <t>TXN-20250974</t>
  </si>
  <si>
    <t>TXN-20250975</t>
  </si>
  <si>
    <t>TXN-20250976</t>
  </si>
  <si>
    <t>TXN-20250977</t>
  </si>
  <si>
    <t>TXN-20250978</t>
  </si>
  <si>
    <t>TXN-20250979</t>
  </si>
  <si>
    <t>TXN-20250980</t>
  </si>
  <si>
    <t>CUST-0274</t>
  </si>
  <si>
    <t>TXN-20250981</t>
  </si>
  <si>
    <t>TXN-20250982</t>
  </si>
  <si>
    <t>TXN-20250983</t>
  </si>
  <si>
    <t>TXN-20250984</t>
  </si>
  <si>
    <t>TXN-20250985</t>
  </si>
  <si>
    <t>TXN-20250986</t>
  </si>
  <si>
    <t>TXN-20250987</t>
  </si>
  <si>
    <t>TXN-20250988</t>
  </si>
  <si>
    <t>TXN-20250989</t>
  </si>
  <si>
    <t>TXN-20250990</t>
  </si>
  <si>
    <t>TXN-20250991</t>
  </si>
  <si>
    <t>TXN-20250992</t>
  </si>
  <si>
    <t>TXN-20250993</t>
  </si>
  <si>
    <t>TXN-20250994</t>
  </si>
  <si>
    <t>TXN-20250995</t>
  </si>
  <si>
    <t>TXN-20250996</t>
  </si>
  <si>
    <t>TXN-20250997</t>
  </si>
  <si>
    <t>TXN-20250998</t>
  </si>
  <si>
    <t>TXN-20250999</t>
  </si>
  <si>
    <t>TXN-20251000</t>
  </si>
  <si>
    <t>TXN-20251001</t>
  </si>
  <si>
    <t>TXN-20251002</t>
  </si>
  <si>
    <t>TXN-20251003</t>
  </si>
  <si>
    <t>TXN-20251004</t>
  </si>
  <si>
    <t>TXN-20251005</t>
  </si>
  <si>
    <t>TXN-20251006</t>
  </si>
  <si>
    <t>TXN-20251007</t>
  </si>
  <si>
    <t>TXN-20251008</t>
  </si>
  <si>
    <t>TXN-20251009</t>
  </si>
  <si>
    <t>TXN-20251010</t>
  </si>
  <si>
    <t>TXN-20251011</t>
  </si>
  <si>
    <t>TXN-20251012</t>
  </si>
  <si>
    <t>TXN-20251013</t>
  </si>
  <si>
    <t>TXN-20251014</t>
  </si>
  <si>
    <t>TXN-20251015</t>
  </si>
  <si>
    <t>TXN-20251016</t>
  </si>
  <si>
    <t>TXN-20251017</t>
  </si>
  <si>
    <t>CUST-0326</t>
  </si>
  <si>
    <t>TXN-20251018</t>
  </si>
  <si>
    <t>TXN-20251019</t>
  </si>
  <si>
    <t>TXN-20251020</t>
  </si>
  <si>
    <t>CUST-0272</t>
  </si>
  <si>
    <t>TXN-20251021</t>
  </si>
  <si>
    <t>TXN-20251022</t>
  </si>
  <si>
    <t>TXN-20251023</t>
  </si>
  <si>
    <t>TXN-20251024</t>
  </si>
  <si>
    <t>TXN-20251025</t>
  </si>
  <si>
    <t>TXN-20251026</t>
  </si>
  <si>
    <t>TXN-20251027</t>
  </si>
  <si>
    <t>TXN-20251028</t>
  </si>
  <si>
    <t>TXN-20251029</t>
  </si>
  <si>
    <t>CUST-0338</t>
  </si>
  <si>
    <t>TXN-20251030</t>
  </si>
  <si>
    <t>CUST-0160</t>
  </si>
  <si>
    <t>TXN-20251031</t>
  </si>
  <si>
    <t>TXN-20251032</t>
  </si>
  <si>
    <t>TXN-20251033</t>
  </si>
  <si>
    <t>TXN-20251034</t>
  </si>
  <si>
    <t>CUST-0162</t>
  </si>
  <si>
    <t>TXN-20251035</t>
  </si>
  <si>
    <t>TXN-20251036</t>
  </si>
  <si>
    <t>TXN-20251037</t>
  </si>
  <si>
    <t>CUST-0278</t>
  </si>
  <si>
    <t>TXN-20251038</t>
  </si>
  <si>
    <t>TXN-20251039</t>
  </si>
  <si>
    <t>TXN-20251040</t>
  </si>
  <si>
    <t>TXN-20251041</t>
  </si>
  <si>
    <t>TXN-20251042</t>
  </si>
  <si>
    <t>TXN-20251043</t>
  </si>
  <si>
    <t>TXN-20251044</t>
  </si>
  <si>
    <t>TXN-20251045</t>
  </si>
  <si>
    <t>TXN-20251046</t>
  </si>
  <si>
    <t>TXN-20251047</t>
  </si>
  <si>
    <t>TXN-20251048</t>
  </si>
  <si>
    <t>CUST-0086</t>
  </si>
  <si>
    <t>TXN-20251049</t>
  </si>
  <si>
    <t>TXN-20251050</t>
  </si>
  <si>
    <t>TXN-20251051</t>
  </si>
  <si>
    <t>TXN-20251052</t>
  </si>
  <si>
    <t>TXN-20251053</t>
  </si>
  <si>
    <t>CUST-0117</t>
  </si>
  <si>
    <t>TXN-20251054</t>
  </si>
  <si>
    <t>TXN-20251055</t>
  </si>
  <si>
    <t>TXN-20251056</t>
  </si>
  <si>
    <t>TXN-20251057</t>
  </si>
  <si>
    <t>TXN-20251058</t>
  </si>
  <si>
    <t>TXN-20251059</t>
  </si>
  <si>
    <t>TXN-20251060</t>
  </si>
  <si>
    <t>TXN-20251061</t>
  </si>
  <si>
    <t>TXN-20251062</t>
  </si>
  <si>
    <t>TXN-20251063</t>
  </si>
  <si>
    <t>TXN-20251064</t>
  </si>
  <si>
    <t>TXN-20251065</t>
  </si>
  <si>
    <t>TXN-20251066</t>
  </si>
  <si>
    <t>TXN-20251067</t>
  </si>
  <si>
    <t>TXN-20251068</t>
  </si>
  <si>
    <t>TXN-20251069</t>
  </si>
  <si>
    <t>TXN-20251070</t>
  </si>
  <si>
    <t>TXN-20251071</t>
  </si>
  <si>
    <t>TXN-20251072</t>
  </si>
  <si>
    <t>TXN-20251073</t>
  </si>
  <si>
    <t>TXN-20251074</t>
  </si>
  <si>
    <t>TXN-20251075</t>
  </si>
  <si>
    <t>TXN-20251076</t>
  </si>
  <si>
    <t>TXN-20251077</t>
  </si>
  <si>
    <t>TXN-20251078</t>
  </si>
  <si>
    <t>TXN-20251079</t>
  </si>
  <si>
    <t>CUST-0340</t>
  </si>
  <si>
    <t>TXN-20251080</t>
  </si>
  <si>
    <t>TXN-20251081</t>
  </si>
  <si>
    <t>TXN-20251082</t>
  </si>
  <si>
    <t>TXN-20251083</t>
  </si>
  <si>
    <t>TXN-20251084</t>
  </si>
  <si>
    <t>TXN-20251085</t>
  </si>
  <si>
    <t>TXN-20251086</t>
  </si>
  <si>
    <t>TXN-20251087</t>
  </si>
  <si>
    <t>TXN-20251088</t>
  </si>
  <si>
    <t>TXN-20251089</t>
  </si>
  <si>
    <t>TXN-20251090</t>
  </si>
  <si>
    <t>TXN-20251091</t>
  </si>
  <si>
    <t>TXN-20251092</t>
  </si>
  <si>
    <t>TXN-20251093</t>
  </si>
  <si>
    <t>TXN-20251094</t>
  </si>
  <si>
    <t>TXN-20251095</t>
  </si>
  <si>
    <t>TXN-20251096</t>
  </si>
  <si>
    <t>TXN-20251097</t>
  </si>
  <si>
    <t>TXN-20251098</t>
  </si>
  <si>
    <t>TXN-20251099</t>
  </si>
  <si>
    <t>CUST-0048</t>
  </si>
  <si>
    <t>TXN-20251100</t>
  </si>
  <si>
    <t>TXN-20251101</t>
  </si>
  <si>
    <t>TXN-20251102</t>
  </si>
  <si>
    <t>TXN-20251103</t>
  </si>
  <si>
    <t>TXN-20251104</t>
  </si>
  <si>
    <t>TXN-20251105</t>
  </si>
  <si>
    <t>TXN-20251106</t>
  </si>
  <si>
    <t>TXN-20251107</t>
  </si>
  <si>
    <t>TXN-20251108</t>
  </si>
  <si>
    <t>TXN-20251109</t>
  </si>
  <si>
    <t>TXN-20251110</t>
  </si>
  <si>
    <t>TXN-20251111</t>
  </si>
  <si>
    <t>TXN-20251112</t>
  </si>
  <si>
    <t>TXN-20251113</t>
  </si>
  <si>
    <t>TXN-20251114</t>
  </si>
  <si>
    <t>TXN-20251115</t>
  </si>
  <si>
    <t>TXN-20251116</t>
  </si>
  <si>
    <t>TXN-20251117</t>
  </si>
  <si>
    <t>TXN-20251118</t>
  </si>
  <si>
    <t>TXN-20251119</t>
  </si>
  <si>
    <t>TXN-20251120</t>
  </si>
  <si>
    <t>TXN-20251121</t>
  </si>
  <si>
    <t>TXN-20251122</t>
  </si>
  <si>
    <t>TXN-20251123</t>
  </si>
  <si>
    <t>TXN-20251124</t>
  </si>
  <si>
    <t>TXN-20251125</t>
  </si>
  <si>
    <t>TXN-20251126</t>
  </si>
  <si>
    <t>TXN-20251127</t>
  </si>
  <si>
    <t>TXN-20251128</t>
  </si>
  <si>
    <t>TXN-20251129</t>
  </si>
  <si>
    <t>TXN-20251130</t>
  </si>
  <si>
    <t>TXN-20251131</t>
  </si>
  <si>
    <t>TXN-20251132</t>
  </si>
  <si>
    <t>TXN-20251133</t>
  </si>
  <si>
    <t>TXN-20251134</t>
  </si>
  <si>
    <t>TXN-20251135</t>
  </si>
  <si>
    <t>TXN-20251136</t>
  </si>
  <si>
    <t>TXN-20251137</t>
  </si>
  <si>
    <t>TXN-20251138</t>
  </si>
  <si>
    <t>TXN-20251139</t>
  </si>
  <si>
    <t>TXN-20251140</t>
  </si>
  <si>
    <t>TXN-20251141</t>
  </si>
  <si>
    <t>TXN-20251142</t>
  </si>
  <si>
    <t>TXN-20251143</t>
  </si>
  <si>
    <t>TXN-20251144</t>
  </si>
  <si>
    <t>TXN-20251145</t>
  </si>
  <si>
    <t>TXN-20251146</t>
  </si>
  <si>
    <t>TXN-20251147</t>
  </si>
  <si>
    <t>TXN-20251148</t>
  </si>
  <si>
    <t>TXN-20251149</t>
  </si>
  <si>
    <t>TXN-20251150</t>
  </si>
  <si>
    <t>TXN-20251151</t>
  </si>
  <si>
    <t>TXN-20251152</t>
  </si>
  <si>
    <t>TXN-20251153</t>
  </si>
  <si>
    <t>TXN-20251154</t>
  </si>
  <si>
    <t>TXN-20251155</t>
  </si>
  <si>
    <t>TXN-20251156</t>
  </si>
  <si>
    <t>TXN-20251157</t>
  </si>
  <si>
    <t>TXN-20251158</t>
  </si>
  <si>
    <t>TXN-20251159</t>
  </si>
  <si>
    <t>TXN-20251160</t>
  </si>
  <si>
    <t>TXN-20251161</t>
  </si>
  <si>
    <t>TXN-20251162</t>
  </si>
  <si>
    <t>TXN-20251163</t>
  </si>
  <si>
    <t>TXN-20251164</t>
  </si>
  <si>
    <t>TXN-20251165</t>
  </si>
  <si>
    <t>TXN-20251166</t>
  </si>
  <si>
    <t>TXN-20251167</t>
  </si>
  <si>
    <t>TXN-20251168</t>
  </si>
  <si>
    <t>TXN-20251169</t>
  </si>
  <si>
    <t>TXN-20251170</t>
  </si>
  <si>
    <t>TXN-20251171</t>
  </si>
  <si>
    <t>TXN-20251172</t>
  </si>
  <si>
    <t>TXN-20251173</t>
  </si>
  <si>
    <t>TXN-20251174</t>
  </si>
  <si>
    <t>TXN-20251175</t>
  </si>
  <si>
    <t>TXN-20251176</t>
  </si>
  <si>
    <t>TXN-20251177</t>
  </si>
  <si>
    <t>TXN-20251178</t>
  </si>
  <si>
    <t>TXN-20251179</t>
  </si>
  <si>
    <t>TXN-20251180</t>
  </si>
  <si>
    <t>TXN-20251181</t>
  </si>
  <si>
    <t>TXN-20251182</t>
  </si>
  <si>
    <t>TXN-20251183</t>
  </si>
  <si>
    <t>TXN-20251184</t>
  </si>
  <si>
    <t>TXN-20251185</t>
  </si>
  <si>
    <t>TXN-20251186</t>
  </si>
  <si>
    <t>TXN-20251187</t>
  </si>
  <si>
    <t>TXN-20251188</t>
  </si>
  <si>
    <t>TXN-20251189</t>
  </si>
  <si>
    <t>TXN-20251190</t>
  </si>
  <si>
    <t>TXN-20251191</t>
  </si>
  <si>
    <t>TXN-20251192</t>
  </si>
  <si>
    <t>TXN-20251193</t>
  </si>
  <si>
    <t>TXN-20251194</t>
  </si>
  <si>
    <t>TXN-20251195</t>
  </si>
  <si>
    <t>TXN-20251196</t>
  </si>
  <si>
    <t>TXN-20251197</t>
  </si>
  <si>
    <t>TXN-20251198</t>
  </si>
  <si>
    <t>TXN-20251199</t>
  </si>
  <si>
    <t>TXN-20251200</t>
  </si>
  <si>
    <t>TXN-20251201</t>
  </si>
  <si>
    <t>TXN-20251202</t>
  </si>
  <si>
    <t>TXN-20251203</t>
  </si>
  <si>
    <t>TXN-20251204</t>
  </si>
  <si>
    <t>TXN-20251205</t>
  </si>
  <si>
    <t>TXN-20251206</t>
  </si>
  <si>
    <t>TXN-20251207</t>
  </si>
  <si>
    <t>TXN-20251208</t>
  </si>
  <si>
    <t>TXN-20251209</t>
  </si>
  <si>
    <t>TXN-20251210</t>
  </si>
  <si>
    <t>TXN-20251211</t>
  </si>
  <si>
    <t>TXN-20251212</t>
  </si>
  <si>
    <t>TXN-20251213</t>
  </si>
  <si>
    <t>TXN-20251214</t>
  </si>
  <si>
    <t>TXN-20251215</t>
  </si>
  <si>
    <t>TXN-20251216</t>
  </si>
  <si>
    <t>TXN-20251217</t>
  </si>
  <si>
    <t>TXN-20251218</t>
  </si>
  <si>
    <t>TXN-20251219</t>
  </si>
  <si>
    <t>TXN-20251220</t>
  </si>
  <si>
    <t>TXN-20251221</t>
  </si>
  <si>
    <t>TXN-20251222</t>
  </si>
  <si>
    <t>TXN-20251223</t>
  </si>
  <si>
    <t>TXN-20251224</t>
  </si>
  <si>
    <t>TXN-20251225</t>
  </si>
  <si>
    <t>TXN-20251226</t>
  </si>
  <si>
    <t>TXN-20251227</t>
  </si>
  <si>
    <t>TXN-20251228</t>
  </si>
  <si>
    <t>TXN-20251229</t>
  </si>
  <si>
    <t>TXN-20251230</t>
  </si>
  <si>
    <t>TXN-20251231</t>
  </si>
  <si>
    <t>TXN-20251232</t>
  </si>
  <si>
    <t>TXN-20251233</t>
  </si>
  <si>
    <t>TXN-20251234</t>
  </si>
  <si>
    <t>TXN-20251235</t>
  </si>
  <si>
    <t>TXN-20251236</t>
  </si>
  <si>
    <t>CUST-0165</t>
  </si>
  <si>
    <t>TXN-20251237</t>
  </si>
  <si>
    <t>TXN-20251238</t>
  </si>
  <si>
    <t>TXN-20251239</t>
  </si>
  <si>
    <t>TXN-20251240</t>
  </si>
  <si>
    <t>TXN-20251241</t>
  </si>
  <si>
    <t>TXN-20251242</t>
  </si>
  <si>
    <t>TXN-20251243</t>
  </si>
  <si>
    <t>TXN-20251244</t>
  </si>
  <si>
    <t>TXN-20251245</t>
  </si>
  <si>
    <t>TXN-20251246</t>
  </si>
  <si>
    <t>TXN-20251247</t>
  </si>
  <si>
    <t>TXN-20251248</t>
  </si>
  <si>
    <t>TXN-20251249</t>
  </si>
  <si>
    <t>TXN-20251250</t>
  </si>
  <si>
    <t>TXN-20251251</t>
  </si>
  <si>
    <t>TXN-20251252</t>
  </si>
  <si>
    <t>TXN-20251253</t>
  </si>
  <si>
    <t>TXN-20251254</t>
  </si>
  <si>
    <t>TXN-20251255</t>
  </si>
  <si>
    <t>TXN-20251256</t>
  </si>
  <si>
    <t>TXN-20251257</t>
  </si>
  <si>
    <t>TXN-20251258</t>
  </si>
  <si>
    <t>TXN-20251259</t>
  </si>
  <si>
    <t>TXN-20251260</t>
  </si>
  <si>
    <t>TXN-20251261</t>
  </si>
  <si>
    <t>TXN-20251262</t>
  </si>
  <si>
    <t>TXN-20251263</t>
  </si>
  <si>
    <t>TXN-20251264</t>
  </si>
  <si>
    <t>TXN-20251265</t>
  </si>
  <si>
    <t>TXN-20251266</t>
  </si>
  <si>
    <t>TXN-20251267</t>
  </si>
  <si>
    <t>TXN-20251268</t>
  </si>
  <si>
    <t>TXN-20251269</t>
  </si>
  <si>
    <t>TXN-20251270</t>
  </si>
  <si>
    <t>TXN-20251271</t>
  </si>
  <si>
    <t>TXN-20251272</t>
  </si>
  <si>
    <t>TXN-20251273</t>
  </si>
  <si>
    <t>TXN-20251274</t>
  </si>
  <si>
    <t>TXN-20251275</t>
  </si>
  <si>
    <t>TXN-20251276</t>
  </si>
  <si>
    <t>TXN-20251277</t>
  </si>
  <si>
    <t>TXN-20251278</t>
  </si>
  <si>
    <t>TXN-20251279</t>
  </si>
  <si>
    <t>TXN-20251280</t>
  </si>
  <si>
    <t>TXN-20251281</t>
  </si>
  <si>
    <t>TXN-20251282</t>
  </si>
  <si>
    <t>TXN-20251283</t>
  </si>
  <si>
    <t>TXN-20251284</t>
  </si>
  <si>
    <t>TXN-20251285</t>
  </si>
  <si>
    <t>TXN-20251286</t>
  </si>
  <si>
    <t>TXN-20251287</t>
  </si>
  <si>
    <t>TXN-20251288</t>
  </si>
  <si>
    <t>TXN-20251289</t>
  </si>
  <si>
    <t>TXN-20251290</t>
  </si>
  <si>
    <t>TXN-20251291</t>
  </si>
  <si>
    <t>TXN-20251292</t>
  </si>
  <si>
    <t>TXN-20251293</t>
  </si>
  <si>
    <t>TXN-20251294</t>
  </si>
  <si>
    <t>TXN-20251295</t>
  </si>
  <si>
    <t>TXN-20251296</t>
  </si>
  <si>
    <t>TXN-20251297</t>
  </si>
  <si>
    <t>TXN-20251298</t>
  </si>
  <si>
    <t>TXN-20251299</t>
  </si>
  <si>
    <t>TXN-20251300</t>
  </si>
  <si>
    <t>TXN-20251301</t>
  </si>
  <si>
    <t>TXN-20251302</t>
  </si>
  <si>
    <t>TXN-20251303</t>
  </si>
  <si>
    <t>TXN-20251304</t>
  </si>
  <si>
    <t>TXN-20251305</t>
  </si>
  <si>
    <t>TXN-20251306</t>
  </si>
  <si>
    <t>TXN-20251307</t>
  </si>
  <si>
    <t>TXN-20251308</t>
  </si>
  <si>
    <t>TXN-20251309</t>
  </si>
  <si>
    <t>TXN-20251310</t>
  </si>
  <si>
    <t>TXN-20251311</t>
  </si>
  <si>
    <t>TXN-20251312</t>
  </si>
  <si>
    <t>TXN-20251313</t>
  </si>
  <si>
    <t>TXN-20251314</t>
  </si>
  <si>
    <t>TXN-20251315</t>
  </si>
  <si>
    <t>TXN-20251316</t>
  </si>
  <si>
    <t>TXN-20251317</t>
  </si>
  <si>
    <t>TXN-20251318</t>
  </si>
  <si>
    <t>TXN-20251319</t>
  </si>
  <si>
    <t>TXN-20251320</t>
  </si>
  <si>
    <t>TXN-20251321</t>
  </si>
  <si>
    <t>TXN-20251322</t>
  </si>
  <si>
    <t>TXN-20251323</t>
  </si>
  <si>
    <t>TXN-20251324</t>
  </si>
  <si>
    <t>TXN-20251325</t>
  </si>
  <si>
    <t>TXN-20251326</t>
  </si>
  <si>
    <t>TXN-20251327</t>
  </si>
  <si>
    <t>TXN-20251328</t>
  </si>
  <si>
    <t>TXN-20251329</t>
  </si>
  <si>
    <t>TXN-20251330</t>
  </si>
  <si>
    <t>TXN-20251331</t>
  </si>
  <si>
    <t>TXN-20251332</t>
  </si>
  <si>
    <t>TXN-20251333</t>
  </si>
  <si>
    <t>TXN-20251334</t>
  </si>
  <si>
    <t>TXN-20251335</t>
  </si>
  <si>
    <t>TXN-20251336</t>
  </si>
  <si>
    <t>CUST-0211</t>
  </si>
  <si>
    <t>TXN-20251337</t>
  </si>
  <si>
    <t>TXN-20251338</t>
  </si>
  <si>
    <t>TXN-20251339</t>
  </si>
  <si>
    <t>TXN-20251340</t>
  </si>
  <si>
    <t>TXN-20251341</t>
  </si>
  <si>
    <t>TXN-20251342</t>
  </si>
  <si>
    <t>TXN-20251343</t>
  </si>
  <si>
    <t>TXN-20251344</t>
  </si>
  <si>
    <t>TXN-20251345</t>
  </si>
  <si>
    <t>TXN-20251346</t>
  </si>
  <si>
    <t>TXN-20251347</t>
  </si>
  <si>
    <t>TXN-20251348</t>
  </si>
  <si>
    <t>TXN-20251349</t>
  </si>
  <si>
    <t>TXN-20251350</t>
  </si>
  <si>
    <t>TXN-20251351</t>
  </si>
  <si>
    <t>TXN-20251352</t>
  </si>
  <si>
    <t>TXN-20251353</t>
  </si>
  <si>
    <t>TXN-20251354</t>
  </si>
  <si>
    <t>TXN-20251355</t>
  </si>
  <si>
    <t>TXN-20251356</t>
  </si>
  <si>
    <t>TXN-20251357</t>
  </si>
  <si>
    <t>TXN-20251358</t>
  </si>
  <si>
    <t>TXN-20251359</t>
  </si>
  <si>
    <t>TXN-20251360</t>
  </si>
  <si>
    <t>TXN-20251361</t>
  </si>
  <si>
    <t>TXN-20251362</t>
  </si>
  <si>
    <t>TXN-20251363</t>
  </si>
  <si>
    <t>TXN-20251364</t>
  </si>
  <si>
    <t>TXN-20251365</t>
  </si>
  <si>
    <t>TXN-20251366</t>
  </si>
  <si>
    <t>TXN-20251367</t>
  </si>
  <si>
    <t>TXN-20251368</t>
  </si>
  <si>
    <t>TXN-20251369</t>
  </si>
  <si>
    <t>TXN-20251370</t>
  </si>
  <si>
    <t>TXN-20251371</t>
  </si>
  <si>
    <t>TXN-20251372</t>
  </si>
  <si>
    <t>TXN-20251373</t>
  </si>
  <si>
    <t>TXN-20251374</t>
  </si>
  <si>
    <t>TXN-20251375</t>
  </si>
  <si>
    <t>TXN-20251376</t>
  </si>
  <si>
    <t>TXN-20251377</t>
  </si>
  <si>
    <t>TXN-20251378</t>
  </si>
  <si>
    <t>CUST-0231</t>
  </si>
  <si>
    <t>TXN-20251379</t>
  </si>
  <si>
    <t>TXN-20251380</t>
  </si>
  <si>
    <t>TXN-20251381</t>
  </si>
  <si>
    <t>TXN-20251382</t>
  </si>
  <si>
    <t>TXN-20251383</t>
  </si>
  <si>
    <t>TXN-20251384</t>
  </si>
  <si>
    <t>TXN-20251385</t>
  </si>
  <si>
    <t>TXN-20251386</t>
  </si>
  <si>
    <t>TXN-20251387</t>
  </si>
  <si>
    <t>TXN-20251388</t>
  </si>
  <si>
    <t>TXN-20251389</t>
  </si>
  <si>
    <t>TXN-20251390</t>
  </si>
  <si>
    <t>TXN-20251391</t>
  </si>
  <si>
    <t>TXN-20251392</t>
  </si>
  <si>
    <t>TXN-20251393</t>
  </si>
  <si>
    <t>TXN-20251394</t>
  </si>
  <si>
    <t>CUST-0149</t>
  </si>
  <si>
    <t>TXN-20251395</t>
  </si>
  <si>
    <t>TXN-20251396</t>
  </si>
  <si>
    <t>TXN-20251397</t>
  </si>
  <si>
    <t>TXN-20251398</t>
  </si>
  <si>
    <t>TXN-20251399</t>
  </si>
  <si>
    <t>TXN-20251400</t>
  </si>
  <si>
    <t>TXN-20251401</t>
  </si>
  <si>
    <t>TXN-20251402</t>
  </si>
  <si>
    <t>TXN-20251403</t>
  </si>
  <si>
    <t>TXN-20251404</t>
  </si>
  <si>
    <t>TXN-20251405</t>
  </si>
  <si>
    <t>TXN-20251406</t>
  </si>
  <si>
    <t>TXN-20251407</t>
  </si>
  <si>
    <t>TXN-20251408</t>
  </si>
  <si>
    <t>TXN-20251409</t>
  </si>
  <si>
    <t>TXN-20251410</t>
  </si>
  <si>
    <t>TXN-20251411</t>
  </si>
  <si>
    <t>TXN-20251412</t>
  </si>
  <si>
    <t>TXN-20251413</t>
  </si>
  <si>
    <t>TXN-20251414</t>
  </si>
  <si>
    <t>TXN-20251415</t>
  </si>
  <si>
    <t>TXN-20251416</t>
  </si>
  <si>
    <t>TXN-20251417</t>
  </si>
  <si>
    <t>TXN-20251418</t>
  </si>
  <si>
    <t>TXN-20251419</t>
  </si>
  <si>
    <t>TXN-20251420</t>
  </si>
  <si>
    <t>TXN-20251421</t>
  </si>
  <si>
    <t>TXN-20251422</t>
  </si>
  <si>
    <t>TXN-20251423</t>
  </si>
  <si>
    <t>TXN-20251424</t>
  </si>
  <si>
    <t>TXN-20251425</t>
  </si>
  <si>
    <t>TXN-20251426</t>
  </si>
  <si>
    <t>TXN-20251427</t>
  </si>
  <si>
    <t>TXN-20251428</t>
  </si>
  <si>
    <t>TXN-20251429</t>
  </si>
  <si>
    <t>TXN-20251430</t>
  </si>
  <si>
    <t>TXN-20251431</t>
  </si>
  <si>
    <t>TXN-20251432</t>
  </si>
  <si>
    <t>TXN-20251433</t>
  </si>
  <si>
    <t>TXN-20251434</t>
  </si>
  <si>
    <t>TXN-20251435</t>
  </si>
  <si>
    <t>TXN-20251436</t>
  </si>
  <si>
    <t>TXN-20251437</t>
  </si>
  <si>
    <t>TXN-20251438</t>
  </si>
  <si>
    <t>TXN-20251439</t>
  </si>
  <si>
    <t>TXN-20251440</t>
  </si>
  <si>
    <t>TXN-20251441</t>
  </si>
  <si>
    <t>TXN-20251442</t>
  </si>
  <si>
    <t>TXN-20251443</t>
  </si>
  <si>
    <t>TXN-20251444</t>
  </si>
  <si>
    <t>TXN-20251445</t>
  </si>
  <si>
    <t>TXN-20251446</t>
  </si>
  <si>
    <t>TXN-20251447</t>
  </si>
  <si>
    <t>TXN-20251448</t>
  </si>
  <si>
    <t>TXN-20251449</t>
  </si>
  <si>
    <t>TXN-20251450</t>
  </si>
  <si>
    <t>TXN-20251451</t>
  </si>
  <si>
    <t>TXN-20251452</t>
  </si>
  <si>
    <t>TXN-20251453</t>
  </si>
  <si>
    <t>TXN-20251454</t>
  </si>
  <si>
    <t>TXN-20251455</t>
  </si>
  <si>
    <t>TXN-20251456</t>
  </si>
  <si>
    <t>TXN-20251457</t>
  </si>
  <si>
    <t>TXN-20251458</t>
  </si>
  <si>
    <t>TXN-20251459</t>
  </si>
  <si>
    <t>TXN-20251460</t>
  </si>
  <si>
    <t>TXN-20251461</t>
  </si>
  <si>
    <t>TXN-20251462</t>
  </si>
  <si>
    <t>TXN-20251463</t>
  </si>
  <si>
    <t>TXN-20251464</t>
  </si>
  <si>
    <t>TXN-20251465</t>
  </si>
  <si>
    <t>TXN-20251466</t>
  </si>
  <si>
    <t>TXN-20251467</t>
  </si>
  <si>
    <t>TXN-20251468</t>
  </si>
  <si>
    <t>TXN-20251469</t>
  </si>
  <si>
    <t>TXN-20251470</t>
  </si>
  <si>
    <t>TXN-20251471</t>
  </si>
  <si>
    <t>TXN-20251472</t>
  </si>
  <si>
    <t>TXN-20251473</t>
  </si>
  <si>
    <t>TXN-20251474</t>
  </si>
  <si>
    <t>TXN-20251475</t>
  </si>
  <si>
    <t>CUST-0337</t>
  </si>
  <si>
    <t>TXN-20251476</t>
  </si>
  <si>
    <t>TXN-20251477</t>
  </si>
  <si>
    <t>TXN-20251478</t>
  </si>
  <si>
    <t>TXN-20251479</t>
  </si>
  <si>
    <t>TXN-20251480</t>
  </si>
  <si>
    <t>TXN-20251481</t>
  </si>
  <si>
    <t>TXN-20251482</t>
  </si>
  <si>
    <t>TXN-20251483</t>
  </si>
  <si>
    <t>TXN-20251484</t>
  </si>
  <si>
    <t>TXN-20251485</t>
  </si>
  <si>
    <t>TXN-20251486</t>
  </si>
  <si>
    <t>TXN-20251487</t>
  </si>
  <si>
    <t>TXN-20251488</t>
  </si>
  <si>
    <t>TXN-20251489</t>
  </si>
  <si>
    <t>TXN-20251490</t>
  </si>
  <si>
    <t>TXN-20251491</t>
  </si>
  <si>
    <t>TXN-20251492</t>
  </si>
  <si>
    <t>CUST-0203</t>
  </si>
  <si>
    <t>TXN-20251493</t>
  </si>
  <si>
    <t>TXN-20251494</t>
  </si>
  <si>
    <t>TXN-20251495</t>
  </si>
  <si>
    <t>TXN-20251496</t>
  </si>
  <si>
    <t>TXN-20251497</t>
  </si>
  <si>
    <t>TXN-20251498</t>
  </si>
  <si>
    <t>TXN-20251499</t>
  </si>
  <si>
    <t>TXN-20251500</t>
  </si>
  <si>
    <t>TXN-20251501</t>
  </si>
  <si>
    <t>TXN-20251502</t>
  </si>
  <si>
    <t>TXN-20251503</t>
  </si>
  <si>
    <t>TXN-20251504</t>
  </si>
  <si>
    <t>TXN-20251505</t>
  </si>
  <si>
    <t>TXN-20251506</t>
  </si>
  <si>
    <t>TXN-20251507</t>
  </si>
  <si>
    <t>TXN-20251508</t>
  </si>
  <si>
    <t>TXN-20251509</t>
  </si>
  <si>
    <t>TXN-20251510</t>
  </si>
  <si>
    <t>TXN-20251511</t>
  </si>
  <si>
    <t>TXN-20251512</t>
  </si>
  <si>
    <t>TXN-20251513</t>
  </si>
  <si>
    <t>TXN-20251514</t>
  </si>
  <si>
    <t>TXN-20251515</t>
  </si>
  <si>
    <t>TXN-20251516</t>
  </si>
  <si>
    <t>TXN-20251517</t>
  </si>
  <si>
    <t>TXN-20251518</t>
  </si>
  <si>
    <t>TXN-20251519</t>
  </si>
  <si>
    <t>TXN-20251520</t>
  </si>
  <si>
    <t>TXN-20251521</t>
  </si>
  <si>
    <t>TXN-20251522</t>
  </si>
  <si>
    <t>TXN-20251523</t>
  </si>
  <si>
    <t>TXN-20251524</t>
  </si>
  <si>
    <t>TXN-20251525</t>
  </si>
  <si>
    <t>TXN-20251526</t>
  </si>
  <si>
    <t>TXN-20251527</t>
  </si>
  <si>
    <t>TXN-20251528</t>
  </si>
  <si>
    <t>TXN-20251529</t>
  </si>
  <si>
    <t>TXN-20251530</t>
  </si>
  <si>
    <t>TXN-20251531</t>
  </si>
  <si>
    <t>TXN-20251532</t>
  </si>
  <si>
    <t>TXN-20251533</t>
  </si>
  <si>
    <t>TXN-20251534</t>
  </si>
  <si>
    <t>TXN-20251535</t>
  </si>
  <si>
    <t>TXN-20251536</t>
  </si>
  <si>
    <t>TXN-20251537</t>
  </si>
  <si>
    <t>TXN-20251538</t>
  </si>
  <si>
    <t>TXN-20251539</t>
  </si>
  <si>
    <t>TXN-20251540</t>
  </si>
  <si>
    <t>TXN-20251541</t>
  </si>
  <si>
    <t>TXN-20251542</t>
  </si>
  <si>
    <t>TXN-20251543</t>
  </si>
  <si>
    <t>TXN-20251544</t>
  </si>
  <si>
    <t>TXN-20251545</t>
  </si>
  <si>
    <t>TXN-20251546</t>
  </si>
  <si>
    <t>TXN-20251547</t>
  </si>
  <si>
    <t>TXN-20251548</t>
  </si>
  <si>
    <t>TXN-20251549</t>
  </si>
  <si>
    <t>TXN-20251550</t>
  </si>
  <si>
    <t>TXN-20251551</t>
  </si>
  <si>
    <t>TXN-20251552</t>
  </si>
  <si>
    <t>TXN-20251553</t>
  </si>
  <si>
    <t>TXN-20251554</t>
  </si>
  <si>
    <t>TXN-20251555</t>
  </si>
  <si>
    <t>TXN-20251556</t>
  </si>
  <si>
    <t>TXN-20251557</t>
  </si>
  <si>
    <t>TXN-20251558</t>
  </si>
  <si>
    <t>TXN-20251559</t>
  </si>
  <si>
    <t>TXN-20251560</t>
  </si>
  <si>
    <t>TXN-20251561</t>
  </si>
  <si>
    <t>TXN-20251562</t>
  </si>
  <si>
    <t>TXN-20251563</t>
  </si>
  <si>
    <t>TXN-20251564</t>
  </si>
  <si>
    <t>TXN-20251565</t>
  </si>
  <si>
    <t>TXN-20251566</t>
  </si>
  <si>
    <t>TXN-20251567</t>
  </si>
  <si>
    <t>TXN-20251568</t>
  </si>
  <si>
    <t>TXN-20251569</t>
  </si>
  <si>
    <t>TXN-20251570</t>
  </si>
  <si>
    <t>TXN-20251571</t>
  </si>
  <si>
    <t>TXN-20251572</t>
  </si>
  <si>
    <t>TXN-20251573</t>
  </si>
  <si>
    <t>TXN-20251574</t>
  </si>
  <si>
    <t>TXN-20251575</t>
  </si>
  <si>
    <t>TXN-20251576</t>
  </si>
  <si>
    <t>CUST-0169</t>
  </si>
  <si>
    <t>TXN-20251577</t>
  </si>
  <si>
    <t>TXN-20251578</t>
  </si>
  <si>
    <t>TXN-20251579</t>
  </si>
  <si>
    <t>TXN-20251580</t>
  </si>
  <si>
    <t>TXN-20251581</t>
  </si>
  <si>
    <t>TXN-20251582</t>
  </si>
  <si>
    <t>TXN-20251583</t>
  </si>
  <si>
    <t>TXN-20251584</t>
  </si>
  <si>
    <t>TXN-20251585</t>
  </si>
  <si>
    <t>TXN-20251586</t>
  </si>
  <si>
    <t>TXN-20251587</t>
  </si>
  <si>
    <t>TXN-20251588</t>
  </si>
  <si>
    <t>TXN-20251589</t>
  </si>
  <si>
    <t>TXN-20251590</t>
  </si>
  <si>
    <t>TXN-20251591</t>
  </si>
  <si>
    <t>TXN-20251592</t>
  </si>
  <si>
    <t>TXN-20251593</t>
  </si>
  <si>
    <t>TXN-20251594</t>
  </si>
  <si>
    <t>TXN-20251595</t>
  </si>
  <si>
    <t>TXN-20251596</t>
  </si>
  <si>
    <t>TXN-20251597</t>
  </si>
  <si>
    <t>TXN-20251598</t>
  </si>
  <si>
    <t>TXN-20251599</t>
  </si>
  <si>
    <t>TXN-20251600</t>
  </si>
  <si>
    <t>TXN-20251601</t>
  </si>
  <si>
    <t>TXN-20251602</t>
  </si>
  <si>
    <t>TXN-20251603</t>
  </si>
  <si>
    <t>TXN-20251604</t>
  </si>
  <si>
    <t>TXN-20251605</t>
  </si>
  <si>
    <t>TXN-20251606</t>
  </si>
  <si>
    <t>TXN-20251607</t>
  </si>
  <si>
    <t>TXN-20251608</t>
  </si>
  <si>
    <t>TXN-20251609</t>
  </si>
  <si>
    <t>TXN-20251610</t>
  </si>
  <si>
    <t>TXN-20251611</t>
  </si>
  <si>
    <t>TXN-20251612</t>
  </si>
  <si>
    <t>TXN-20251613</t>
  </si>
  <si>
    <t>TXN-20251614</t>
  </si>
  <si>
    <t>TXN-20251615</t>
  </si>
  <si>
    <t>TXN-20251616</t>
  </si>
  <si>
    <t>TXN-20251617</t>
  </si>
  <si>
    <t>TXN-20251618</t>
  </si>
  <si>
    <t>TXN-20251619</t>
  </si>
  <si>
    <t>TXN-20251620</t>
  </si>
  <si>
    <t>TXN-20251621</t>
  </si>
  <si>
    <t>TXN-20251622</t>
  </si>
  <si>
    <t>TXN-20251623</t>
  </si>
  <si>
    <t>TXN-20251624</t>
  </si>
  <si>
    <t>TXN-20251625</t>
  </si>
  <si>
    <t>TXN-20251626</t>
  </si>
  <si>
    <t>TXN-20251627</t>
  </si>
  <si>
    <t>TXN-20251628</t>
  </si>
  <si>
    <t>TXN-20251629</t>
  </si>
  <si>
    <t>TXN-20251630</t>
  </si>
  <si>
    <t>TXN-20251631</t>
  </si>
  <si>
    <t>TXN-20251632</t>
  </si>
  <si>
    <t>TXN-20251633</t>
  </si>
  <si>
    <t>TXN-20251634</t>
  </si>
  <si>
    <t>TXN-20251635</t>
  </si>
  <si>
    <t>TXN-20251636</t>
  </si>
  <si>
    <t>TXN-20251637</t>
  </si>
  <si>
    <t>TXN-20251638</t>
  </si>
  <si>
    <t>TXN-20251639</t>
  </si>
  <si>
    <t>TXN-20251640</t>
  </si>
  <si>
    <t>TXN-20251641</t>
  </si>
  <si>
    <t>TXN-20251642</t>
  </si>
  <si>
    <t>TXN-20251643</t>
  </si>
  <si>
    <t>TXN-20251644</t>
  </si>
  <si>
    <t>TXN-20251645</t>
  </si>
  <si>
    <t>TXN-20251646</t>
  </si>
  <si>
    <t>TXN-20251647</t>
  </si>
  <si>
    <t>TXN-20251648</t>
  </si>
  <si>
    <t>TXN-20251649</t>
  </si>
  <si>
    <t>TXN-20251650</t>
  </si>
  <si>
    <t>CUST-0331</t>
  </si>
  <si>
    <t>TXN-20251651</t>
  </si>
  <si>
    <t>TXN-20251652</t>
  </si>
  <si>
    <t>TXN-20251653</t>
  </si>
  <si>
    <t>TXN-20251654</t>
  </si>
  <si>
    <t>TXN-20251655</t>
  </si>
  <si>
    <t>TXN-20251656</t>
  </si>
  <si>
    <t>TXN-20251657</t>
  </si>
  <si>
    <t>TXN-20251658</t>
  </si>
  <si>
    <t>TXN-20251659</t>
  </si>
  <si>
    <t>TXN-20251660</t>
  </si>
  <si>
    <t>TXN-20251661</t>
  </si>
  <si>
    <t>TXN-20251662</t>
  </si>
  <si>
    <t>TXN-20251663</t>
  </si>
  <si>
    <t>TXN-20251664</t>
  </si>
  <si>
    <t>TXN-20251665</t>
  </si>
  <si>
    <t>TXN-20251666</t>
  </si>
  <si>
    <t>TXN-20251667</t>
  </si>
  <si>
    <t>TXN-20251668</t>
  </si>
  <si>
    <t>TXN-20251669</t>
  </si>
  <si>
    <t>TXN-20251670</t>
  </si>
  <si>
    <t>TXN-20251671</t>
  </si>
  <si>
    <t>TXN-20251672</t>
  </si>
  <si>
    <t>TXN-20251673</t>
  </si>
  <si>
    <t>TXN-20251674</t>
  </si>
  <si>
    <t>TXN-20251675</t>
  </si>
  <si>
    <t>TXN-20251676</t>
  </si>
  <si>
    <t>TXN-20251677</t>
  </si>
  <si>
    <t>TXN-20251678</t>
  </si>
  <si>
    <t>TXN-20251679</t>
  </si>
  <si>
    <t>TXN-20251680</t>
  </si>
  <si>
    <t>TXN-20251681</t>
  </si>
  <si>
    <t>TXN-20251682</t>
  </si>
  <si>
    <t>TXN-20251683</t>
  </si>
  <si>
    <t>TXN-20251684</t>
  </si>
  <si>
    <t>TXN-20251685</t>
  </si>
  <si>
    <t>TXN-20251686</t>
  </si>
  <si>
    <t>TXN-20251687</t>
  </si>
  <si>
    <t>TXN-20251688</t>
  </si>
  <si>
    <t>TXN-20251689</t>
  </si>
  <si>
    <t>TXN-20251690</t>
  </si>
  <si>
    <t>TXN-20251691</t>
  </si>
  <si>
    <t>TXN-20251692</t>
  </si>
  <si>
    <t>TXN-20251693</t>
  </si>
  <si>
    <t>TXN-20251694</t>
  </si>
  <si>
    <t>TXN-20251695</t>
  </si>
  <si>
    <t>TXN-20251696</t>
  </si>
  <si>
    <t>TXN-20251697</t>
  </si>
  <si>
    <t>TXN-20251698</t>
  </si>
  <si>
    <t>TXN-20251699</t>
  </si>
  <si>
    <t>TXN-20251700</t>
  </si>
  <si>
    <t>TXN-20251701</t>
  </si>
  <si>
    <t>TXN-20251702</t>
  </si>
  <si>
    <t>TXN-20251703</t>
  </si>
  <si>
    <t>TXN-20251704</t>
  </si>
  <si>
    <t>TXN-20251705</t>
  </si>
  <si>
    <t>TXN-20251706</t>
  </si>
  <si>
    <t>TXN-20251707</t>
  </si>
  <si>
    <t>TXN-20251708</t>
  </si>
  <si>
    <t>TXN-20251709</t>
  </si>
  <si>
    <t>TXN-20251710</t>
  </si>
  <si>
    <t>TXN-20251711</t>
  </si>
  <si>
    <t>TXN-20251712</t>
  </si>
  <si>
    <t>TXN-20251713</t>
  </si>
  <si>
    <t>TXN-20251714</t>
  </si>
  <si>
    <t>TXN-20251715</t>
  </si>
  <si>
    <t>TXN-20251716</t>
  </si>
  <si>
    <t>TXN-20251717</t>
  </si>
  <si>
    <t>TXN-20251718</t>
  </si>
  <si>
    <t>TXN-20251719</t>
  </si>
  <si>
    <t>TXN-20251720</t>
  </si>
  <si>
    <t>TXN-20251721</t>
  </si>
  <si>
    <t>TXN-20251722</t>
  </si>
  <si>
    <t>TXN-20251723</t>
  </si>
  <si>
    <t>TXN-20251724</t>
  </si>
  <si>
    <t>TXN-20251725</t>
  </si>
  <si>
    <t>TXN-20251726</t>
  </si>
  <si>
    <t>TXN-20251727</t>
  </si>
  <si>
    <t>TXN-20251728</t>
  </si>
  <si>
    <t>TXN-20251729</t>
  </si>
  <si>
    <t>TXN-20251730</t>
  </si>
  <si>
    <t>TXN-20251731</t>
  </si>
  <si>
    <t>TXN-20251732</t>
  </si>
  <si>
    <t>TXN-20251733</t>
  </si>
  <si>
    <t>TXN-20251734</t>
  </si>
  <si>
    <t>TXN-20251735</t>
  </si>
  <si>
    <t>TXN-20251736</t>
  </si>
  <si>
    <t>TXN-20251737</t>
  </si>
  <si>
    <t>TXN-20251738</t>
  </si>
  <si>
    <t>TXN-20251739</t>
  </si>
  <si>
    <t>TXN-20251740</t>
  </si>
  <si>
    <t>TXN-20251741</t>
  </si>
  <si>
    <t>TXN-20251742</t>
  </si>
  <si>
    <t>TXN-20251743</t>
  </si>
  <si>
    <t>TXN-20251744</t>
  </si>
  <si>
    <t>TXN-20251745</t>
  </si>
  <si>
    <t>TXN-20251746</t>
  </si>
  <si>
    <t>TXN-20251747</t>
  </si>
  <si>
    <t>TXN-20251748</t>
  </si>
  <si>
    <t>TXN-20251749</t>
  </si>
  <si>
    <t>TXN-20251750</t>
  </si>
  <si>
    <t>TXN-20251751</t>
  </si>
  <si>
    <t>TXN-20251752</t>
  </si>
  <si>
    <t>TXN-20251753</t>
  </si>
  <si>
    <t>TXN-20251754</t>
  </si>
  <si>
    <t>TXN-20251755</t>
  </si>
  <si>
    <t>TXN-20251756</t>
  </si>
  <si>
    <t>TXN-20251757</t>
  </si>
  <si>
    <t>TXN-20251758</t>
  </si>
  <si>
    <t>TXN-20251759</t>
  </si>
  <si>
    <t>TXN-20251760</t>
  </si>
  <si>
    <t>TXN-20251761</t>
  </si>
  <si>
    <t>TXN-20251762</t>
  </si>
  <si>
    <t>TXN-20251763</t>
  </si>
  <si>
    <t>TXN-20251764</t>
  </si>
  <si>
    <t>TXN-20251765</t>
  </si>
  <si>
    <t>TXN-20251766</t>
  </si>
  <si>
    <t>TXN-20251767</t>
  </si>
  <si>
    <t>TXN-20251768</t>
  </si>
  <si>
    <t>TXN-20251769</t>
  </si>
  <si>
    <t>TXN-20251770</t>
  </si>
  <si>
    <t>TXN-20251771</t>
  </si>
  <si>
    <t>TXN-20251772</t>
  </si>
  <si>
    <t>TXN-20251773</t>
  </si>
  <si>
    <t>TXN-20251774</t>
  </si>
  <si>
    <t>TXN-20251775</t>
  </si>
  <si>
    <t>TXN-20251776</t>
  </si>
  <si>
    <t>TXN-20251777</t>
  </si>
  <si>
    <t>TXN-20251778</t>
  </si>
  <si>
    <t>TXN-20251779</t>
  </si>
  <si>
    <t>TXN-20251780</t>
  </si>
  <si>
    <t>TXN-20251781</t>
  </si>
  <si>
    <t>TXN-20251782</t>
  </si>
  <si>
    <t>TXN-20251783</t>
  </si>
  <si>
    <t>TXN-20251784</t>
  </si>
  <si>
    <t>TXN-20251785</t>
  </si>
  <si>
    <t>TXN-20251786</t>
  </si>
  <si>
    <t>TXN-20251787</t>
  </si>
  <si>
    <t>TXN-20251788</t>
  </si>
  <si>
    <t>TXN-20251789</t>
  </si>
  <si>
    <t>TXN-20251790</t>
  </si>
  <si>
    <t>TXN-20251791</t>
  </si>
  <si>
    <t>TXN-20251792</t>
  </si>
  <si>
    <t>TXN-20251793</t>
  </si>
  <si>
    <t>TXN-20251794</t>
  </si>
  <si>
    <t>TXN-20251795</t>
  </si>
  <si>
    <t>TXN-20251796</t>
  </si>
  <si>
    <t>TXN-20251797</t>
  </si>
  <si>
    <t>TXN-20251798</t>
  </si>
  <si>
    <t>TXN-20251799</t>
  </si>
  <si>
    <t>TXN-20251800</t>
  </si>
  <si>
    <t>TXN-20251801</t>
  </si>
  <si>
    <t>TXN-20251802</t>
  </si>
  <si>
    <t>TXN-20251803</t>
  </si>
  <si>
    <t>TXN-20251804</t>
  </si>
  <si>
    <t>TXN-20251805</t>
  </si>
  <si>
    <t>TXN-20251806</t>
  </si>
  <si>
    <t>TXN-20251807</t>
  </si>
  <si>
    <t>TXN-20251808</t>
  </si>
  <si>
    <t>TXN-20251809</t>
  </si>
  <si>
    <t>TXN-20251810</t>
  </si>
  <si>
    <t>TXN-20251811</t>
  </si>
  <si>
    <t>TXN-20251812</t>
  </si>
  <si>
    <t>TXN-20251813</t>
  </si>
  <si>
    <t>TXN-20251814</t>
  </si>
  <si>
    <t>TXN-20251815</t>
  </si>
  <si>
    <t>TXN-20251816</t>
  </si>
  <si>
    <t>TXN-20251817</t>
  </si>
  <si>
    <t>TXN-20251818</t>
  </si>
  <si>
    <t>TXN-20251819</t>
  </si>
  <si>
    <t>TXN-20251820</t>
  </si>
  <si>
    <t>TXN-20251821</t>
  </si>
  <si>
    <t>TXN-20251822</t>
  </si>
  <si>
    <t>TXN-20251823</t>
  </si>
  <si>
    <t>TXN-20251824</t>
  </si>
  <si>
    <t>TXN-20251825</t>
  </si>
  <si>
    <t>TXN-20251826</t>
  </si>
  <si>
    <t>TXN-20251827</t>
  </si>
  <si>
    <t>TXN-20251828</t>
  </si>
  <si>
    <t>TXN-20251829</t>
  </si>
  <si>
    <t>TXN-20251830</t>
  </si>
  <si>
    <t>TXN-20251831</t>
  </si>
  <si>
    <t>TXN-20251832</t>
  </si>
  <si>
    <t>TXN-20251833</t>
  </si>
  <si>
    <t>TXN-20251834</t>
  </si>
  <si>
    <t>TXN-20251835</t>
  </si>
  <si>
    <t>TXN-20251836</t>
  </si>
  <si>
    <t>TXN-20251837</t>
  </si>
  <si>
    <t>TXN-20251838</t>
  </si>
  <si>
    <t>TXN-20251839</t>
  </si>
  <si>
    <t>TXN-20251840</t>
  </si>
  <si>
    <t>TXN-20251841</t>
  </si>
  <si>
    <t>TXN-20251842</t>
  </si>
  <si>
    <t>TXN-20251843</t>
  </si>
  <si>
    <t>TXN-20251844</t>
  </si>
  <si>
    <t>TXN-20251845</t>
  </si>
  <si>
    <t>TXN-20251846</t>
  </si>
  <si>
    <t>TXN-20251847</t>
  </si>
  <si>
    <t>TXN-20251848</t>
  </si>
  <si>
    <t>TXN-20251849</t>
  </si>
  <si>
    <t>TXN-20251850</t>
  </si>
  <si>
    <t>TXN-20251851</t>
  </si>
  <si>
    <t>TXN-20251852</t>
  </si>
  <si>
    <t>TXN-20251853</t>
  </si>
  <si>
    <t>TXN-20251854</t>
  </si>
  <si>
    <t>TXN-20251855</t>
  </si>
  <si>
    <t>TXN-20251856</t>
  </si>
  <si>
    <t>TXN-20251857</t>
  </si>
  <si>
    <t>TXN-20251858</t>
  </si>
  <si>
    <t>TXN-20251859</t>
  </si>
  <si>
    <t>TXN-20251860</t>
  </si>
  <si>
    <t>TXN-20251861</t>
  </si>
  <si>
    <t>TXN-20251862</t>
  </si>
  <si>
    <t>TXN-20251863</t>
  </si>
  <si>
    <t>TXN-20251864</t>
  </si>
  <si>
    <t>TXN-20251865</t>
  </si>
  <si>
    <t>TXN-20251866</t>
  </si>
  <si>
    <t>TXN-20251867</t>
  </si>
  <si>
    <t>TXN-20251868</t>
  </si>
  <si>
    <t>TXN-20251869</t>
  </si>
  <si>
    <t>TXN-20251870</t>
  </si>
  <si>
    <t>TXN-20251871</t>
  </si>
  <si>
    <t>TXN-20251872</t>
  </si>
  <si>
    <t>TXN-20251873</t>
  </si>
  <si>
    <t>TXN-20251874</t>
  </si>
  <si>
    <t>TXN-20251875</t>
  </si>
  <si>
    <t>TXN-20251876</t>
  </si>
  <si>
    <t>TXN-20251877</t>
  </si>
  <si>
    <t>TXN-20251878</t>
  </si>
  <si>
    <t>TXN-20251879</t>
  </si>
  <si>
    <t>TXN-20251880</t>
  </si>
  <si>
    <t>TXN-20251881</t>
  </si>
  <si>
    <t>TXN-20251882</t>
  </si>
  <si>
    <t>TXN-20251883</t>
  </si>
  <si>
    <t>TXN-20251884</t>
  </si>
  <si>
    <t>TXN-20251885</t>
  </si>
  <si>
    <t>TXN-20251886</t>
  </si>
  <si>
    <t>TXN-20251887</t>
  </si>
  <si>
    <t>TXN-20251888</t>
  </si>
  <si>
    <t>TXN-20251889</t>
  </si>
  <si>
    <t>TXN-20251890</t>
  </si>
  <si>
    <t>TXN-20251891</t>
  </si>
  <si>
    <t>TXN-20251892</t>
  </si>
  <si>
    <t>TXN-20251893</t>
  </si>
  <si>
    <t>TXN-20251894</t>
  </si>
  <si>
    <t>TXN-20251895</t>
  </si>
  <si>
    <t>TXN-20251896</t>
  </si>
  <si>
    <t>TXN-20251897</t>
  </si>
  <si>
    <t>TXN-20251898</t>
  </si>
  <si>
    <t>TXN-20251899</t>
  </si>
  <si>
    <t>TXN-20251900</t>
  </si>
  <si>
    <t>TXN-20251901</t>
  </si>
  <si>
    <t>TXN-20251902</t>
  </si>
  <si>
    <t>TXN-20251903</t>
  </si>
  <si>
    <t>TXN-20251904</t>
  </si>
  <si>
    <t>TXN-20251905</t>
  </si>
  <si>
    <t>TXN-20251906</t>
  </si>
  <si>
    <t>TXN-20251907</t>
  </si>
  <si>
    <t>TXN-20251908</t>
  </si>
  <si>
    <t>TXN-20251909</t>
  </si>
  <si>
    <t>TXN-20251910</t>
  </si>
  <si>
    <t>TXN-20251911</t>
  </si>
  <si>
    <t>TXN-20251912</t>
  </si>
  <si>
    <t>TXN-20251913</t>
  </si>
  <si>
    <t>TXN-20251914</t>
  </si>
  <si>
    <t>TXN-20251915</t>
  </si>
  <si>
    <t>TXN-20251916</t>
  </si>
  <si>
    <t>TXN-20251917</t>
  </si>
  <si>
    <t>TXN-20251918</t>
  </si>
  <si>
    <t>TXN-20251919</t>
  </si>
  <si>
    <t>TXN-20251920</t>
  </si>
  <si>
    <t>TXN-20251921</t>
  </si>
  <si>
    <t>TXN-20251922</t>
  </si>
  <si>
    <t>TXN-20251923</t>
  </si>
  <si>
    <t>TXN-20251924</t>
  </si>
  <si>
    <t>TXN-20251925</t>
  </si>
  <si>
    <t>TXN-20251926</t>
  </si>
  <si>
    <t>TXN-20251927</t>
  </si>
  <si>
    <t>TXN-20251928</t>
  </si>
  <si>
    <t>TXN-20251929</t>
  </si>
  <si>
    <t>TXN-20251930</t>
  </si>
  <si>
    <t>TXN-20251931</t>
  </si>
  <si>
    <t>TXN-20251932</t>
  </si>
  <si>
    <t>TXN-20251933</t>
  </si>
  <si>
    <t>TXN-20251934</t>
  </si>
  <si>
    <t>TXN-20251935</t>
  </si>
  <si>
    <t>TXN-20251936</t>
  </si>
  <si>
    <t>TXN-20251937</t>
  </si>
  <si>
    <t>TXN-20251938</t>
  </si>
  <si>
    <t>TXN-20251939</t>
  </si>
  <si>
    <t>TXN-20251940</t>
  </si>
  <si>
    <t>TXN-20251941</t>
  </si>
  <si>
    <t>TXN-20251942</t>
  </si>
  <si>
    <t>TXN-20251943</t>
  </si>
  <si>
    <t>TXN-20251944</t>
  </si>
  <si>
    <t>TXN-20251945</t>
  </si>
  <si>
    <t>TXN-20251946</t>
  </si>
  <si>
    <t>TXN-20251947</t>
  </si>
  <si>
    <t>TXN-20251948</t>
  </si>
  <si>
    <t>TXN-20251949</t>
  </si>
  <si>
    <t>TXN-20251950</t>
  </si>
  <si>
    <t>TXN-20251951</t>
  </si>
  <si>
    <t>TXN-20251952</t>
  </si>
  <si>
    <t>TXN-20251953</t>
  </si>
  <si>
    <t>TXN-20251954</t>
  </si>
  <si>
    <t>TXN-20251955</t>
  </si>
  <si>
    <t>TXN-20251956</t>
  </si>
  <si>
    <t>TXN-20251957</t>
  </si>
  <si>
    <t>TXN-20251958</t>
  </si>
  <si>
    <t>TXN-20251959</t>
  </si>
  <si>
    <t>TXN-20251960</t>
  </si>
  <si>
    <t>TXN-20251961</t>
  </si>
  <si>
    <t>TXN-20251962</t>
  </si>
  <si>
    <t>TXN-20251963</t>
  </si>
  <si>
    <t>TXN-20251964</t>
  </si>
  <si>
    <t>TXN-20251965</t>
  </si>
  <si>
    <t>TXN-20251966</t>
  </si>
  <si>
    <t>TXN-20251967</t>
  </si>
  <si>
    <t>TXN-20251968</t>
  </si>
  <si>
    <t>TXN-20251969</t>
  </si>
  <si>
    <t>TXN-20251970</t>
  </si>
  <si>
    <t>TXN-20251971</t>
  </si>
  <si>
    <t>TXN-20251972</t>
  </si>
  <si>
    <t>TXN-20251973</t>
  </si>
  <si>
    <t>TXN-20251974</t>
  </si>
  <si>
    <t>TXN-20251975</t>
  </si>
  <si>
    <t>TXN-20251976</t>
  </si>
  <si>
    <t>TXN-20251977</t>
  </si>
  <si>
    <t>TXN-20251978</t>
  </si>
  <si>
    <t>TXN-20251979</t>
  </si>
  <si>
    <t>TXN-20251980</t>
  </si>
  <si>
    <t>TXN-20251981</t>
  </si>
  <si>
    <t>TXN-20251982</t>
  </si>
  <si>
    <t>TXN-20251983</t>
  </si>
  <si>
    <t>TXN-20251984</t>
  </si>
  <si>
    <t>TXN-20251985</t>
  </si>
  <si>
    <t>TXN-20251986</t>
  </si>
  <si>
    <t>TXN-20251987</t>
  </si>
  <si>
    <t>TXN-20251988</t>
  </si>
  <si>
    <t>TXN-20251989</t>
  </si>
  <si>
    <t>TXN-20251990</t>
  </si>
  <si>
    <t>TXN-20251991</t>
  </si>
  <si>
    <t>TXN-20251992</t>
  </si>
  <si>
    <t>TXN-20251993</t>
  </si>
  <si>
    <t>TXN-20251994</t>
  </si>
  <si>
    <t>TXN-20251995</t>
  </si>
  <si>
    <t>TXN-20251996</t>
  </si>
  <si>
    <t>TXN-20251997</t>
  </si>
  <si>
    <t>TXN-20251998</t>
  </si>
  <si>
    <t>TXN-20251999</t>
  </si>
  <si>
    <t>TXN-20252000</t>
  </si>
  <si>
    <t>TXN-20252001</t>
  </si>
  <si>
    <t>TXN-20252002</t>
  </si>
  <si>
    <t>TXN-20252003</t>
  </si>
  <si>
    <t>TXN-20252004</t>
  </si>
  <si>
    <t>TXN-20252005</t>
  </si>
  <si>
    <t>TXN-20252006</t>
  </si>
  <si>
    <t>TXN-20252007</t>
  </si>
  <si>
    <t>TXN-20252008</t>
  </si>
  <si>
    <t>TXN-20252009</t>
  </si>
  <si>
    <t>TXN-20252010</t>
  </si>
  <si>
    <t>TXN-20252011</t>
  </si>
  <si>
    <t>TXN-20252012</t>
  </si>
  <si>
    <t>TXN-20252013</t>
  </si>
  <si>
    <t>TXN-20252014</t>
  </si>
  <si>
    <t>TXN-20252015</t>
  </si>
  <si>
    <t>CUST-0207</t>
  </si>
  <si>
    <t>TXN-20252016</t>
  </si>
  <si>
    <t>TXN-20252017</t>
  </si>
  <si>
    <t>TXN-20252018</t>
  </si>
  <si>
    <t>TXN-20252019</t>
  </si>
  <si>
    <t>TXN-20252020</t>
  </si>
  <si>
    <t>TXN-20252021</t>
  </si>
  <si>
    <t>TXN-20252022</t>
  </si>
  <si>
    <t>TXN-20252023</t>
  </si>
  <si>
    <t>TXN-20252024</t>
  </si>
  <si>
    <t>TXN-20252025</t>
  </si>
  <si>
    <t>TXN-20252026</t>
  </si>
  <si>
    <t>TXN-20252027</t>
  </si>
  <si>
    <t>TXN-20252028</t>
  </si>
  <si>
    <t>TXN-20252029</t>
  </si>
  <si>
    <t>TXN-20252030</t>
  </si>
  <si>
    <t>TXN-20252031</t>
  </si>
  <si>
    <t>TXN-20252032</t>
  </si>
  <si>
    <t>TXN-20252033</t>
  </si>
  <si>
    <t>TXN-20252034</t>
  </si>
  <si>
    <t>TXN-20252035</t>
  </si>
  <si>
    <t>TXN-20252036</t>
  </si>
  <si>
    <t>TXN-20252037</t>
  </si>
  <si>
    <t>TXN-20252038</t>
  </si>
  <si>
    <t>TXN-20252039</t>
  </si>
  <si>
    <t>TXN-20252040</t>
  </si>
  <si>
    <t>TXN-20252041</t>
  </si>
  <si>
    <t>TXN-20252042</t>
  </si>
  <si>
    <t>TXN-20252043</t>
  </si>
  <si>
    <t>TXN-20252044</t>
  </si>
  <si>
    <t>TXN-20252045</t>
  </si>
  <si>
    <t>TXN-20252046</t>
  </si>
  <si>
    <t>TXN-20252047</t>
  </si>
  <si>
    <t>TXN-20252048</t>
  </si>
  <si>
    <t>TXN-20252049</t>
  </si>
  <si>
    <t>TXN-20252050</t>
  </si>
  <si>
    <t>TXN-20252051</t>
  </si>
  <si>
    <t>TXN-20252052</t>
  </si>
  <si>
    <t>TXN-20252053</t>
  </si>
  <si>
    <t>TXN-20252054</t>
  </si>
  <si>
    <t>TXN-20252055</t>
  </si>
  <si>
    <t>TXN-20252056</t>
  </si>
  <si>
    <t>TXN-20252057</t>
  </si>
  <si>
    <t>TXN-20252058</t>
  </si>
  <si>
    <t>TXN-20252059</t>
  </si>
  <si>
    <t>TXN-20252060</t>
  </si>
  <si>
    <t>TXN-20252061</t>
  </si>
  <si>
    <t>TXN-20252062</t>
  </si>
  <si>
    <t>TXN-20252063</t>
  </si>
  <si>
    <t>TXN-20252064</t>
  </si>
  <si>
    <t>TXN-20252065</t>
  </si>
  <si>
    <t>TXN-20252066</t>
  </si>
  <si>
    <t>TXN-20252067</t>
  </si>
  <si>
    <t>TXN-20252068</t>
  </si>
  <si>
    <t>TXN-20252069</t>
  </si>
  <si>
    <t>TXN-20252070</t>
  </si>
  <si>
    <t>TXN-20252071</t>
  </si>
  <si>
    <t>TXN-20252072</t>
  </si>
  <si>
    <t>TXN-20252073</t>
  </si>
  <si>
    <t>TXN-20252074</t>
  </si>
  <si>
    <t>TXN-20252075</t>
  </si>
  <si>
    <t>TXN-20252076</t>
  </si>
  <si>
    <t>TXN-20252077</t>
  </si>
  <si>
    <t>TXN-20252078</t>
  </si>
  <si>
    <t>TXN-20252079</t>
  </si>
  <si>
    <t>TXN-20252080</t>
  </si>
  <si>
    <t>TXN-20252081</t>
  </si>
  <si>
    <t>TXN-20252082</t>
  </si>
  <si>
    <t>TXN-20252083</t>
  </si>
  <si>
    <t>TXN-20252084</t>
  </si>
  <si>
    <t>TXN-20252085</t>
  </si>
  <si>
    <t>TXN-20252086</t>
  </si>
  <si>
    <t>TXN-20252087</t>
  </si>
  <si>
    <t>TXN-20252088</t>
  </si>
  <si>
    <t>TXN-20252089</t>
  </si>
  <si>
    <t>TXN-20252090</t>
  </si>
  <si>
    <t>TXN-20252091</t>
  </si>
  <si>
    <t>TXN-20252092</t>
  </si>
  <si>
    <t>TXN-20252093</t>
  </si>
  <si>
    <t>TXN-20252094</t>
  </si>
  <si>
    <t>TXN-20252095</t>
  </si>
  <si>
    <t>TXN-20252096</t>
  </si>
  <si>
    <t>TXN-20252097</t>
  </si>
  <si>
    <t>TXN-20252098</t>
  </si>
  <si>
    <t>TXN-20252099</t>
  </si>
  <si>
    <t>TXN-20252100</t>
  </si>
  <si>
    <t>TXN-20252101</t>
  </si>
  <si>
    <t>TXN-20252102</t>
  </si>
  <si>
    <t>TXN-20252103</t>
  </si>
  <si>
    <t>TXN-20252104</t>
  </si>
  <si>
    <t>TXN-20252105</t>
  </si>
  <si>
    <t>TXN-20252106</t>
  </si>
  <si>
    <t>TXN-20252107</t>
  </si>
  <si>
    <t>TXN-20252108</t>
  </si>
  <si>
    <t>TXN-20252109</t>
  </si>
  <si>
    <t>TXN-20252110</t>
  </si>
  <si>
    <t>TXN-20252111</t>
  </si>
  <si>
    <t>TXN-20252112</t>
  </si>
  <si>
    <t>TXN-20252113</t>
  </si>
  <si>
    <t>TXN-20252114</t>
  </si>
  <si>
    <t>TXN-20252115</t>
  </si>
  <si>
    <t>TXN-20252116</t>
  </si>
  <si>
    <t>TXN-20252117</t>
  </si>
  <si>
    <t>TXN-20252118</t>
  </si>
  <si>
    <t>TXN-20252119</t>
  </si>
  <si>
    <t>TXN-20252120</t>
  </si>
  <si>
    <t>TXN-20252121</t>
  </si>
  <si>
    <t>TXN-20252122</t>
  </si>
  <si>
    <t>TXN-20252123</t>
  </si>
  <si>
    <t>TXN-20252124</t>
  </si>
  <si>
    <t>TXN-20252125</t>
  </si>
  <si>
    <t>TXN-20252126</t>
  </si>
  <si>
    <t>TXN-20252127</t>
  </si>
  <si>
    <t>TXN-20252128</t>
  </si>
  <si>
    <t>TXN-20252129</t>
  </si>
  <si>
    <t>TXN-20252130</t>
  </si>
  <si>
    <t>TXN-20252131</t>
  </si>
  <si>
    <t>TXN-20252132</t>
  </si>
  <si>
    <t>TXN-20252133</t>
  </si>
  <si>
    <t>TXN-20252134</t>
  </si>
  <si>
    <t>TXN-20252135</t>
  </si>
  <si>
    <t>TXN-20252136</t>
  </si>
  <si>
    <t>TXN-20252137</t>
  </si>
  <si>
    <t>TXN-20252138</t>
  </si>
  <si>
    <t>TXN-20252139</t>
  </si>
  <si>
    <t>TXN-20252140</t>
  </si>
  <si>
    <t>TXN-20252141</t>
  </si>
  <si>
    <t>TXN-20252142</t>
  </si>
  <si>
    <t>TXN-20252143</t>
  </si>
  <si>
    <t>TXN-20252144</t>
  </si>
  <si>
    <t>TXN-20252145</t>
  </si>
  <si>
    <t>TXN-20252146</t>
  </si>
  <si>
    <t>TXN-20252147</t>
  </si>
  <si>
    <t>TXN-20252148</t>
  </si>
  <si>
    <t>TXN-20252149</t>
  </si>
  <si>
    <t>TXN-20252150</t>
  </si>
  <si>
    <t>TXN-20252151</t>
  </si>
  <si>
    <t>TXN-20252152</t>
  </si>
  <si>
    <t>TXN-20252153</t>
  </si>
  <si>
    <t>TXN-20252154</t>
  </si>
  <si>
    <t>TXN-20252155</t>
  </si>
  <si>
    <t>TXN-20252156</t>
  </si>
  <si>
    <t>TXN-20252157</t>
  </si>
  <si>
    <t>TXN-20252158</t>
  </si>
  <si>
    <t>TXN-20252159</t>
  </si>
  <si>
    <t>TXN-20252160</t>
  </si>
  <si>
    <t>TXN-20252161</t>
  </si>
  <si>
    <t>TXN-20252162</t>
  </si>
  <si>
    <t>TXN-20252163</t>
  </si>
  <si>
    <t>TXN-20252164</t>
  </si>
  <si>
    <t>TXN-20252165</t>
  </si>
  <si>
    <t>TXN-20252166</t>
  </si>
  <si>
    <t>TXN-20252167</t>
  </si>
  <si>
    <t>TXN-20252168</t>
  </si>
  <si>
    <t>TXN-20252169</t>
  </si>
  <si>
    <t>TXN-20252170</t>
  </si>
  <si>
    <t>TXN-20252171</t>
  </si>
  <si>
    <t>TXN-20252172</t>
  </si>
  <si>
    <t>TXN-20252173</t>
  </si>
  <si>
    <t>TXN-20252174</t>
  </si>
  <si>
    <t>TXN-20252175</t>
  </si>
  <si>
    <t>TXN-20252176</t>
  </si>
  <si>
    <t>TXN-20252177</t>
  </si>
  <si>
    <t>TXN-20252178</t>
  </si>
  <si>
    <t>TXN-20252179</t>
  </si>
  <si>
    <t>TXN-20252180</t>
  </si>
  <si>
    <t>TXN-20252181</t>
  </si>
  <si>
    <t>TXN-20252182</t>
  </si>
  <si>
    <t>TXN-20252183</t>
  </si>
  <si>
    <t>TXN-20252184</t>
  </si>
  <si>
    <t>TXN-20252185</t>
  </si>
  <si>
    <t>TXN-20252186</t>
  </si>
  <si>
    <t>TXN-20252187</t>
  </si>
  <si>
    <t>TXN-20252188</t>
  </si>
  <si>
    <t>TXN-20252189</t>
  </si>
  <si>
    <t>TXN-20252190</t>
  </si>
  <si>
    <t>TXN-20252191</t>
  </si>
  <si>
    <t>TXN-20252192</t>
  </si>
  <si>
    <t>TXN-20252193</t>
  </si>
  <si>
    <t>TXN-20252194</t>
  </si>
  <si>
    <t>TXN-20252195</t>
  </si>
  <si>
    <t>TXN-20252196</t>
  </si>
  <si>
    <t>TXN-20252197</t>
  </si>
  <si>
    <t>TXN-20252198</t>
  </si>
  <si>
    <t>TXN-20252199</t>
  </si>
  <si>
    <t>TXN-20252200</t>
  </si>
  <si>
    <t>TXN-20252201</t>
  </si>
  <si>
    <t>TXN-20252202</t>
  </si>
  <si>
    <t>TXN-20252203</t>
  </si>
  <si>
    <t>TXN-20252204</t>
  </si>
  <si>
    <t>TXN-20252205</t>
  </si>
  <si>
    <t>TXN-20252206</t>
  </si>
  <si>
    <t>TXN-20252207</t>
  </si>
  <si>
    <t>TXN-20252208</t>
  </si>
  <si>
    <t>TXN-20252209</t>
  </si>
  <si>
    <t>TXN-20252210</t>
  </si>
  <si>
    <t>TXN-20252211</t>
  </si>
  <si>
    <t>TXN-20252212</t>
  </si>
  <si>
    <t>TXN-20252213</t>
  </si>
  <si>
    <t>TXN-20252214</t>
  </si>
  <si>
    <t>TXN-20252215</t>
  </si>
  <si>
    <t>TXN-20252216</t>
  </si>
  <si>
    <t>TXN-20252217</t>
  </si>
  <si>
    <t>TXN-20252218</t>
  </si>
  <si>
    <t>TXN-20252219</t>
  </si>
  <si>
    <t>TXN-20252220</t>
  </si>
  <si>
    <t>TXN-20252221</t>
  </si>
  <si>
    <t>TXN-20252222</t>
  </si>
  <si>
    <t>TXN-20252223</t>
  </si>
  <si>
    <t>TXN-20252224</t>
  </si>
  <si>
    <t>TXN-20252225</t>
  </si>
  <si>
    <t>TXN-20252226</t>
  </si>
  <si>
    <t>TXN-20252227</t>
  </si>
  <si>
    <t>TXN-20252228</t>
  </si>
  <si>
    <t>TXN-20252229</t>
  </si>
  <si>
    <t>TXN-20252230</t>
  </si>
  <si>
    <t>TXN-20252231</t>
  </si>
  <si>
    <t>TXN-20252232</t>
  </si>
  <si>
    <t>TXN-20252233</t>
  </si>
  <si>
    <t>TXN-20252234</t>
  </si>
  <si>
    <t>TXN-20252235</t>
  </si>
  <si>
    <t>TXN-20252236</t>
  </si>
  <si>
    <t>TXN-20252237</t>
  </si>
  <si>
    <t>TXN-20252238</t>
  </si>
  <si>
    <t>TXN-20252239</t>
  </si>
  <si>
    <t>TXN-20252240</t>
  </si>
  <si>
    <t>TXN-20252241</t>
  </si>
  <si>
    <t>TXN-20252242</t>
  </si>
  <si>
    <t>TXN-20252243</t>
  </si>
  <si>
    <t>TXN-20252244</t>
  </si>
  <si>
    <t>TXN-20252245</t>
  </si>
  <si>
    <t>TXN-20252246</t>
  </si>
  <si>
    <t>TXN-20252247</t>
  </si>
  <si>
    <t>TXN-20252248</t>
  </si>
  <si>
    <t>TXN-20252249</t>
  </si>
  <si>
    <t>TXN-20252250</t>
  </si>
  <si>
    <t>TXN-20252251</t>
  </si>
  <si>
    <t>TXN-20252252</t>
  </si>
  <si>
    <t>TXN-20252253</t>
  </si>
  <si>
    <t>TXN-20252254</t>
  </si>
  <si>
    <t>TXN-20252255</t>
  </si>
  <si>
    <t>TXN-20252256</t>
  </si>
  <si>
    <t>TXN-20252257</t>
  </si>
  <si>
    <t>TXN-20252258</t>
  </si>
  <si>
    <t>TXN-20252259</t>
  </si>
  <si>
    <t>TXN-20252260</t>
  </si>
  <si>
    <t>TXN-20252261</t>
  </si>
  <si>
    <t>TXN-20252262</t>
  </si>
  <si>
    <t>TXN-20252263</t>
  </si>
  <si>
    <t>TXN-20252264</t>
  </si>
  <si>
    <t>TXN-20252265</t>
  </si>
  <si>
    <t>TXN-20252266</t>
  </si>
  <si>
    <t>TXN-20252267</t>
  </si>
  <si>
    <t>TXN-20252268</t>
  </si>
  <si>
    <t>TXN-20252269</t>
  </si>
  <si>
    <t>TXN-20252270</t>
  </si>
  <si>
    <t>TXN-20252271</t>
  </si>
  <si>
    <t>TXN-20252272</t>
  </si>
  <si>
    <t>TXN-20252273</t>
  </si>
  <si>
    <t>TXN-20252274</t>
  </si>
  <si>
    <t>TXN-20252275</t>
  </si>
  <si>
    <t>TXN-20252276</t>
  </si>
  <si>
    <t>TXN-20252277</t>
  </si>
  <si>
    <t>TXN-20252278</t>
  </si>
  <si>
    <t>TXN-20252279</t>
  </si>
  <si>
    <t>TXN-20252280</t>
  </si>
  <si>
    <t>TXN-20252281</t>
  </si>
  <si>
    <t>TXN-20252282</t>
  </si>
  <si>
    <t>TXN-20252283</t>
  </si>
  <si>
    <t>TXN-20252284</t>
  </si>
  <si>
    <t>TXN-20252285</t>
  </si>
  <si>
    <t>TXN-20252286</t>
  </si>
  <si>
    <t>TXN-20252287</t>
  </si>
  <si>
    <t>TXN-20252288</t>
  </si>
  <si>
    <t>TXN-20252289</t>
  </si>
  <si>
    <t>TXN-20252290</t>
  </si>
  <si>
    <t>TXN-20252291</t>
  </si>
  <si>
    <t>TXN-20252292</t>
  </si>
  <si>
    <t>TXN-20252293</t>
  </si>
  <si>
    <t>TXN-20252294</t>
  </si>
  <si>
    <t>TXN-20252295</t>
  </si>
  <si>
    <t>TXN-20252296</t>
  </si>
  <si>
    <t>TXN-20252297</t>
  </si>
  <si>
    <t>TXN-20252298</t>
  </si>
  <si>
    <t>TXN-20252299</t>
  </si>
  <si>
    <t>TXN-20252300</t>
  </si>
  <si>
    <t>TXN-20252301</t>
  </si>
  <si>
    <t>TXN-20252302</t>
  </si>
  <si>
    <t>TXN-20252303</t>
  </si>
  <si>
    <t>TXN-20252304</t>
  </si>
  <si>
    <t>TXN-20252305</t>
  </si>
  <si>
    <t>TXN-20252306</t>
  </si>
  <si>
    <t>TXN-20252307</t>
  </si>
  <si>
    <t>TXN-20252308</t>
  </si>
  <si>
    <t>TXN-20252309</t>
  </si>
  <si>
    <t>TXN-20252310</t>
  </si>
  <si>
    <t>TXN-20252311</t>
  </si>
  <si>
    <t>TXN-20252312</t>
  </si>
  <si>
    <t>TXN-20252313</t>
  </si>
  <si>
    <t>TXN-20252314</t>
  </si>
  <si>
    <t>TXN-20252315</t>
  </si>
  <si>
    <t>TXN-20252316</t>
  </si>
  <si>
    <t>TXN-20252317</t>
  </si>
  <si>
    <t>TXN-20252318</t>
  </si>
  <si>
    <t>TXN-20252319</t>
  </si>
  <si>
    <t>TXN-20252320</t>
  </si>
  <si>
    <t>TXN-20252321</t>
  </si>
  <si>
    <t>TXN-20252322</t>
  </si>
  <si>
    <t>TXN-20252323</t>
  </si>
  <si>
    <t>TXN-20252324</t>
  </si>
  <si>
    <t>TXN-20252325</t>
  </si>
  <si>
    <t>TXN-20252326</t>
  </si>
  <si>
    <t>TXN-20252327</t>
  </si>
  <si>
    <t>TXN-20252328</t>
  </si>
  <si>
    <t>TXN-20252329</t>
  </si>
  <si>
    <t>TXN-20252330</t>
  </si>
  <si>
    <t>TXN-20252331</t>
  </si>
  <si>
    <t>TXN-20252332</t>
  </si>
  <si>
    <t>TXN-20252333</t>
  </si>
  <si>
    <t>TXN-20252334</t>
  </si>
  <si>
    <t>TXN-20252335</t>
  </si>
  <si>
    <t>TXN-20252336</t>
  </si>
  <si>
    <t>TXN-20252337</t>
  </si>
  <si>
    <t>TXN-20252338</t>
  </si>
  <si>
    <t>TXN-20252339</t>
  </si>
  <si>
    <t>TXN-20252340</t>
  </si>
  <si>
    <t>TXN-20252341</t>
  </si>
  <si>
    <t>TXN-20252342</t>
  </si>
  <si>
    <t>TXN-20252343</t>
  </si>
  <si>
    <t>TXN-20252344</t>
  </si>
  <si>
    <t>TXN-20252345</t>
  </si>
  <si>
    <t>TXN-20252346</t>
  </si>
  <si>
    <t>TXN-20252347</t>
  </si>
  <si>
    <t>TXN-20252348</t>
  </si>
  <si>
    <t>TXN-20252349</t>
  </si>
  <si>
    <t>TXN-20252350</t>
  </si>
  <si>
    <t>TXN-20252351</t>
  </si>
  <si>
    <t>TXN-20252352</t>
  </si>
  <si>
    <t>TXN-20252353</t>
  </si>
  <si>
    <t>TXN-20252354</t>
  </si>
  <si>
    <t>TXN-20252355</t>
  </si>
  <si>
    <t>TXN-20252356</t>
  </si>
  <si>
    <t>TXN-20252357</t>
  </si>
  <si>
    <t>TXN-20252358</t>
  </si>
  <si>
    <t>TXN-20252359</t>
  </si>
  <si>
    <t>TXN-20252360</t>
  </si>
  <si>
    <t>TXN-20252361</t>
  </si>
  <si>
    <t>TXN-20252362</t>
  </si>
  <si>
    <t>TXN-20252363</t>
  </si>
  <si>
    <t>TXN-20252364</t>
  </si>
  <si>
    <t>TXN-20252365</t>
  </si>
  <si>
    <t>TXN-20252366</t>
  </si>
  <si>
    <t>TXN-20252367</t>
  </si>
  <si>
    <t>TXN-20252368</t>
  </si>
  <si>
    <t>TXN-20252369</t>
  </si>
  <si>
    <t>TXN-20252370</t>
  </si>
  <si>
    <t>TXN-20252371</t>
  </si>
  <si>
    <t>TXN-20252372</t>
  </si>
  <si>
    <t>TXN-20252373</t>
  </si>
  <si>
    <t>TXN-20252374</t>
  </si>
  <si>
    <t>TXN-20252375</t>
  </si>
  <si>
    <t>TXN-20252376</t>
  </si>
  <si>
    <t>TXN-20252377</t>
  </si>
  <si>
    <t>TXN-20252378</t>
  </si>
  <si>
    <t>TXN-20252379</t>
  </si>
  <si>
    <t>TXN-20252380</t>
  </si>
  <si>
    <t>TXN-20252381</t>
  </si>
  <si>
    <t>TXN-20252382</t>
  </si>
  <si>
    <t>TXN-20252383</t>
  </si>
  <si>
    <t>TXN-20252384</t>
  </si>
  <si>
    <t>TXN-20252385</t>
  </si>
  <si>
    <t>TXN-20252386</t>
  </si>
  <si>
    <t>TXN-20252387</t>
  </si>
  <si>
    <t>TXN-20252388</t>
  </si>
  <si>
    <t>TXN-20252389</t>
  </si>
  <si>
    <t>TXN-20252390</t>
  </si>
  <si>
    <t>TXN-20252391</t>
  </si>
  <si>
    <t>TXN-20252392</t>
  </si>
  <si>
    <t>TXN-20252393</t>
  </si>
  <si>
    <t>TXN-20252394</t>
  </si>
  <si>
    <t>TXN-20252395</t>
  </si>
  <si>
    <t>TXN-20252396</t>
  </si>
  <si>
    <t>TXN-20252397</t>
  </si>
  <si>
    <t>TXN-20252398</t>
  </si>
  <si>
    <t>TXN-20252399</t>
  </si>
  <si>
    <t>TXN-20252400</t>
  </si>
  <si>
    <t>TXN-20252401</t>
  </si>
  <si>
    <t>TXN-20252402</t>
  </si>
  <si>
    <t>TXN-20252403</t>
  </si>
  <si>
    <t>TXN-20252404</t>
  </si>
  <si>
    <t>TXN-20252405</t>
  </si>
  <si>
    <t>TXN-20252406</t>
  </si>
  <si>
    <t>TXN-20252407</t>
  </si>
  <si>
    <t>TXN-20252408</t>
  </si>
  <si>
    <t>TXN-20252409</t>
  </si>
  <si>
    <t>TXN-20252410</t>
  </si>
  <si>
    <t>TXN-20252411</t>
  </si>
  <si>
    <t>TXN-20252412</t>
  </si>
  <si>
    <t>TXN-20252413</t>
  </si>
  <si>
    <t>TXN-20252414</t>
  </si>
  <si>
    <t>TXN-20252415</t>
  </si>
  <si>
    <t>TXN-20252416</t>
  </si>
  <si>
    <t>TXN-20252417</t>
  </si>
  <si>
    <t>TXN-20252418</t>
  </si>
  <si>
    <t>TXN-20252419</t>
  </si>
  <si>
    <t>TXN-20252420</t>
  </si>
  <si>
    <t>TXN-20252421</t>
  </si>
  <si>
    <t>TXN-20252422</t>
  </si>
  <si>
    <t>TXN-20252423</t>
  </si>
  <si>
    <t>TXN-20252424</t>
  </si>
  <si>
    <t>TXN-20252425</t>
  </si>
  <si>
    <t>TXN-20252426</t>
  </si>
  <si>
    <t>TXN-20252427</t>
  </si>
  <si>
    <t>TXN-20252428</t>
  </si>
  <si>
    <t>TXN-20252429</t>
  </si>
  <si>
    <t>TXN-20252430</t>
  </si>
  <si>
    <t>TXN-20252431</t>
  </si>
  <si>
    <t>TXN-20252432</t>
  </si>
  <si>
    <t>TXN-20252433</t>
  </si>
  <si>
    <t>TXN-20252434</t>
  </si>
  <si>
    <t>TXN-20252435</t>
  </si>
  <si>
    <t>TXN-20252436</t>
  </si>
  <si>
    <t>TXN-20252437</t>
  </si>
  <si>
    <t>TXN-20252438</t>
  </si>
  <si>
    <t>TXN-20252439</t>
  </si>
  <si>
    <t>TXN-20252440</t>
  </si>
  <si>
    <t>TXN-20252441</t>
  </si>
  <si>
    <t>TXN-20252442</t>
  </si>
  <si>
    <t>TXN-20252443</t>
  </si>
  <si>
    <t>TXN-20252444</t>
  </si>
  <si>
    <t>TXN-20252445</t>
  </si>
  <si>
    <t>TXN-20252446</t>
  </si>
  <si>
    <t>TXN-20252447</t>
  </si>
  <si>
    <t>TXN-20252448</t>
  </si>
  <si>
    <t>TXN-20252449</t>
  </si>
  <si>
    <t>TXN-20252450</t>
  </si>
  <si>
    <t>TXN-20252451</t>
  </si>
  <si>
    <t>TXN-20252452</t>
  </si>
  <si>
    <t>TXN-20252453</t>
  </si>
  <si>
    <t>TXN-20252454</t>
  </si>
  <si>
    <t>TXN-20252455</t>
  </si>
  <si>
    <t>TXN-20252456</t>
  </si>
  <si>
    <t>TXN-20252457</t>
  </si>
  <si>
    <t>TXN-20252458</t>
  </si>
  <si>
    <t>TXN-20252459</t>
  </si>
  <si>
    <t>TXN-20252460</t>
  </si>
  <si>
    <t>TXN-20252461</t>
  </si>
  <si>
    <t>TXN-20252462</t>
  </si>
  <si>
    <t>TXN-20252463</t>
  </si>
  <si>
    <t>TXN-20252464</t>
  </si>
  <si>
    <t>TXN-20252465</t>
  </si>
  <si>
    <t>TXN-20252466</t>
  </si>
  <si>
    <t>TXN-20252467</t>
  </si>
  <si>
    <t>TXN-20252468</t>
  </si>
  <si>
    <t>TXN-20252469</t>
  </si>
  <si>
    <t>TXN-20252470</t>
  </si>
  <si>
    <t>TXN-20252471</t>
  </si>
  <si>
    <t>TXN-20252472</t>
  </si>
  <si>
    <t>TXN-20252473</t>
  </si>
  <si>
    <t>TXN-20252474</t>
  </si>
  <si>
    <t>TXN-20252475</t>
  </si>
  <si>
    <t>TXN-20252476</t>
  </si>
  <si>
    <t>TXN-20252477</t>
  </si>
  <si>
    <t>TXN-20252478</t>
  </si>
  <si>
    <t>TXN-20252479</t>
  </si>
  <si>
    <t>TXN-20252480</t>
  </si>
  <si>
    <t>TXN-20252481</t>
  </si>
  <si>
    <t>TXN-20252482</t>
  </si>
  <si>
    <t>TXN-20252483</t>
  </si>
  <si>
    <t>TXN-20252484</t>
  </si>
  <si>
    <t>TXN-20252485</t>
  </si>
  <si>
    <t>TXN-20252486</t>
  </si>
  <si>
    <t>TXN-20252487</t>
  </si>
  <si>
    <t>TXN-20252488</t>
  </si>
  <si>
    <t>TXN-20252489</t>
  </si>
  <si>
    <t>TXN-20252490</t>
  </si>
  <si>
    <t>TXN-20252491</t>
  </si>
  <si>
    <t>TXN-20252492</t>
  </si>
  <si>
    <t>TXN-20252493</t>
  </si>
  <si>
    <t>TXN-20252494</t>
  </si>
  <si>
    <t>TXN-20252495</t>
  </si>
  <si>
    <t>TXN-20252496</t>
  </si>
  <si>
    <t>TXN-20252497</t>
  </si>
  <si>
    <t>TXN-20252498</t>
  </si>
  <si>
    <t>TXN-20252499</t>
  </si>
  <si>
    <t>TXN-20252500</t>
  </si>
  <si>
    <t>OBJECTIVE 1 · TRANSACTION VOLUME &amp; VALUE</t>
  </si>
  <si>
    <t>Core questions: How much total money is being transacted? What are the key aggregate platform metrics?</t>
  </si>
  <si>
    <t>KPI SUMMARY</t>
  </si>
  <si>
    <t>Metric</t>
  </si>
  <si>
    <t>Value</t>
  </si>
  <si>
    <t>Live Excel Formula</t>
  </si>
  <si>
    <t>Total Transaction Value (₦)</t>
  </si>
  <si>
    <t>Total Volume (Transactions)</t>
  </si>
  <si>
    <t>Average Transaction Value (₦)</t>
  </si>
  <si>
    <t>Successful Rate (%)</t>
  </si>
  <si>
    <t>Failed Rate (%)</t>
  </si>
  <si>
    <t>OPERATIONAL HEALTH · TRANSACTION STATUS BREAKDOWN</t>
  </si>
  <si>
    <t>Transaction Status</t>
  </si>
  <si>
    <t>Transaction Count</t>
  </si>
  <si>
    <t>% of Volume</t>
  </si>
  <si>
    <t>Transaction Value (₦)</t>
  </si>
  <si>
    <t>% of Value</t>
  </si>
  <si>
    <t>Avg Value (₦)</t>
  </si>
  <si>
    <t>Total</t>
  </si>
  <si>
    <t>Reconciliation check</t>
  </si>
  <si>
    <t>KEY TAKEAWAYS</t>
  </si>
  <si>
    <t>OBJECTIVE 2 · HIGH-VALUE CUSTOMERS &amp; SEGMENTS</t>
  </si>
  <si>
    <t>Core questions: Which customer segments and top individuals generate the most transaction value?</t>
  </si>
  <si>
    <t>TOP 10 CUSTOMERS BY CUMULATIVE TRANSACTION VALUE</t>
  </si>
  <si>
    <t>CUSTOMER LEDGER (supporting calculation for ranking)</t>
  </si>
  <si>
    <t>Rank</t>
  </si>
  <si>
    <t>Total Spent (₦)</t>
  </si>
  <si>
    <t>% of Platform Value</t>
  </si>
  <si>
    <t>Txn Count</t>
  </si>
  <si>
    <t>Rank Key (tie-break)</t>
  </si>
  <si>
    <t>Top 10</t>
  </si>
  <si>
    <t>Total Spent = cumulative value of all transactions initiated by the customer (all statuses), consistent with platform Total Transaction Value.</t>
  </si>
  <si>
    <t>DEMOGRAPHIC ANALYSIS · BY ACCOUNT TYPE</t>
  </si>
  <si>
    <t>Unique Customers</t>
  </si>
  <si>
    <t>Total Value (₦)</t>
  </si>
  <si>
    <t>Avg Transaction Value (₦)</t>
  </si>
  <si>
    <t>DEMOGRAPHIC ANALYSIS · BY CUSTOMER AGE GROUP</t>
  </si>
  <si>
    <t>Age Group</t>
  </si>
  <si>
    <t>Age From</t>
  </si>
  <si>
    <t>Age To</t>
  </si>
  <si>
    <t>&lt;25</t>
  </si>
  <si>
    <t>25-34</t>
  </si>
  <si>
    <t>35-49</t>
  </si>
  <si>
    <t>50+</t>
  </si>
  <si>
    <t>Age band boundaries (blue) are analyst-defined inputs per brief: &lt;25, 25-34, 35-49, 50+. Edit to re-band; all figures recalculate.</t>
  </si>
  <si>
    <t>OBJECTIVE 3 · PRODUCT &amp; PAYMENT CHANNEL POPULARITY</t>
  </si>
  <si>
    <t>Core questions: Which transaction types and payment methods dominate transaction counts vs value?</t>
  </si>
  <si>
    <t>PRODUCT MATRIX · TRANSACTION TYPE</t>
  </si>
  <si>
    <t>Transaction Type</t>
  </si>
  <si>
    <t>Volume</t>
  </si>
  <si>
    <t>Average Ticket Size (₦)</t>
  </si>
  <si>
    <t>% Value Contribution</t>
  </si>
  <si>
    <t>Volume Rank</t>
  </si>
  <si>
    <t>Value Rank</t>
  </si>
  <si>
    <t>'POS' in the brief maps to the source label 'POS Payment'.</t>
  </si>
  <si>
    <t>PAYMENT CHANNEL · VOLUME &amp; VALUE BY PAYMENT METHOD</t>
  </si>
  <si>
    <t>Payment Method</t>
  </si>
  <si>
    <t>OBJECTIVE 4 · GEOGRAPHIC DISTRIBUTION</t>
  </si>
  <si>
    <t>Core questions: Which Nigerian states exhibit the highest transaction activity and revenue?</t>
  </si>
  <si>
    <t>STATE PERFORMANCE · RANKED BY TOTAL REVENUE</t>
  </si>
  <si>
    <t>STATE LEDGER (supporting calc)</t>
  </si>
  <si>
    <t>Total Revenue (₦)</t>
  </si>
  <si>
    <t>Average Value (₦)</t>
  </si>
  <si>
    <t>% of Revenue</t>
  </si>
  <si>
    <t>Regional Hub</t>
  </si>
  <si>
    <t>Shaded rows = key regional hubs (Lagos, FCT Abuja, Rivers). Ranking is formula-driven (LARGE/INDEX/MATCH) and re-sorts automatically.</t>
  </si>
  <si>
    <t>KEY REGIONAL HUBS · CONCENTRATION</t>
  </si>
  <si>
    <t>Hub</t>
  </si>
  <si>
    <t>Combined Key Hubs</t>
  </si>
  <si>
    <t>Other 7 States</t>
  </si>
  <si>
    <t>OBJECTIVE 5 · GROWTH TRAJECTORY (JAN – DEC 2025)</t>
  </si>
  <si>
    <t>Core question: Are overall transaction volumes and values increasing or decreasing month-over-month?</t>
  </si>
  <si>
    <t>MONTHLY TREND TABLE</t>
  </si>
  <si>
    <t>Month</t>
  </si>
  <si>
    <t>Monthly Total Value (₦)</t>
  </si>
  <si>
    <t>Monthly Volume</t>
  </si>
  <si>
    <t>MoM Value Growth (%)</t>
  </si>
  <si>
    <t>MoM Volume Growth (%)</t>
  </si>
  <si>
    <t>Avg Ticket Size (₦)</t>
  </si>
  <si>
    <t>Month #</t>
  </si>
  <si>
    <t>–</t>
  </si>
  <si>
    <t>FY 2025</t>
  </si>
  <si>
    <t>GROWTH DIAGNOSTICS</t>
  </si>
  <si>
    <t>Interpretation</t>
  </si>
  <si>
    <t>Average MoM Value Growth</t>
  </si>
  <si>
    <t>Mean of 11 month-on-month changes</t>
  </si>
  <si>
    <t>Average MoM Volume Growth</t>
  </si>
  <si>
    <t>Compound Monthly Growth (Value, Jan→Dec)</t>
  </si>
  <si>
    <t>Smooths monthly volatility</t>
  </si>
  <si>
    <t>H2 vs H1 Value Growth</t>
  </si>
  <si>
    <t>Jul–Dec vs Jan–Jun</t>
  </si>
  <si>
    <t>H2 vs H1 Volume Growth</t>
  </si>
  <si>
    <t>Peak Value Month</t>
  </si>
  <si>
    <t>Highest monthly value</t>
  </si>
  <si>
    <t>Lowest Value Month</t>
  </si>
  <si>
    <t>Lowest monthly value</t>
  </si>
  <si>
    <t>Linear Trend Slope (₦ per month)</t>
  </si>
  <si>
    <t>Least-squares trend of monthly value</t>
  </si>
  <si>
    <t>Overall Value Trend</t>
  </si>
  <si>
    <t>Direction of the fitted trend line</t>
  </si>
  <si>
    <t>Overall Volume Trend</t>
  </si>
  <si>
    <t>OBJECTIVE 6 · BUSINESS DRIVERS — EXECUTIVE BRIEF</t>
  </si>
  <si>
    <t>Core question: What key factors drive transaction activity and value in Nigerian FinTech?  Every number in blue-grey 'live' cells is formula-linked to the analysis sheets and recalculates with the data.</t>
  </si>
  <si>
    <t>1. EXECUTIVE SUMMARY</t>
  </si>
  <si>
    <t>2. ANSWERS TO CORE MANAGEMENT QUESTIONS</t>
  </si>
  <si>
    <t>Objective</t>
  </si>
  <si>
    <t>Management Question</t>
  </si>
  <si>
    <t>Answer (live, formula-driven)</t>
  </si>
  <si>
    <t>Obj 1 · Volume &amp; Value</t>
  </si>
  <si>
    <t>How much total money is being transacted? What are the key platform metrics?</t>
  </si>
  <si>
    <t>Obj 2 · High-Value Customers</t>
  </si>
  <si>
    <t>Which customer segments and top individuals generate the most value?</t>
  </si>
  <si>
    <t>Obj 3 · Product Popularity</t>
  </si>
  <si>
    <t>Which transaction types and payment methods dominate counts vs value?</t>
  </si>
  <si>
    <t>Obj 4 · Geography</t>
  </si>
  <si>
    <t>Which Nigerian states show the highest activity and revenue?</t>
  </si>
  <si>
    <t>Obj 5 · Growth</t>
  </si>
  <si>
    <t>Are volumes and values increasing or decreasing month-over-month?</t>
  </si>
  <si>
    <t>Obj 6 · Business Drivers</t>
  </si>
  <si>
    <t>What key factors drive transaction activity and value?</t>
  </si>
  <si>
    <t>Four drivers explain performance: (1) urban-hub concentration in Lagos; (2) a product mix where Transfers carry value while low-ticket utilities (Airtime/Data, Bills) carry frequency; (3) a ~9–10% technical failure rate that leaks value uniformly across segments; and (4) prime-age (25–49) Savings customers, with low Tier 3 (full-KYC) adoption capping ticket sizes.</t>
  </si>
  <si>
    <t>3. BUSINESS DRIVER COMMENTARY</t>
  </si>
  <si>
    <t>Business Driver</t>
  </si>
  <si>
    <t>Key Evidence (live)</t>
  </si>
  <si>
    <t>Analytical Commentary</t>
  </si>
  <si>
    <t>Recommended Action</t>
  </si>
  <si>
    <t>Urban Hub Dominance</t>
  </si>
  <si>
    <t>Activity is heavily concentrated in Lagos, which alone generates roughly 2 of every 5 naira transacted — more than the next four states combined (Kano, Oyo, FCT Abuja, Rivers). The three designated hubs together account for over half of platform value. Average ticket sizes are broadly similar across states, so Lagos dominance is driven by user density and transaction frequency, not bigger transactions. Kaduna and Enugu are clearly under-penetrated.</t>
  </si>
  <si>
    <t>Protect the Lagos base with reliability SLAs and merchant/agent density. Prioritise growth in Kano (2nd by value) and under-penetrated northern and south-eastern states (Kaduna, Enugu) where average tickets are healthy but user counts are low.</t>
  </si>
  <si>
    <t>Product Utility vs Ticket Sizes</t>
  </si>
  <si>
    <t>Transfers are the value engine: under half of all transactions but three-quarters of value, at the highest average ticket. Airtime/Data is the engagement engine: second by count yet last by value — high-frequency, low-ticket utility usage that keeps customers active daily. Bill Payment and POS sit in the middle; Card Withdrawal is small on both measures.</t>
  </si>
  <si>
    <t>Use low-ticket utilities (airtime, bills) as acquisition and daily-engagement hooks, then cross-sell into transfers. Treat transfers as the core revenue line: optimise fee tiers, and protect limits and uptime on the transfer rail.</t>
  </si>
  <si>
    <t>Revenue Impact of Technical Failures (~9%)</t>
  </si>
  <si>
    <t>Roughly one in eleven transactions fails, leaking about a tenth of attempted value, with pending transactions adding further exposure. Failed transactions carry a slightly higher average ticket than successful ones, so failures hit value disproportionately. Failure rates are fairly uniform across account tiers and channels (USSD slightly higher, Wallet Balance lowest), pointing to a platform/switch-level reliability issue rather than a segment-specific one.</t>
  </si>
  <si>
    <t>Set a target to bring failure rate below 5%. Implement smart auto-retry and instant reversals, monitor USSD and interbank gateway uptime, and clear pending transactions within T+1. Report failed value weekly as a revenue-at-risk KPI.</t>
  </si>
  <si>
    <t>Demographic Account Tier Adoption</t>
  </si>
  <si>
    <t>Prime working-age customers (25–49) generate over three-quarters of value, with 35–49 the most valuable segment. Savings accounts dominate across every age band. Tier 3 Verified (full-KYC) accounts are under a tenth of activity — adoption is highest among 25–34s and lowest among customers aged 50+, who skew towards Current accounts. Tier 1 Wallet users already transact at a higher average ticket than Savings/Current users, signalling demand constrained by Tier 1 limits.</t>
  </si>
  <si>
    <t>Drive in-app KYC upgrades (BVN/NIN) from Tier 1 to Tier 3 to unlock higher limits. Target 35–49 professionals with premium current/savings bundles, and offer simplified USSD or assisted journeys for customers aged 50+.</t>
  </si>
  <si>
    <t>4. METHODOLOGY &amp; DEFINITIONS</t>
  </si>
  <si>
    <t>• Source: Raw_Data sheet, Excel Table 'TransactionTable' — 2,500 transactions, 1 Jan 2025 – 30 Dec 2025 (dataset supplied by the user).</t>
  </si>
  <si>
    <t>• Total Transaction Value / 'Revenue' = sum of Amount across all transaction statuses (attempted value). Realised value = Successful only (see Obj1).</t>
  </si>
  <si>
    <t>• All tables use live SUM / COUNTA / AVERAGE / COUNTIF(S) / SUMIF(S) formulas on TransactionTable — append rows to the table and every sheet recalculates.</t>
  </si>
  <si>
    <t>• Rankings (Top 10 customers, states) use LARGE + INDEX/MATCH with a sub-kobo ROW() tie-breaker, so they re-sort automatically.</t>
  </si>
  <si>
    <t>• Executive_Dashboard uses PivotTables sharing one cache (hidden sheet Pivot_Engine) so the State / Account_Type / Payment_Method slicers filter every visual and KPI card. Refresh All after data changes.</t>
  </si>
  <si>
    <t>Chart: Key Hub</t>
  </si>
  <si>
    <t>Chart: Other State</t>
  </si>
  <si>
    <t>Chart helper (splits ranked revenue into hub / other so hub bars stay highlighted after re-ranking)</t>
  </si>
  <si>
    <t>Txn Volume</t>
  </si>
  <si>
    <t>Row Labels</t>
  </si>
  <si>
    <t>Grand Total</t>
  </si>
  <si>
    <t>Status Count</t>
  </si>
  <si>
    <t>Monthly Revenue (₦)</t>
  </si>
  <si>
    <t>Jan</t>
  </si>
  <si>
    <t>Feb</t>
  </si>
  <si>
    <t>Mar</t>
  </si>
  <si>
    <t>Apr</t>
  </si>
  <si>
    <t>May</t>
  </si>
  <si>
    <t>Jun</t>
  </si>
  <si>
    <t>Jul</t>
  </si>
  <si>
    <t>Aug</t>
  </si>
  <si>
    <t>Sep</t>
  </si>
  <si>
    <t>Oct</t>
  </si>
  <si>
    <t>Nov</t>
  </si>
  <si>
    <t>Dec</t>
  </si>
  <si>
    <t>State Revenue (₦)</t>
  </si>
  <si>
    <t>Product Revenue (₦)</t>
  </si>
  <si>
    <t>PIVOT ENGINE — feeds Executive_Dashboard (all pivots share one cache; slicers filter every pivot)</t>
  </si>
  <si>
    <t>KPI</t>
  </si>
  <si>
    <t>Card caption</t>
  </si>
  <si>
    <t>Total Revenue</t>
  </si>
  <si>
    <t>Total Volume</t>
  </si>
  <si>
    <t>Avg Value</t>
  </si>
  <si>
    <t>Success Rate</t>
  </si>
  <si>
    <t>Failure Rate</t>
  </si>
  <si>
    <t>Successful Count</t>
  </si>
  <si>
    <t>Failed Count</t>
  </si>
  <si>
    <t>NIGERIAN FINTECH · CUSTOMER TRANSACTION EXECUTIVE DASHBOARD  |  FY 2025</t>
  </si>
  <si>
    <t>Every KPI card, chart and the Top 10 table respond to the State, Account Type and Payment Method slicers below.  Source: TransactionTable (2,500 transactions, Jan–Dec 2025).  Clear a slicer (top-right ✕) to reset.</t>
  </si>
  <si>
    <t>TOP 10 CUSTOMERS BY TOTAL SPEND</t>
  </si>
  <si>
    <t>Ranked by cumulative transaction value (all statuses). Filters with the slicers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</si>
</sst>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5" formatCode="yyyy\-mm\-dd\ hh:mm"/>
    <numFmt numFmtId="166" formatCode="&quot;₦&quot;#,##0.00"/>
    <numFmt numFmtId="167" formatCode="0.0%"/>
    <numFmt numFmtId="168" formatCode="#,##0.0000000"/>
    <numFmt numFmtId="169" formatCode="mmm\ yyyy"/>
  </numFmts>
  <fonts count="26" x14ac:knownFonts="1">
    <font>
      <sz val="11"/>
      <color theme="1"/>
      <name val="Calibri"/>
      <family val="2"/>
      <scheme val="minor"/>
    </font>
    <font>
      <sz val="11"/>
      <color rgb="FF000000"/>
      <name val="Calibri"/>
    </font>
    <font>
      <b/>
      <sz val="11"/>
      <color rgb="FFFFFFFF"/>
      <name val="Calibri"/>
    </font>
    <font>
      <b/>
      <sz val="16"/>
      <color rgb="FFFFFFFF"/>
      <name val="Calibri"/>
    </font>
    <font>
      <i/>
      <sz val="10"/>
      <color rgb="FF595959"/>
      <name val="Calibri"/>
    </font>
    <font>
      <b/>
      <sz val="12"/>
      <color rgb="FF1F4E78"/>
      <name val="Calibri"/>
    </font>
    <font>
      <b/>
      <sz val="11"/>
      <color rgb="FF1F4E78"/>
      <name val="Calibri"/>
    </font>
    <font>
      <b/>
      <sz val="11"/>
      <color rgb="FF000000"/>
      <name val="Calibri"/>
    </font>
    <font>
      <sz val="11"/>
      <color rgb="FF595959"/>
      <name val="Calibri"/>
    </font>
    <font>
      <sz val="10"/>
      <color rgb="FF595959"/>
      <name val="Consolas"/>
    </font>
    <font>
      <b/>
      <sz val="10"/>
      <color rgb="FF595959"/>
      <name val="Calibri"/>
    </font>
    <font>
      <b/>
      <sz val="10"/>
      <color rgb="FF2E75B6"/>
      <name val="Calibri"/>
    </font>
    <font>
      <i/>
      <sz val="9"/>
      <color rgb="FF595959"/>
      <name val="Calibri"/>
    </font>
    <font>
      <sz val="11"/>
      <color rgb="FF0000FF"/>
      <name val="Calibri"/>
    </font>
    <font>
      <b/>
      <sz val="11"/>
      <color rgb="FF0000FF"/>
      <name val="Calibri"/>
    </font>
    <font>
      <sz val="12"/>
      <color rgb="FF000000"/>
      <name val="Calibri"/>
    </font>
    <font>
      <sz val="11"/>
      <color rgb="FF1F4E78"/>
      <name val="Calibri"/>
    </font>
    <font>
      <sz val="10"/>
      <color rgb="FF595959"/>
      <name val="Calibri"/>
    </font>
    <font>
      <b/>
      <sz val="11"/>
      <color theme="1"/>
      <name val="Calibri"/>
      <family val="2"/>
      <scheme val="minor"/>
    </font>
    <font>
      <i/>
      <sz val="9"/>
      <color theme="1"/>
      <name val="Calibri"/>
      <family val="2"/>
      <scheme val="minor"/>
    </font>
    <font>
      <b/>
      <sz val="20"/>
      <color rgb="FFFFFFFF"/>
      <name val="Calibri"/>
      <family val="2"/>
      <scheme val="minor"/>
    </font>
    <font>
      <i/>
      <sz val="10"/>
      <color rgb="FF595959"/>
      <name val="Calibri"/>
      <family val="2"/>
      <scheme val="minor"/>
    </font>
    <font>
      <b/>
      <sz val="13"/>
      <color rgb="FF1F4E78"/>
      <name val="Calibri"/>
      <family val="2"/>
      <scheme val="minor"/>
    </font>
    <font>
      <b/>
      <sz val="11"/>
      <color rgb="FFFFFFFF"/>
      <name val="Calibri"/>
      <family val="2"/>
      <scheme val="minor"/>
    </font>
    <font>
      <b/>
      <sz val="11"/>
      <color rgb="FF1F4E78"/>
      <name val="Calibri"/>
      <family val="2"/>
      <scheme val="minor"/>
    </font>
    <font>
      <i/>
      <sz val="9"/>
      <color rgb="FF595959"/>
      <name val="Calibri"/>
      <family val="2"/>
      <scheme val="minor"/>
    </font>
  </fonts>
  <fills count="8">
    <fill>
      <patternFill patternType="none"/>
    </fill>
    <fill>
      <patternFill patternType="gray125"/>
    </fill>
    <fill>
      <patternFill patternType="solid">
        <fgColor rgb="FF1F4E78"/>
      </patternFill>
    </fill>
    <fill>
      <patternFill patternType="solid">
        <fgColor rgb="FFE8EEF5"/>
      </patternFill>
    </fill>
    <fill>
      <patternFill patternType="solid">
        <fgColor rgb="FFFCE4D6"/>
      </patternFill>
    </fill>
    <fill>
      <patternFill patternType="solid">
        <fgColor rgb="FFD9E1F2"/>
      </patternFill>
    </fill>
    <fill>
      <patternFill patternType="solid">
        <fgColor rgb="FF1F4E78"/>
        <bgColor indexed="64"/>
      </patternFill>
    </fill>
    <fill>
      <patternFill patternType="solid">
        <fgColor rgb="FFE8EEF5"/>
        <bgColor indexed="64"/>
      </patternFill>
    </fill>
  </fills>
  <borders count="6">
    <border>
      <left/>
      <right/>
      <top/>
      <bottom/>
      <diagonal/>
    </border>
    <border>
      <left style="thin">
        <color rgb="FFBFBFBF"/>
      </left>
      <right style="thin">
        <color rgb="FFBFBFBF"/>
      </right>
      <top style="thin">
        <color rgb="FFBFBFBF"/>
      </top>
      <bottom style="thin">
        <color rgb="FFBFBFBF"/>
      </bottom>
      <diagonal/>
    </border>
    <border>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style="medium">
        <color rgb="FF1F4E78"/>
      </top>
      <bottom style="thin">
        <color rgb="FFBFBFBF"/>
      </bottom>
      <diagonal/>
    </border>
    <border>
      <left/>
      <right/>
      <top/>
      <bottom style="medium">
        <color rgb="FF2E75B6"/>
      </bottom>
      <diagonal/>
    </border>
  </borders>
  <cellStyleXfs count="1">
    <xf numFmtId="0" fontId="0" fillId="0" borderId="0"/>
  </cellStyleXfs>
  <cellXfs count="84">
    <xf numFmtId="0" fontId="0" fillId="0" borderId="0" xfId="0"/>
    <xf numFmtId="0" fontId="2" fillId="2" borderId="0" xfId="0" applyFont="1" applyFill="1" applyAlignment="1">
      <alignment horizontal="center" vertical="center"/>
    </xf>
    <xf numFmtId="0" fontId="1" fillId="0" borderId="0" xfId="0" applyFont="1"/>
    <xf numFmtId="165" fontId="1" fillId="0" borderId="0" xfId="0" applyNumberFormat="1" applyFont="1"/>
    <xf numFmtId="166" fontId="1" fillId="0" borderId="0" xfId="0" applyNumberFormat="1" applyFont="1"/>
    <xf numFmtId="1" fontId="1" fillId="0" borderId="0" xfId="0" applyNumberFormat="1" applyFont="1"/>
    <xf numFmtId="0" fontId="5" fillId="0" borderId="0" xfId="0" applyFont="1"/>
    <xf numFmtId="0" fontId="2" fillId="2" borderId="1" xfId="0" applyFont="1" applyFill="1" applyBorder="1" applyAlignment="1">
      <alignment horizontal="center" vertical="center" wrapText="1"/>
    </xf>
    <xf numFmtId="0" fontId="6" fillId="3" borderId="1" xfId="0" applyFont="1" applyFill="1" applyBorder="1"/>
    <xf numFmtId="166" fontId="7" fillId="0" borderId="1" xfId="0" applyNumberFormat="1" applyFont="1" applyBorder="1" applyAlignment="1">
      <alignment horizontal="right" vertical="center"/>
    </xf>
    <xf numFmtId="3" fontId="7" fillId="0" borderId="1" xfId="0" applyNumberFormat="1" applyFont="1" applyBorder="1" applyAlignment="1">
      <alignment horizontal="right" vertical="center"/>
    </xf>
    <xf numFmtId="167" fontId="7" fillId="0" borderId="1" xfId="0" applyNumberFormat="1" applyFont="1" applyBorder="1" applyAlignment="1">
      <alignment horizontal="right" vertical="center"/>
    </xf>
    <xf numFmtId="167" fontId="7" fillId="4" borderId="1" xfId="0" applyNumberFormat="1" applyFont="1" applyFill="1" applyBorder="1" applyAlignment="1">
      <alignment horizontal="right" vertical="center"/>
    </xf>
    <xf numFmtId="0" fontId="7" fillId="0" borderId="1" xfId="0" applyFont="1" applyBorder="1"/>
    <xf numFmtId="3" fontId="1" fillId="0" borderId="1" xfId="0" applyNumberFormat="1" applyFont="1" applyBorder="1"/>
    <xf numFmtId="167" fontId="1" fillId="0" borderId="1" xfId="0" applyNumberFormat="1" applyFont="1" applyBorder="1"/>
    <xf numFmtId="166" fontId="1" fillId="0" borderId="1" xfId="0" applyNumberFormat="1" applyFont="1" applyBorder="1"/>
    <xf numFmtId="0" fontId="7" fillId="4" borderId="1" xfId="0" applyFont="1" applyFill="1" applyBorder="1"/>
    <xf numFmtId="3" fontId="1" fillId="4" borderId="1" xfId="0" applyNumberFormat="1" applyFont="1" applyFill="1" applyBorder="1"/>
    <xf numFmtId="167" fontId="1" fillId="4" borderId="1" xfId="0" applyNumberFormat="1" applyFont="1" applyFill="1" applyBorder="1"/>
    <xf numFmtId="166" fontId="1" fillId="4" borderId="1" xfId="0" applyNumberFormat="1" applyFont="1" applyFill="1" applyBorder="1"/>
    <xf numFmtId="0" fontId="6" fillId="5" borderId="4" xfId="0" applyFont="1" applyFill="1" applyBorder="1"/>
    <xf numFmtId="3" fontId="6" fillId="5" borderId="4" xfId="0" applyNumberFormat="1" applyFont="1" applyFill="1" applyBorder="1"/>
    <xf numFmtId="167" fontId="6" fillId="5" borderId="4" xfId="0" applyNumberFormat="1" applyFont="1" applyFill="1" applyBorder="1"/>
    <xf numFmtId="166" fontId="6" fillId="5" borderId="4" xfId="0" applyNumberFormat="1" applyFont="1" applyFill="1" applyBorder="1"/>
    <xf numFmtId="0" fontId="10" fillId="0" borderId="0" xfId="0" applyFont="1"/>
    <xf numFmtId="0" fontId="11" fillId="0" borderId="0" xfId="0" applyFont="1"/>
    <xf numFmtId="1" fontId="7" fillId="0" borderId="1" xfId="0" applyNumberFormat="1" applyFont="1" applyBorder="1" applyAlignment="1">
      <alignment horizontal="center" vertical="center"/>
    </xf>
    <xf numFmtId="0" fontId="1" fillId="0" borderId="1" xfId="0" applyFont="1" applyBorder="1"/>
    <xf numFmtId="168" fontId="8" fillId="0" borderId="1" xfId="0" applyNumberFormat="1" applyFont="1" applyBorder="1"/>
    <xf numFmtId="1" fontId="7" fillId="3" borderId="1" xfId="0" applyNumberFormat="1" applyFont="1" applyFill="1" applyBorder="1" applyAlignment="1">
      <alignment horizontal="center" vertical="center"/>
    </xf>
    <xf numFmtId="0" fontId="1" fillId="3" borderId="1" xfId="0" applyFont="1" applyFill="1" applyBorder="1"/>
    <xf numFmtId="166" fontId="1" fillId="3" borderId="1" xfId="0" applyNumberFormat="1" applyFont="1" applyFill="1" applyBorder="1"/>
    <xf numFmtId="3" fontId="1" fillId="3" borderId="1" xfId="0" applyNumberFormat="1" applyFont="1" applyFill="1" applyBorder="1"/>
    <xf numFmtId="167" fontId="1" fillId="3" borderId="1" xfId="0" applyNumberFormat="1" applyFont="1" applyFill="1" applyBorder="1"/>
    <xf numFmtId="0" fontId="12" fillId="0" borderId="0" xfId="0" applyFont="1"/>
    <xf numFmtId="1" fontId="13" fillId="0" borderId="1" xfId="0" applyNumberFormat="1" applyFont="1" applyBorder="1" applyAlignment="1">
      <alignment horizontal="center" vertical="center"/>
    </xf>
    <xf numFmtId="1" fontId="1" fillId="0" borderId="1" xfId="0" applyNumberFormat="1" applyFont="1" applyBorder="1" applyAlignment="1">
      <alignment horizontal="center" vertical="center"/>
    </xf>
    <xf numFmtId="0" fontId="1" fillId="0" borderId="1" xfId="0" applyFont="1" applyBorder="1" applyAlignment="1">
      <alignment horizontal="center" vertical="center"/>
    </xf>
    <xf numFmtId="169" fontId="14" fillId="0" borderId="1" xfId="0" applyNumberFormat="1" applyFont="1" applyBorder="1" applyAlignment="1">
      <alignment horizontal="left" vertical="center"/>
    </xf>
    <xf numFmtId="0" fontId="8" fillId="0" borderId="1" xfId="0" applyFont="1" applyBorder="1" applyAlignment="1">
      <alignment horizontal="center" vertical="center"/>
    </xf>
    <xf numFmtId="1" fontId="8" fillId="0" borderId="1" xfId="0" applyNumberFormat="1" applyFont="1" applyBorder="1" applyAlignment="1">
      <alignment horizontal="center" vertical="center"/>
    </xf>
    <xf numFmtId="169" fontId="7" fillId="0" borderId="1" xfId="0" applyNumberFormat="1" applyFont="1" applyBorder="1" applyAlignment="1">
      <alignment horizontal="left" vertical="center"/>
    </xf>
    <xf numFmtId="169" fontId="7" fillId="0" borderId="1" xfId="0" applyNumberFormat="1" applyFont="1" applyBorder="1" applyAlignment="1">
      <alignment horizontal="right" vertical="center"/>
    </xf>
    <xf numFmtId="0" fontId="7" fillId="0" borderId="1" xfId="0" applyFont="1" applyBorder="1" applyAlignment="1">
      <alignment horizontal="right" vertical="center"/>
    </xf>
    <xf numFmtId="0" fontId="6" fillId="3" borderId="1" xfId="0" applyFont="1" applyFill="1" applyBorder="1" applyAlignment="1">
      <alignment vertical="top" wrapText="1"/>
    </xf>
    <xf numFmtId="0" fontId="1" fillId="0" borderId="1" xfId="0" applyFont="1" applyBorder="1" applyAlignment="1">
      <alignment vertical="top" wrapText="1"/>
    </xf>
    <xf numFmtId="0" fontId="16" fillId="3" borderId="1" xfId="0" applyFont="1" applyFill="1" applyBorder="1" applyAlignment="1">
      <alignment vertical="top" wrapText="1"/>
    </xf>
    <xf numFmtId="0" fontId="6" fillId="4" borderId="1" xfId="0" applyFont="1" applyFill="1" applyBorder="1" applyAlignment="1">
      <alignment vertical="top" wrapText="1"/>
    </xf>
    <xf numFmtId="0" fontId="1" fillId="0" borderId="0" xfId="0" applyFont="1"/>
    <xf numFmtId="0" fontId="0" fillId="0" borderId="0" xfId="0"/>
    <xf numFmtId="0" fontId="9" fillId="0" borderId="1" xfId="0" applyFont="1" applyBorder="1"/>
    <xf numFmtId="0" fontId="0" fillId="0" borderId="1" xfId="0" applyBorder="1"/>
    <xf numFmtId="0" fontId="3" fillId="2" borderId="0" xfId="0" applyFont="1" applyFill="1" applyAlignment="1">
      <alignment vertical="center" indent="1"/>
    </xf>
    <xf numFmtId="0" fontId="0" fillId="2" borderId="0" xfId="0" applyFill="1"/>
    <xf numFmtId="0" fontId="4" fillId="3" borderId="0" xfId="0" applyFont="1" applyFill="1" applyAlignment="1">
      <alignment vertical="center" wrapText="1" indent="1"/>
    </xf>
    <xf numFmtId="0" fontId="0" fillId="3" borderId="0" xfId="0" applyFill="1"/>
    <xf numFmtId="0" fontId="2" fillId="2" borderId="1" xfId="0" applyFont="1" applyFill="1" applyBorder="1" applyAlignment="1">
      <alignment horizontal="center" vertical="center" wrapText="1"/>
    </xf>
    <xf numFmtId="0" fontId="0" fillId="0" borderId="2" xfId="0" applyBorder="1"/>
    <xf numFmtId="0" fontId="0" fillId="0" borderId="3" xfId="0" applyBorder="1"/>
    <xf numFmtId="0" fontId="7" fillId="3" borderId="1" xfId="0" applyFont="1" applyFill="1" applyBorder="1"/>
    <xf numFmtId="0" fontId="6" fillId="5" borderId="4" xfId="0" applyFont="1" applyFill="1" applyBorder="1"/>
    <xf numFmtId="0" fontId="1" fillId="0" borderId="1" xfId="0" applyFont="1" applyBorder="1"/>
    <xf numFmtId="0" fontId="8" fillId="0" borderId="1" xfId="0" applyFont="1" applyBorder="1"/>
    <xf numFmtId="0" fontId="6" fillId="3" borderId="1" xfId="0" applyFont="1" applyFill="1" applyBorder="1"/>
    <xf numFmtId="0" fontId="17" fillId="0" borderId="0" xfId="0" applyFont="1"/>
    <xf numFmtId="0" fontId="1" fillId="0" borderId="1" xfId="0" applyFont="1" applyBorder="1" applyAlignment="1">
      <alignment vertical="top" wrapText="1"/>
    </xf>
    <xf numFmtId="0" fontId="15" fillId="3" borderId="1" xfId="0" applyFont="1" applyFill="1" applyBorder="1" applyAlignment="1">
      <alignment vertical="top" wrapText="1"/>
    </xf>
    <xf numFmtId="166" fontId="0" fillId="0" borderId="0" xfId="0" applyNumberFormat="1"/>
    <xf numFmtId="0" fontId="18" fillId="0" borderId="0" xfId="0" applyFont="1"/>
    <xf numFmtId="0" fontId="19" fillId="0" borderId="0" xfId="0" applyFont="1"/>
    <xf numFmtId="3" fontId="0" fillId="0" borderId="0" xfId="0" applyNumberFormat="1"/>
    <xf numFmtId="0" fontId="0" fillId="0" borderId="0" xfId="0" pivotButton="1"/>
    <xf numFmtId="0" fontId="0" fillId="0" borderId="0" xfId="0" applyAlignment="1">
      <alignment horizontal="left"/>
    </xf>
    <xf numFmtId="165" fontId="0" fillId="0" borderId="0" xfId="0" applyNumberFormat="1" applyAlignment="1">
      <alignment horizontal="left"/>
    </xf>
    <xf numFmtId="167" fontId="0" fillId="0" borderId="0" xfId="0" applyNumberFormat="1"/>
    <xf numFmtId="0" fontId="0" fillId="0" borderId="0" xfId="0" applyFont="1"/>
    <xf numFmtId="0" fontId="0" fillId="0" borderId="0" xfId="0" applyFont="1"/>
    <xf numFmtId="0" fontId="20" fillId="6" borderId="0" xfId="0" applyFont="1" applyFill="1" applyAlignment="1">
      <alignment horizontal="left" vertical="center" indent="1"/>
    </xf>
    <xf numFmtId="0" fontId="21" fillId="7" borderId="0" xfId="0" applyFont="1" applyFill="1"/>
    <xf numFmtId="0" fontId="22" fillId="0" borderId="5" xfId="0" applyFont="1" applyBorder="1"/>
    <xf numFmtId="0" fontId="23" fillId="6" borderId="0" xfId="0" applyFont="1" applyFill="1" applyAlignment="1">
      <alignment horizontal="center"/>
    </xf>
    <xf numFmtId="0" fontId="24" fillId="0" borderId="0" xfId="0" applyFont="1" applyAlignment="1">
      <alignment horizontal="center"/>
    </xf>
    <xf numFmtId="0" fontId="25" fillId="0" borderId="0" xfId="0" applyFont="1"/>
  </cellXfs>
  <cellStyles count="1">
    <cellStyle name="Normal" xfId="0" builtinId="0"/>
  </cellStyles>
  <dxfs count="10">
    <dxf>
      <border>
        <bottom style="thin">
          <color rgb="FFD9D9D9"/>
        </bottom>
        <horizontal style="thin">
          <color rgb="FFD9D9D9"/>
        </horizontal>
      </border>
    </dxf>
    <dxf>
      <fill>
        <patternFill>
          <bgColor rgb="FFE8EEF5"/>
        </patternFill>
      </fill>
    </dxf>
    <dxf>
      <font>
        <b/>
        <i val="0"/>
        <color rgb="FFFFFFFF"/>
      </font>
      <fill>
        <patternFill>
          <bgColor rgb="FF1F4E78"/>
        </patternFill>
      </fill>
    </dxf>
    <dxf>
      <font>
        <color rgb="FF1F4E78"/>
        <name val="Calibri"/>
      </font>
      <fill>
        <patternFill patternType="solid">
          <fgColor rgb="FFD9E1F2"/>
        </patternFill>
      </fill>
    </dxf>
    <dxf>
      <font>
        <color rgb="FF833C0B"/>
        <name val="Calibri"/>
      </font>
      <fill>
        <patternFill patternType="solid">
          <fgColor rgb="FFFCE4D6"/>
        </patternFill>
      </fill>
    </dxf>
    <dxf>
      <font>
        <color rgb="FF1F4E78"/>
        <name val="Calibri"/>
      </font>
      <fill>
        <patternFill patternType="solid">
          <fgColor rgb="FFD9E1F2"/>
        </patternFill>
      </fill>
    </dxf>
    <dxf>
      <font>
        <color rgb="FF833C0B"/>
        <name val="Calibri"/>
      </font>
      <fill>
        <patternFill patternType="solid">
          <fgColor rgb="FFFCE4D6"/>
        </patternFill>
      </fill>
    </dxf>
    <dxf>
      <font>
        <b/>
        <color rgb="FF1F4E78"/>
        <name val="Calibri"/>
      </font>
      <fill>
        <patternFill patternType="solid">
          <fgColor rgb="FFD9E1F2"/>
        </patternFill>
      </fill>
    </dxf>
    <dxf>
      <font>
        <b/>
        <color rgb="FF1F4E78"/>
        <name val="Calibri"/>
      </font>
      <fill>
        <patternFill patternType="solid">
          <fgColor rgb="FFD9E1F2"/>
        </patternFill>
      </fill>
    </dxf>
    <dxf>
      <font>
        <b/>
        <color rgb="FF1F4E78"/>
        <name val="Calibri"/>
      </font>
      <fill>
        <patternFill patternType="solid">
          <fgColor rgb="FFD9E1F2"/>
        </patternFill>
      </fill>
    </dxf>
  </dxfs>
  <tableStyles count="1" defaultTableStyle="TableStyleMedium9" defaultPivotStyle="PivotStyleLight16">
    <tableStyle name="Navy Pivot" table="0" count="3">
      <tableStyleElement type="wholeTable" dxfId="0"/>
      <tableStyleElement type="headerRow" dxfId="2"/>
      <tableStyleElement type="first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Transaction Status Distribution (by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doughnutChart>
        <c:varyColors val="1"/>
        <c:ser>
          <c:idx val="0"/>
          <c:order val="0"/>
          <c:tx>
            <c:v>Transaction Status</c:v>
          </c:tx>
          <c:dPt>
            <c:idx val="0"/>
            <c:bubble3D val="0"/>
            <c:spPr>
              <a:solidFill>
                <a:srgbClr val="1F4E78"/>
              </a:solidFill>
              <a:ln w="19050">
                <a:solidFill>
                  <a:srgbClr val="FFFFFF"/>
                </a:solidFill>
              </a:ln>
              <a:effectLst/>
            </c:spPr>
            <c:extLst>
              <c:ext xmlns:c16="http://schemas.microsoft.com/office/drawing/2014/chart" uri="{C3380CC4-5D6E-409C-BE32-E72D297353CC}">
                <c16:uniqueId val="{00000003-03C7-41A9-BEDC-E25C10E40663}"/>
              </c:ext>
            </c:extLst>
          </c:dPt>
          <c:dPt>
            <c:idx val="1"/>
            <c:bubble3D val="0"/>
            <c:spPr>
              <a:solidFill>
                <a:srgbClr val="E59866"/>
              </a:solidFill>
              <a:ln w="19050">
                <a:solidFill>
                  <a:srgbClr val="FFFFFF"/>
                </a:solidFill>
              </a:ln>
              <a:effectLst/>
            </c:spPr>
            <c:extLst>
              <c:ext xmlns:c16="http://schemas.microsoft.com/office/drawing/2014/chart" uri="{C3380CC4-5D6E-409C-BE32-E72D297353CC}">
                <c16:uniqueId val="{00000004-03C7-41A9-BEDC-E25C10E40663}"/>
              </c:ext>
            </c:extLst>
          </c:dPt>
          <c:dPt>
            <c:idx val="2"/>
            <c:bubble3D val="0"/>
            <c:spPr>
              <a:solidFill>
                <a:srgbClr val="9DC3E6"/>
              </a:solidFill>
              <a:ln w="19050">
                <a:solidFill>
                  <a:srgbClr val="FFFFFF"/>
                </a:solidFill>
              </a:ln>
              <a:effectLst/>
            </c:spPr>
            <c:extLst>
              <c:ext xmlns:c16="http://schemas.microsoft.com/office/drawing/2014/chart" uri="{C3380CC4-5D6E-409C-BE32-E72D297353CC}">
                <c16:uniqueId val="{00000005-03C7-41A9-BEDC-E25C10E40663}"/>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100" b="0" i="0" u="none" strike="noStrike" kern="1200" baseline="0">
                    <a:solidFill>
                      <a:srgbClr val="000000"/>
                    </a:solidFill>
                    <a:latin typeface="Calibri" panose="020F0502020204030204" pitchFamily="34" charset="0"/>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Obj1_Volume_and_Value!$B$16:$B$18</c:f>
              <c:strCache>
                <c:ptCount val="3"/>
                <c:pt idx="0">
                  <c:v>Successful</c:v>
                </c:pt>
                <c:pt idx="1">
                  <c:v>Failed</c:v>
                </c:pt>
                <c:pt idx="2">
                  <c:v>Pending</c:v>
                </c:pt>
              </c:strCache>
            </c:strRef>
          </c:cat>
          <c:val>
            <c:numRef>
              <c:f>Obj1_Volume_and_Value!$C$16:$C$18</c:f>
              <c:numCache>
                <c:formatCode>#,##0</c:formatCode>
                <c:ptCount val="3"/>
                <c:pt idx="0">
                  <c:v>2208</c:v>
                </c:pt>
                <c:pt idx="1">
                  <c:v>239</c:v>
                </c:pt>
                <c:pt idx="2">
                  <c:v>53</c:v>
                </c:pt>
              </c:numCache>
            </c:numRef>
          </c:val>
          <c:extLst>
            <c:ext xmlns:c16="http://schemas.microsoft.com/office/drawing/2014/chart" uri="{C3380CC4-5D6E-409C-BE32-E72D297353CC}">
              <c16:uniqueId val="{00000002-03C7-41A9-BEDC-E25C10E40663}"/>
            </c:ext>
          </c:extLst>
        </c:ser>
        <c:dLbls>
          <c:showLegendKey val="0"/>
          <c:showVal val="0"/>
          <c:showCatName val="0"/>
          <c:showSerName val="0"/>
          <c:showPercent val="0"/>
          <c:showBubbleSize val="0"/>
          <c:showLeaderLines val="0"/>
        </c:dLbls>
        <c:firstSliceAng val="0"/>
        <c:holeSize val="58"/>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Top 10 Customers by Total Spend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bar"/>
        <c:grouping val="clustered"/>
        <c:varyColors val="0"/>
        <c:ser>
          <c:idx val="0"/>
          <c:order val="0"/>
          <c:tx>
            <c:v>Total Spent (₦)</c:v>
          </c:tx>
          <c:spPr>
            <a:solidFill>
              <a:srgbClr val="1F4E78"/>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Obj2_High_Value_Customers!$C$7:$C$16</c:f>
              <c:strCache>
                <c:ptCount val="10"/>
                <c:pt idx="0">
                  <c:v>CUST-0179</c:v>
                </c:pt>
                <c:pt idx="1">
                  <c:v>CUST-0034</c:v>
                </c:pt>
                <c:pt idx="2">
                  <c:v>CUST-0329</c:v>
                </c:pt>
                <c:pt idx="3">
                  <c:v>CUST-0164</c:v>
                </c:pt>
                <c:pt idx="4">
                  <c:v>CUST-0251</c:v>
                </c:pt>
                <c:pt idx="5">
                  <c:v>CUST-0116</c:v>
                </c:pt>
                <c:pt idx="6">
                  <c:v>CUST-0257</c:v>
                </c:pt>
                <c:pt idx="7">
                  <c:v>CUST-0168</c:v>
                </c:pt>
                <c:pt idx="8">
                  <c:v>CUST-0006</c:v>
                </c:pt>
                <c:pt idx="9">
                  <c:v>CUST-0275</c:v>
                </c:pt>
              </c:strCache>
            </c:strRef>
          </c:cat>
          <c:val>
            <c:numRef>
              <c:f>Obj2_High_Value_Customers!$F$7:$F$16</c:f>
              <c:numCache>
                <c:formatCode>"₦"#,##0.00</c:formatCode>
                <c:ptCount val="10"/>
                <c:pt idx="0">
                  <c:v>374370.25999999995</c:v>
                </c:pt>
                <c:pt idx="1">
                  <c:v>349166.65</c:v>
                </c:pt>
                <c:pt idx="2">
                  <c:v>325244.08</c:v>
                </c:pt>
                <c:pt idx="3">
                  <c:v>273501.11</c:v>
                </c:pt>
                <c:pt idx="4">
                  <c:v>269972.15999999997</c:v>
                </c:pt>
                <c:pt idx="5">
                  <c:v>263967.93000000005</c:v>
                </c:pt>
                <c:pt idx="6">
                  <c:v>258224.20999999996</c:v>
                </c:pt>
                <c:pt idx="7">
                  <c:v>257489.54000000004</c:v>
                </c:pt>
                <c:pt idx="8">
                  <c:v>247545.09</c:v>
                </c:pt>
                <c:pt idx="9">
                  <c:v>247160.95</c:v>
                </c:pt>
              </c:numCache>
            </c:numRef>
          </c:val>
          <c:extLst>
            <c:ext xmlns:c16="http://schemas.microsoft.com/office/drawing/2014/chart" uri="{C3380CC4-5D6E-409C-BE32-E72D297353CC}">
              <c16:uniqueId val="{00000002-569A-4281-91E4-7C4352569F90}"/>
            </c:ext>
          </c:extLst>
        </c:ser>
        <c:dLbls>
          <c:showLegendKey val="0"/>
          <c:showVal val="0"/>
          <c:showCatName val="0"/>
          <c:showSerName val="0"/>
          <c:showPercent val="0"/>
          <c:showBubbleSize val="0"/>
        </c:dLbls>
        <c:gapWidth val="60"/>
        <c:axId val="748945071"/>
        <c:axId val="748942159"/>
      </c:barChart>
      <c:catAx>
        <c:axId val="74894507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748942159"/>
        <c:crosses val="autoZero"/>
        <c:auto val="1"/>
        <c:lblAlgn val="ctr"/>
        <c:lblOffset val="100"/>
        <c:noMultiLvlLbl val="0"/>
      </c:catAx>
      <c:valAx>
        <c:axId val="748942159"/>
        <c:scaling>
          <c:orientation val="minMax"/>
        </c:scaling>
        <c:delete val="0"/>
        <c:axPos val="t"/>
        <c:majorGridlines>
          <c:spPr>
            <a:ln w="9525" cap="flat" cmpd="sng" algn="ctr">
              <a:solidFill>
                <a:srgbClr val="E7E6E6"/>
              </a:solidFill>
              <a:round/>
            </a:ln>
            <a:effectLst/>
          </c:spPr>
        </c:majorGridlines>
        <c:numFmt formatCode="&quot;₦&quot;#,##0,&quot;K&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748945071"/>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Total Value vs Average Ticket Size by Transaction Type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0"/>
          <c:order val="0"/>
          <c:tx>
            <c:v>Total Value (₦)</c:v>
          </c:tx>
          <c:spPr>
            <a:solidFill>
              <a:srgbClr val="1F4E78"/>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Obj3_Product_Popularity!$B$7:$B$11</c:f>
              <c:strCache>
                <c:ptCount val="5"/>
                <c:pt idx="0">
                  <c:v>Transfer</c:v>
                </c:pt>
                <c:pt idx="1">
                  <c:v>Airtime/Data</c:v>
                </c:pt>
                <c:pt idx="2">
                  <c:v>Bill Payment</c:v>
                </c:pt>
                <c:pt idx="3">
                  <c:v>POS Payment</c:v>
                </c:pt>
                <c:pt idx="4">
                  <c:v>Card Withdrawal</c:v>
                </c:pt>
              </c:strCache>
            </c:strRef>
          </c:cat>
          <c:val>
            <c:numRef>
              <c:f>Obj3_Product_Popularity!$E$7:$E$11</c:f>
              <c:numCache>
                <c:formatCode>"₦"#,##0.00</c:formatCode>
                <c:ptCount val="5"/>
                <c:pt idx="0">
                  <c:v>27884106.860000007</c:v>
                </c:pt>
                <c:pt idx="1">
                  <c:v>1133662.29</c:v>
                </c:pt>
                <c:pt idx="2">
                  <c:v>4243869.8400000008</c:v>
                </c:pt>
                <c:pt idx="3">
                  <c:v>2171603.6199999982</c:v>
                </c:pt>
                <c:pt idx="4">
                  <c:v>1530000</c:v>
                </c:pt>
              </c:numCache>
            </c:numRef>
          </c:val>
          <c:extLst>
            <c:ext xmlns:c16="http://schemas.microsoft.com/office/drawing/2014/chart" uri="{C3380CC4-5D6E-409C-BE32-E72D297353CC}">
              <c16:uniqueId val="{00000002-0DD2-4A40-BE21-BBD945CBD8A7}"/>
            </c:ext>
          </c:extLst>
        </c:ser>
        <c:ser>
          <c:idx val="1"/>
          <c:order val="1"/>
          <c:tx>
            <c:v>_spacer1</c:v>
          </c:tx>
          <c:spPr>
            <a:noFill/>
            <a:ln>
              <a:noFill/>
            </a:ln>
            <a:effectLst/>
            <a:extLst>
              <a:ext uri="{909E8E84-426E-40DD-AFC4-6F175D3DCCD1}">
                <a14:hiddenFill xmlns:a14="http://schemas.microsoft.com/office/drawing/2010/main">
                  <a:solidFill>
                    <a:srgbClr val="C0504D"/>
                  </a:solidFill>
                </a14:hiddenFill>
              </a:ext>
            </a:extLst>
          </c:spPr>
          <c:invertIfNegative val="0"/>
          <c:cat>
            <c:strRef>
              <c:f>Obj3_Product_Popularity!$B$7:$B$11</c:f>
              <c:strCache>
                <c:ptCount val="5"/>
                <c:pt idx="0">
                  <c:v>Transfer</c:v>
                </c:pt>
                <c:pt idx="1">
                  <c:v>Airtime/Data</c:v>
                </c:pt>
                <c:pt idx="2">
                  <c:v>Bill Payment</c:v>
                </c:pt>
                <c:pt idx="3">
                  <c:v>POS Payment</c:v>
                </c:pt>
                <c:pt idx="4">
                  <c:v>Card Withdrawal</c:v>
                </c:pt>
              </c:strCache>
            </c:strRef>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03-0DD2-4A40-BE21-BBD945CBD8A7}"/>
            </c:ext>
          </c:extLst>
        </c:ser>
        <c:dLbls>
          <c:showLegendKey val="0"/>
          <c:showVal val="0"/>
          <c:showCatName val="0"/>
          <c:showSerName val="0"/>
          <c:showPercent val="0"/>
          <c:showBubbleSize val="0"/>
        </c:dLbls>
        <c:gapWidth val="70"/>
        <c:axId val="822665711"/>
        <c:axId val="822663215"/>
      </c:barChart>
      <c:barChart>
        <c:barDir val="col"/>
        <c:grouping val="clustered"/>
        <c:varyColors val="0"/>
        <c:ser>
          <c:idx val="2"/>
          <c:order val="2"/>
          <c:tx>
            <c:v>_spacer2</c:v>
          </c:tx>
          <c:spPr>
            <a:noFill/>
            <a:ln>
              <a:noFill/>
            </a:ln>
            <a:effectLst/>
            <a:extLst>
              <a:ext uri="{909E8E84-426E-40DD-AFC4-6F175D3DCCD1}">
                <a14:hiddenFill xmlns:a14="http://schemas.microsoft.com/office/drawing/2010/main">
                  <a:solidFill>
                    <a:srgbClr val="9BBB59"/>
                  </a:solidFill>
                </a14:hiddenFill>
              </a:ext>
            </a:extLst>
          </c:spPr>
          <c:invertIfNegative val="0"/>
          <c:cat>
            <c:strRef>
              <c:f>Obj3_Product_Popularity!$B$7:$B$11</c:f>
              <c:strCache>
                <c:ptCount val="5"/>
                <c:pt idx="0">
                  <c:v>Transfer</c:v>
                </c:pt>
                <c:pt idx="1">
                  <c:v>Airtime/Data</c:v>
                </c:pt>
                <c:pt idx="2">
                  <c:v>Bill Payment</c:v>
                </c:pt>
                <c:pt idx="3">
                  <c:v>POS Payment</c:v>
                </c:pt>
                <c:pt idx="4">
                  <c:v>Card Withdrawal</c:v>
                </c:pt>
              </c:strCache>
            </c:strRef>
          </c:cat>
          <c:val>
            <c:numLit>
              <c:formatCode>General</c:formatCode>
              <c:ptCount val="5"/>
              <c:pt idx="0">
                <c:v>0</c:v>
              </c:pt>
              <c:pt idx="1">
                <c:v>0</c:v>
              </c:pt>
              <c:pt idx="2">
                <c:v>0</c:v>
              </c:pt>
              <c:pt idx="3">
                <c:v>0</c:v>
              </c:pt>
              <c:pt idx="4">
                <c:v>0</c:v>
              </c:pt>
            </c:numLit>
          </c:val>
          <c:extLst>
            <c:ext xmlns:c16="http://schemas.microsoft.com/office/drawing/2014/chart" uri="{C3380CC4-5D6E-409C-BE32-E72D297353CC}">
              <c16:uniqueId val="{00000004-0DD2-4A40-BE21-BBD945CBD8A7}"/>
            </c:ext>
          </c:extLst>
        </c:ser>
        <c:ser>
          <c:idx val="3"/>
          <c:order val="3"/>
          <c:tx>
            <c:v>Average Ticket Size (₦) — right axis</c:v>
          </c:tx>
          <c:spPr>
            <a:solidFill>
              <a:srgbClr val="9DC3E6"/>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Obj3_Product_Popularity!$B$7:$B$11</c:f>
              <c:strCache>
                <c:ptCount val="5"/>
                <c:pt idx="0">
                  <c:v>Transfer</c:v>
                </c:pt>
                <c:pt idx="1">
                  <c:v>Airtime/Data</c:v>
                </c:pt>
                <c:pt idx="2">
                  <c:v>Bill Payment</c:v>
                </c:pt>
                <c:pt idx="3">
                  <c:v>POS Payment</c:v>
                </c:pt>
                <c:pt idx="4">
                  <c:v>Card Withdrawal</c:v>
                </c:pt>
              </c:strCache>
            </c:strRef>
          </c:cat>
          <c:val>
            <c:numRef>
              <c:f>Obj3_Product_Popularity!$F$7:$F$11</c:f>
              <c:numCache>
                <c:formatCode>"₦"#,##0.00</c:formatCode>
                <c:ptCount val="5"/>
                <c:pt idx="0">
                  <c:v>25699.637658986183</c:v>
                </c:pt>
                <c:pt idx="1">
                  <c:v>1717.6701363636364</c:v>
                </c:pt>
                <c:pt idx="2">
                  <c:v>11256.949177718834</c:v>
                </c:pt>
                <c:pt idx="3">
                  <c:v>8102.9985820895454</c:v>
                </c:pt>
                <c:pt idx="4">
                  <c:v>13909.09090909091</c:v>
                </c:pt>
              </c:numCache>
            </c:numRef>
          </c:val>
          <c:extLst>
            <c:ext xmlns:c16="http://schemas.microsoft.com/office/drawing/2014/chart" uri="{C3380CC4-5D6E-409C-BE32-E72D297353CC}">
              <c16:uniqueId val="{00000005-0DD2-4A40-BE21-BBD945CBD8A7}"/>
            </c:ext>
          </c:extLst>
        </c:ser>
        <c:dLbls>
          <c:showLegendKey val="0"/>
          <c:showVal val="0"/>
          <c:showCatName val="0"/>
          <c:showSerName val="0"/>
          <c:showPercent val="0"/>
          <c:showBubbleSize val="0"/>
        </c:dLbls>
        <c:gapWidth val="70"/>
        <c:axId val="822660303"/>
        <c:axId val="822659887"/>
      </c:barChart>
      <c:catAx>
        <c:axId val="8226657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663215"/>
        <c:crosses val="autoZero"/>
        <c:auto val="1"/>
        <c:lblAlgn val="ctr"/>
        <c:lblOffset val="100"/>
        <c:noMultiLvlLbl val="0"/>
      </c:catAx>
      <c:valAx>
        <c:axId val="822663215"/>
        <c:scaling>
          <c:orientation val="minMax"/>
        </c:scaling>
        <c:delete val="0"/>
        <c:axPos val="l"/>
        <c:majorGridlines>
          <c:spPr>
            <a:ln w="9525" cap="flat" cmpd="sng" algn="ctr">
              <a:solidFill>
                <a:srgbClr val="E7E6E6"/>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665711"/>
        <c:crosses val="autoZero"/>
        <c:crossBetween val="between"/>
      </c:valAx>
      <c:valAx>
        <c:axId val="822659887"/>
        <c:scaling>
          <c:orientation val="minMax"/>
        </c:scaling>
        <c:delete val="0"/>
        <c:axPos val="r"/>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660303"/>
        <c:crosses val="max"/>
        <c:crossBetween val="between"/>
      </c:valAx>
      <c:catAx>
        <c:axId val="822660303"/>
        <c:scaling>
          <c:orientation val="minMax"/>
        </c:scaling>
        <c:delete val="1"/>
        <c:axPos val="b"/>
        <c:numFmt formatCode="General" sourceLinked="1"/>
        <c:majorTickMark val="out"/>
        <c:minorTickMark val="none"/>
        <c:tickLblPos val="nextTo"/>
        <c:crossAx val="822659887"/>
        <c:auto val="1"/>
        <c:lblAlgn val="ctr"/>
        <c:lblOffset val="100"/>
        <c:noMultiLvlLbl val="0"/>
      </c:catAx>
      <c:spPr>
        <a:noFill/>
        <a:ln>
          <a:noFill/>
        </a:ln>
        <a:effectLst/>
      </c:spPr>
    </c:plotArea>
    <c:legend>
      <c:legendPos val="b"/>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Total Revenue by State (₦) — ranked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bar"/>
        <c:grouping val="clustered"/>
        <c:varyColors val="0"/>
        <c:ser>
          <c:idx val="0"/>
          <c:order val="0"/>
          <c:tx>
            <c:v>Key Regional Hub</c:v>
          </c:tx>
          <c:spPr>
            <a:solidFill>
              <a:srgbClr val="1F4E78"/>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8"/>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Obj4_Geographic_Distribution!$C$7:$C$16</c:f>
              <c:strCache>
                <c:ptCount val="10"/>
                <c:pt idx="0">
                  <c:v>Lagos</c:v>
                </c:pt>
                <c:pt idx="1">
                  <c:v>Kano</c:v>
                </c:pt>
                <c:pt idx="2">
                  <c:v>Oyo</c:v>
                </c:pt>
                <c:pt idx="3">
                  <c:v>FCT Abuja</c:v>
                </c:pt>
                <c:pt idx="4">
                  <c:v>Rivers</c:v>
                </c:pt>
                <c:pt idx="5">
                  <c:v>Delta</c:v>
                </c:pt>
                <c:pt idx="6">
                  <c:v>Ogun</c:v>
                </c:pt>
                <c:pt idx="7">
                  <c:v>Edo</c:v>
                </c:pt>
                <c:pt idx="8">
                  <c:v>Kaduna</c:v>
                </c:pt>
                <c:pt idx="9">
                  <c:v>Enugu</c:v>
                </c:pt>
              </c:strCache>
            </c:strRef>
          </c:cat>
          <c:val>
            <c:numRef>
              <c:f>Obj4_Geographic_Distribution!$X$7:$X$16</c:f>
              <c:numCache>
                <c:formatCode>"₦"#,##0.00</c:formatCode>
                <c:ptCount val="10"/>
                <c:pt idx="0">
                  <c:v>14255386.969999999</c:v>
                </c:pt>
                <c:pt idx="1">
                  <c:v>0</c:v>
                </c:pt>
                <c:pt idx="2">
                  <c:v>0</c:v>
                </c:pt>
                <c:pt idx="3">
                  <c:v>3304556.46</c:v>
                </c:pt>
                <c:pt idx="4">
                  <c:v>2910052.3000000012</c:v>
                </c:pt>
                <c:pt idx="5">
                  <c:v>0</c:v>
                </c:pt>
                <c:pt idx="6">
                  <c:v>0</c:v>
                </c:pt>
                <c:pt idx="7">
                  <c:v>0</c:v>
                </c:pt>
                <c:pt idx="8">
                  <c:v>0</c:v>
                </c:pt>
                <c:pt idx="9">
                  <c:v>0</c:v>
                </c:pt>
              </c:numCache>
            </c:numRef>
          </c:val>
          <c:extLst>
            <c:ext xmlns:c16="http://schemas.microsoft.com/office/drawing/2014/chart" uri="{C3380CC4-5D6E-409C-BE32-E72D297353CC}">
              <c16:uniqueId val="{00000002-E736-44BD-9E11-521D270F9415}"/>
            </c:ext>
          </c:extLst>
        </c:ser>
        <c:ser>
          <c:idx val="1"/>
          <c:order val="1"/>
          <c:tx>
            <c:v>Other State</c:v>
          </c:tx>
          <c:spPr>
            <a:solidFill>
              <a:srgbClr val="9DC3E6"/>
            </a:solidFill>
            <a:ln>
              <a:noFill/>
            </a:ln>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1F4E78"/>
                    </a:solidFill>
                    <a:latin typeface="Calibri" panose="020F050202020403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Obj4_Geographic_Distribution!$C$7:$C$16</c:f>
              <c:strCache>
                <c:ptCount val="10"/>
                <c:pt idx="0">
                  <c:v>Lagos</c:v>
                </c:pt>
                <c:pt idx="1">
                  <c:v>Kano</c:v>
                </c:pt>
                <c:pt idx="2">
                  <c:v>Oyo</c:v>
                </c:pt>
                <c:pt idx="3">
                  <c:v>FCT Abuja</c:v>
                </c:pt>
                <c:pt idx="4">
                  <c:v>Rivers</c:v>
                </c:pt>
                <c:pt idx="5">
                  <c:v>Delta</c:v>
                </c:pt>
                <c:pt idx="6">
                  <c:v>Ogun</c:v>
                </c:pt>
                <c:pt idx="7">
                  <c:v>Edo</c:v>
                </c:pt>
                <c:pt idx="8">
                  <c:v>Kaduna</c:v>
                </c:pt>
                <c:pt idx="9">
                  <c:v>Enugu</c:v>
                </c:pt>
              </c:strCache>
            </c:strRef>
          </c:cat>
          <c:val>
            <c:numRef>
              <c:f>Obj4_Geographic_Distribution!$Y$7:$Y$16</c:f>
              <c:numCache>
                <c:formatCode>"₦"#,##0.00</c:formatCode>
                <c:ptCount val="10"/>
                <c:pt idx="0">
                  <c:v>0</c:v>
                </c:pt>
                <c:pt idx="1">
                  <c:v>4166745.1300000013</c:v>
                </c:pt>
                <c:pt idx="2">
                  <c:v>3305333.8099999982</c:v>
                </c:pt>
                <c:pt idx="3">
                  <c:v>0</c:v>
                </c:pt>
                <c:pt idx="4">
                  <c:v>0</c:v>
                </c:pt>
                <c:pt idx="5">
                  <c:v>2519131.7300000009</c:v>
                </c:pt>
                <c:pt idx="6">
                  <c:v>2317869.27</c:v>
                </c:pt>
                <c:pt idx="7">
                  <c:v>1595024.56</c:v>
                </c:pt>
                <c:pt idx="8">
                  <c:v>1334629.060000001</c:v>
                </c:pt>
                <c:pt idx="9">
                  <c:v>1254513.3199999996</c:v>
                </c:pt>
              </c:numCache>
            </c:numRef>
          </c:val>
          <c:extLst>
            <c:ext xmlns:c16="http://schemas.microsoft.com/office/drawing/2014/chart" uri="{C3380CC4-5D6E-409C-BE32-E72D297353CC}">
              <c16:uniqueId val="{00000003-E736-44BD-9E11-521D270F9415}"/>
            </c:ext>
          </c:extLst>
        </c:ser>
        <c:dLbls>
          <c:showLegendKey val="0"/>
          <c:showVal val="0"/>
          <c:showCatName val="0"/>
          <c:showSerName val="0"/>
          <c:showPercent val="0"/>
          <c:showBubbleSize val="0"/>
        </c:dLbls>
        <c:gapWidth val="55"/>
        <c:overlap val="100"/>
        <c:axId val="822959519"/>
        <c:axId val="822960351"/>
      </c:barChart>
      <c:catAx>
        <c:axId val="822959519"/>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960351"/>
        <c:crosses val="autoZero"/>
        <c:auto val="1"/>
        <c:lblAlgn val="ctr"/>
        <c:lblOffset val="100"/>
        <c:noMultiLvlLbl val="0"/>
      </c:catAx>
      <c:valAx>
        <c:axId val="822960351"/>
        <c:scaling>
          <c:orientation val="minMax"/>
          <c:max val="18000000"/>
        </c:scaling>
        <c:delete val="0"/>
        <c:axPos val="t"/>
        <c:majorGridlines>
          <c:spPr>
            <a:ln w="9525" cap="flat" cmpd="sng" algn="ctr">
              <a:solidFill>
                <a:srgbClr val="E7E6E6"/>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95951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Monthly Volume (columns) vs Monthly Revenue (line) — 2025</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lotArea>
      <c:layout/>
      <c:barChart>
        <c:barDir val="col"/>
        <c:grouping val="clustered"/>
        <c:varyColors val="0"/>
        <c:ser>
          <c:idx val="0"/>
          <c:order val="0"/>
          <c:tx>
            <c:v>Monthly Volume</c:v>
          </c:tx>
          <c:spPr>
            <a:solidFill>
              <a:srgbClr val="9DC3E6"/>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Obj5_Growth_Trajectory!$B$7:$B$18</c:f>
              <c:numCache>
                <c:formatCode>mmm\ 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Obj5_Growth_Trajectory!$D$7:$D$18</c:f>
              <c:numCache>
                <c:formatCode>#,##0</c:formatCode>
                <c:ptCount val="12"/>
                <c:pt idx="0">
                  <c:v>183</c:v>
                </c:pt>
                <c:pt idx="1">
                  <c:v>204</c:v>
                </c:pt>
                <c:pt idx="2">
                  <c:v>217</c:v>
                </c:pt>
                <c:pt idx="3">
                  <c:v>184</c:v>
                </c:pt>
                <c:pt idx="4">
                  <c:v>189</c:v>
                </c:pt>
                <c:pt idx="5">
                  <c:v>224</c:v>
                </c:pt>
                <c:pt idx="6">
                  <c:v>207</c:v>
                </c:pt>
                <c:pt idx="7">
                  <c:v>204</c:v>
                </c:pt>
                <c:pt idx="8">
                  <c:v>193</c:v>
                </c:pt>
                <c:pt idx="9">
                  <c:v>250</c:v>
                </c:pt>
                <c:pt idx="10">
                  <c:v>211</c:v>
                </c:pt>
                <c:pt idx="11">
                  <c:v>234</c:v>
                </c:pt>
              </c:numCache>
            </c:numRef>
          </c:val>
          <c:extLst>
            <c:ext xmlns:c16="http://schemas.microsoft.com/office/drawing/2014/chart" uri="{C3380CC4-5D6E-409C-BE32-E72D297353CC}">
              <c16:uniqueId val="{00000002-22A5-44C0-9DE1-AEA476FB7AE3}"/>
            </c:ext>
          </c:extLst>
        </c:ser>
        <c:dLbls>
          <c:showLegendKey val="0"/>
          <c:showVal val="0"/>
          <c:showCatName val="0"/>
          <c:showSerName val="0"/>
          <c:showPercent val="0"/>
          <c:showBubbleSize val="0"/>
        </c:dLbls>
        <c:gapWidth val="60"/>
        <c:overlap val="-27"/>
        <c:axId val="822960767"/>
        <c:axId val="822962015"/>
      </c:barChart>
      <c:lineChart>
        <c:grouping val="standard"/>
        <c:varyColors val="0"/>
        <c:ser>
          <c:idx val="1"/>
          <c:order val="1"/>
          <c:tx>
            <c:v>Monthly Revenue (₦) — right axis</c:v>
          </c:tx>
          <c:spPr>
            <a:ln w="34925" cap="rnd">
              <a:solidFill>
                <a:srgbClr val="1F4E78"/>
              </a:solidFill>
              <a:round/>
            </a:ln>
            <a:effectLst/>
          </c:spPr>
          <c:marker>
            <c:symbol val="circle"/>
            <c:size val="7"/>
            <c:spPr>
              <a:solidFill>
                <a:srgbClr val="1F4E78"/>
              </a:solidFill>
              <a:ln w="25400">
                <a:solidFill>
                  <a:srgbClr val="1F4E78"/>
                </a:solidFill>
                <a:prstDash val="solid"/>
              </a:ln>
              <a:effectLst/>
            </c:spPr>
          </c:marker>
          <c:cat>
            <c:numRef>
              <c:f>Obj5_Growth_Trajectory!$B$7:$B$18</c:f>
              <c:numCache>
                <c:formatCode>mmm\ yyyy</c:formatCode>
                <c:ptCount val="12"/>
                <c:pt idx="0">
                  <c:v>45658</c:v>
                </c:pt>
                <c:pt idx="1">
                  <c:v>45689</c:v>
                </c:pt>
                <c:pt idx="2">
                  <c:v>45717</c:v>
                </c:pt>
                <c:pt idx="3">
                  <c:v>45748</c:v>
                </c:pt>
                <c:pt idx="4">
                  <c:v>45778</c:v>
                </c:pt>
                <c:pt idx="5">
                  <c:v>45809</c:v>
                </c:pt>
                <c:pt idx="6">
                  <c:v>45839</c:v>
                </c:pt>
                <c:pt idx="7">
                  <c:v>45870</c:v>
                </c:pt>
                <c:pt idx="8">
                  <c:v>45901</c:v>
                </c:pt>
                <c:pt idx="9">
                  <c:v>45931</c:v>
                </c:pt>
                <c:pt idx="10">
                  <c:v>45962</c:v>
                </c:pt>
                <c:pt idx="11">
                  <c:v>45992</c:v>
                </c:pt>
              </c:numCache>
            </c:numRef>
          </c:cat>
          <c:val>
            <c:numRef>
              <c:f>Obj5_Growth_Trajectory!$C$7:$C$18</c:f>
              <c:numCache>
                <c:formatCode>"₦"#,##0.00</c:formatCode>
                <c:ptCount val="12"/>
                <c:pt idx="0">
                  <c:v>2613872.8900000006</c:v>
                </c:pt>
                <c:pt idx="1">
                  <c:v>2676223.5099999988</c:v>
                </c:pt>
                <c:pt idx="2">
                  <c:v>3658525.8599999989</c:v>
                </c:pt>
                <c:pt idx="3">
                  <c:v>2410304.2399999984</c:v>
                </c:pt>
                <c:pt idx="4">
                  <c:v>2581277.8500000015</c:v>
                </c:pt>
                <c:pt idx="5">
                  <c:v>4089023.8099999991</c:v>
                </c:pt>
                <c:pt idx="6">
                  <c:v>2958096.8900000029</c:v>
                </c:pt>
                <c:pt idx="7">
                  <c:v>2919927.9800000004</c:v>
                </c:pt>
                <c:pt idx="8">
                  <c:v>3029489.3800000004</c:v>
                </c:pt>
                <c:pt idx="9">
                  <c:v>3729052.54</c:v>
                </c:pt>
                <c:pt idx="10">
                  <c:v>3039172.7900000005</c:v>
                </c:pt>
                <c:pt idx="11">
                  <c:v>3258274.870000001</c:v>
                </c:pt>
              </c:numCache>
            </c:numRef>
          </c:val>
          <c:smooth val="0"/>
          <c:extLst>
            <c:ext xmlns:c16="http://schemas.microsoft.com/office/drawing/2014/chart" uri="{C3380CC4-5D6E-409C-BE32-E72D297353CC}">
              <c16:uniqueId val="{00000003-22A5-44C0-9DE1-AEA476FB7AE3}"/>
            </c:ext>
          </c:extLst>
        </c:ser>
        <c:dLbls>
          <c:showLegendKey val="0"/>
          <c:showVal val="0"/>
          <c:showCatName val="0"/>
          <c:showSerName val="0"/>
          <c:showPercent val="0"/>
          <c:showBubbleSize val="0"/>
        </c:dLbls>
        <c:marker val="1"/>
        <c:smooth val="0"/>
        <c:axId val="822956607"/>
        <c:axId val="822958271"/>
      </c:lineChart>
      <c:catAx>
        <c:axId val="822960767"/>
        <c:scaling>
          <c:orientation val="minMax"/>
        </c:scaling>
        <c:delete val="0"/>
        <c:axPos val="b"/>
        <c:numFmt formatCode="mmm"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962015"/>
        <c:crosses val="autoZero"/>
        <c:auto val="0"/>
        <c:lblAlgn val="ctr"/>
        <c:lblOffset val="100"/>
        <c:noMultiLvlLbl val="0"/>
      </c:catAx>
      <c:valAx>
        <c:axId val="822962015"/>
        <c:scaling>
          <c:orientation val="minMax"/>
          <c:min val="0"/>
        </c:scaling>
        <c:delete val="0"/>
        <c:axPos val="l"/>
        <c:majorGridlines>
          <c:spPr>
            <a:ln w="9525" cap="flat" cmpd="sng" algn="ctr">
              <a:solidFill>
                <a:srgbClr val="E7E6E6"/>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960767"/>
        <c:crosses val="autoZero"/>
        <c:crossBetween val="between"/>
      </c:valAx>
      <c:valAx>
        <c:axId val="822958271"/>
        <c:scaling>
          <c:orientation val="minMax"/>
          <c:min val="0"/>
        </c:scaling>
        <c:delete val="0"/>
        <c:axPos val="r"/>
        <c:numFmt formatCode="&quot;₦&quot;#,##0.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2956607"/>
        <c:crosses val="max"/>
        <c:crossBetween val="between"/>
      </c:valAx>
      <c:dateAx>
        <c:axId val="822956607"/>
        <c:scaling>
          <c:orientation val="minMax"/>
        </c:scaling>
        <c:delete val="1"/>
        <c:axPos val="b"/>
        <c:numFmt formatCode="mmm\ yyyy" sourceLinked="1"/>
        <c:majorTickMark val="out"/>
        <c:minorTickMark val="none"/>
        <c:tickLblPos val="nextTo"/>
        <c:crossAx val="822958271"/>
        <c:auto val="1"/>
        <c:lblOffset val="100"/>
        <c:baseTimeUnit val="months"/>
      </c:date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[FinTech_Transaction_Analysis_Executive_Workbook.xlsx]Pivot_Engine!ptMonth</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Monthly Revenue Trend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ivotFmts>
      <c:pivotFmt>
        <c:idx val="0"/>
        <c:spPr>
          <a:ln w="34925" cap="rnd">
            <a:solidFill>
              <a:srgbClr val="1F4E78"/>
            </a:solidFill>
            <a:round/>
          </a:ln>
          <a:effectLst/>
        </c:spPr>
        <c:marker>
          <c:symbol val="circle"/>
          <c:size val="7"/>
          <c:spPr>
            <a:solidFill>
              <a:srgbClr val="1F4E78"/>
            </a:solidFill>
            <a:ln w="25400">
              <a:solidFill>
                <a:srgbClr val="1F4E78"/>
              </a:solidFill>
              <a:prstDash val="solid"/>
            </a:ln>
            <a:effectLst/>
          </c:spPr>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Pivot_Engine!$J$15</c:f>
              <c:strCache>
                <c:ptCount val="1"/>
                <c:pt idx="0">
                  <c:v>Total</c:v>
                </c:pt>
              </c:strCache>
            </c:strRef>
          </c:tx>
          <c:spPr>
            <a:ln w="34925" cap="rnd">
              <a:solidFill>
                <a:srgbClr val="1F4E78"/>
              </a:solidFill>
              <a:round/>
            </a:ln>
            <a:effectLst/>
          </c:spPr>
          <c:marker>
            <c:symbol val="circle"/>
            <c:size val="7"/>
            <c:spPr>
              <a:solidFill>
                <a:srgbClr val="1F4E78"/>
              </a:solidFill>
              <a:ln w="25400">
                <a:solidFill>
                  <a:srgbClr val="1F4E78"/>
                </a:solidFill>
                <a:prstDash val="solid"/>
              </a:ln>
              <a:effectLst/>
            </c:spPr>
          </c:marker>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Pivot_Engine!$I$16:$I$28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Pivot_Engine!$J$16:$J$28</c:f>
              <c:numCache>
                <c:formatCode>"₦"#,##0.00</c:formatCode>
                <c:ptCount val="12"/>
                <c:pt idx="0">
                  <c:v>2613872.8900000006</c:v>
                </c:pt>
                <c:pt idx="1">
                  <c:v>2676223.5099999988</c:v>
                </c:pt>
                <c:pt idx="2">
                  <c:v>3658525.8599999989</c:v>
                </c:pt>
                <c:pt idx="3">
                  <c:v>2410304.2399999984</c:v>
                </c:pt>
                <c:pt idx="4">
                  <c:v>2581277.8500000015</c:v>
                </c:pt>
                <c:pt idx="5">
                  <c:v>4089023.8099999991</c:v>
                </c:pt>
                <c:pt idx="6">
                  <c:v>2958096.8900000029</c:v>
                </c:pt>
                <c:pt idx="7">
                  <c:v>2919927.9800000004</c:v>
                </c:pt>
                <c:pt idx="8">
                  <c:v>3029489.3800000004</c:v>
                </c:pt>
                <c:pt idx="9">
                  <c:v>3729052.54</c:v>
                </c:pt>
                <c:pt idx="10">
                  <c:v>3039172.7900000005</c:v>
                </c:pt>
                <c:pt idx="11">
                  <c:v>3258274.870000001</c:v>
                </c:pt>
              </c:numCache>
            </c:numRef>
          </c:val>
          <c:smooth val="0"/>
          <c:extLst>
            <c:ext xmlns:c16="http://schemas.microsoft.com/office/drawing/2014/chart" uri="{C3380CC4-5D6E-409C-BE32-E72D297353CC}">
              <c16:uniqueId val="{00000003-5A27-4661-B466-7563426029AA}"/>
            </c:ext>
          </c:extLst>
        </c:ser>
        <c:dLbls>
          <c:showLegendKey val="0"/>
          <c:showVal val="0"/>
          <c:showCatName val="0"/>
          <c:showSerName val="0"/>
          <c:showPercent val="0"/>
          <c:showBubbleSize val="0"/>
        </c:dLbls>
        <c:marker val="1"/>
        <c:smooth val="0"/>
        <c:axId val="826230383"/>
        <c:axId val="826229551"/>
      </c:lineChart>
      <c:catAx>
        <c:axId val="8262303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6229551"/>
        <c:crosses val="autoZero"/>
        <c:auto val="1"/>
        <c:lblAlgn val="ctr"/>
        <c:lblOffset val="100"/>
        <c:noMultiLvlLbl val="0"/>
      </c:catAx>
      <c:valAx>
        <c:axId val="826229551"/>
        <c:scaling>
          <c:orientation val="minMax"/>
          <c:min val="0"/>
        </c:scaling>
        <c:delete val="0"/>
        <c:axPos val="l"/>
        <c:majorGridlines>
          <c:spPr>
            <a:ln w="9525" cap="flat" cmpd="sng" algn="ctr">
              <a:solidFill>
                <a:srgbClr val="E7E6E6"/>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6230383"/>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[FinTech_Transaction_Analysis_Executive_Workbook.xlsx]Pivot_Engine!ptState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State Revenue Distribution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ivotFmts>
      <c:pivotFmt>
        <c:idx val="0"/>
        <c:spPr>
          <a:solidFill>
            <a:srgbClr val="1F4E78"/>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Pivot_Engine!$N$15</c:f>
              <c:strCache>
                <c:ptCount val="1"/>
                <c:pt idx="0">
                  <c:v>Total</c:v>
                </c:pt>
              </c:strCache>
            </c:strRef>
          </c:tx>
          <c:spPr>
            <a:solidFill>
              <a:srgbClr val="1F4E78"/>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Pivot_Engine!$M$16:$M$26</c:f>
              <c:strCache>
                <c:ptCount val="10"/>
                <c:pt idx="0">
                  <c:v>Lagos</c:v>
                </c:pt>
                <c:pt idx="1">
                  <c:v>Kano</c:v>
                </c:pt>
                <c:pt idx="2">
                  <c:v>Oyo</c:v>
                </c:pt>
                <c:pt idx="3">
                  <c:v>FCT Abuja</c:v>
                </c:pt>
                <c:pt idx="4">
                  <c:v>Rivers</c:v>
                </c:pt>
                <c:pt idx="5">
                  <c:v>Delta</c:v>
                </c:pt>
                <c:pt idx="6">
                  <c:v>Ogun</c:v>
                </c:pt>
                <c:pt idx="7">
                  <c:v>Edo</c:v>
                </c:pt>
                <c:pt idx="8">
                  <c:v>Kaduna</c:v>
                </c:pt>
                <c:pt idx="9">
                  <c:v>Enugu</c:v>
                </c:pt>
              </c:strCache>
            </c:strRef>
          </c:cat>
          <c:val>
            <c:numRef>
              <c:f>Pivot_Engine!$N$16:$N$26</c:f>
              <c:numCache>
                <c:formatCode>"₦"#,##0.00</c:formatCode>
                <c:ptCount val="10"/>
                <c:pt idx="0">
                  <c:v>14255386.969999999</c:v>
                </c:pt>
                <c:pt idx="1">
                  <c:v>4166745.1300000013</c:v>
                </c:pt>
                <c:pt idx="2">
                  <c:v>3305333.8099999982</c:v>
                </c:pt>
                <c:pt idx="3">
                  <c:v>3304556.46</c:v>
                </c:pt>
                <c:pt idx="4">
                  <c:v>2910052.3000000012</c:v>
                </c:pt>
                <c:pt idx="5">
                  <c:v>2519131.7300000009</c:v>
                </c:pt>
                <c:pt idx="6">
                  <c:v>2317869.27</c:v>
                </c:pt>
                <c:pt idx="7">
                  <c:v>1595024.56</c:v>
                </c:pt>
                <c:pt idx="8">
                  <c:v>1334629.060000001</c:v>
                </c:pt>
                <c:pt idx="9">
                  <c:v>1254513.3199999996</c:v>
                </c:pt>
              </c:numCache>
            </c:numRef>
          </c:val>
          <c:extLst>
            <c:ext xmlns:c16="http://schemas.microsoft.com/office/drawing/2014/chart" uri="{C3380CC4-5D6E-409C-BE32-E72D297353CC}">
              <c16:uniqueId val="{00000003-C8F4-4E2F-A6B7-E1B2554ADCF8}"/>
            </c:ext>
          </c:extLst>
        </c:ser>
        <c:dLbls>
          <c:showLegendKey val="0"/>
          <c:showVal val="0"/>
          <c:showCatName val="0"/>
          <c:showSerName val="0"/>
          <c:showPercent val="0"/>
          <c:showBubbleSize val="0"/>
        </c:dLbls>
        <c:gapWidth val="50"/>
        <c:axId val="828104207"/>
        <c:axId val="828104623"/>
      </c:barChart>
      <c:catAx>
        <c:axId val="8281042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8104623"/>
        <c:crosses val="autoZero"/>
        <c:auto val="1"/>
        <c:lblAlgn val="ctr"/>
        <c:lblOffset val="100"/>
        <c:noMultiLvlLbl val="0"/>
      </c:catAx>
      <c:valAx>
        <c:axId val="828104623"/>
        <c:scaling>
          <c:orientation val="minMax"/>
        </c:scaling>
        <c:delete val="0"/>
        <c:axPos val="t"/>
        <c:majorGridlines>
          <c:spPr>
            <a:ln w="9525" cap="flat" cmpd="sng" algn="ctr">
              <a:solidFill>
                <a:srgbClr val="E7E6E6"/>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8104207"/>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[FinTech_Transaction_Analysis_Executive_Workbook.xlsx]Pivot_Engine!ptProduct</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Revenue by Product Type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ivotFmts>
      <c:pivotFmt>
        <c:idx val="0"/>
        <c:spPr>
          <a:solidFill>
            <a:srgbClr val="2E75B6"/>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Pivot_Engine!$R$15</c:f>
              <c:strCache>
                <c:ptCount val="1"/>
                <c:pt idx="0">
                  <c:v>Total</c:v>
                </c:pt>
              </c:strCache>
            </c:strRef>
          </c:tx>
          <c:spPr>
            <a:solidFill>
              <a:srgbClr val="2E75B6"/>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rgbClr val="595959"/>
                    </a:solidFill>
                    <a:latin typeface="Calibri" panose="020F050202020403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Pivot_Engine!$Q$16:$Q$21</c:f>
              <c:strCache>
                <c:ptCount val="5"/>
                <c:pt idx="0">
                  <c:v>Transfer</c:v>
                </c:pt>
                <c:pt idx="1">
                  <c:v>Bill Payment</c:v>
                </c:pt>
                <c:pt idx="2">
                  <c:v>POS Payment</c:v>
                </c:pt>
                <c:pt idx="3">
                  <c:v>Card Withdrawal</c:v>
                </c:pt>
                <c:pt idx="4">
                  <c:v>Airtime/Data</c:v>
                </c:pt>
              </c:strCache>
            </c:strRef>
          </c:cat>
          <c:val>
            <c:numRef>
              <c:f>Pivot_Engine!$R$16:$R$21</c:f>
              <c:numCache>
                <c:formatCode>"₦"#,##0.00</c:formatCode>
                <c:ptCount val="5"/>
                <c:pt idx="0">
                  <c:v>27884106.860000007</c:v>
                </c:pt>
                <c:pt idx="1">
                  <c:v>4243869.8400000008</c:v>
                </c:pt>
                <c:pt idx="2">
                  <c:v>2171603.6199999982</c:v>
                </c:pt>
                <c:pt idx="3">
                  <c:v>1530000</c:v>
                </c:pt>
                <c:pt idx="4">
                  <c:v>1133662.29</c:v>
                </c:pt>
              </c:numCache>
            </c:numRef>
          </c:val>
          <c:extLst>
            <c:ext xmlns:c16="http://schemas.microsoft.com/office/drawing/2014/chart" uri="{C3380CC4-5D6E-409C-BE32-E72D297353CC}">
              <c16:uniqueId val="{00000003-7F92-4771-AF30-11AE4340FA78}"/>
            </c:ext>
          </c:extLst>
        </c:ser>
        <c:dLbls>
          <c:showLegendKey val="0"/>
          <c:showVal val="0"/>
          <c:showCatName val="0"/>
          <c:showSerName val="0"/>
          <c:showPercent val="0"/>
          <c:showBubbleSize val="0"/>
        </c:dLbls>
        <c:gapWidth val="50"/>
        <c:overlap val="-27"/>
        <c:axId val="828098799"/>
        <c:axId val="828102127"/>
      </c:barChart>
      <c:catAx>
        <c:axId val="8280987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8102127"/>
        <c:crosses val="autoZero"/>
        <c:auto val="1"/>
        <c:lblAlgn val="ctr"/>
        <c:lblOffset val="100"/>
        <c:noMultiLvlLbl val="0"/>
      </c:catAx>
      <c:valAx>
        <c:axId val="828102127"/>
        <c:scaling>
          <c:orientation val="minMax"/>
        </c:scaling>
        <c:delete val="0"/>
        <c:axPos val="l"/>
        <c:majorGridlines>
          <c:spPr>
            <a:ln w="9525" cap="flat" cmpd="sng" algn="ctr">
              <a:solidFill>
                <a:srgbClr val="E7E6E6"/>
              </a:solidFill>
              <a:round/>
            </a:ln>
            <a:effectLst/>
          </c:spPr>
        </c:majorGridlines>
        <c:numFmt formatCode="&quot;₦&quot;#,##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crossAx val="828098799"/>
        <c:crosses val="autoZero"/>
        <c:crossBetween val="between"/>
      </c:valAx>
      <c:spPr>
        <a:noFill/>
        <a:ln>
          <a:noFill/>
        </a:ln>
        <a:effectLst/>
      </c:spPr>
    </c:plotArea>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[FinTech_Transaction_Analysis_Executive_Workbook.xlsx]Pivot_Engine!ptStatus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r>
              <a:rPr lang="en-US"/>
              <a:t>Operational Health (Transaction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00"/>
                  </a:solidFill>
                  <a:latin typeface="Calibri" panose="020F0502020204030204" pitchFamily="34" charset="0"/>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E59866"/>
          </a:solidFill>
          <a:ln w="19050">
            <a:solidFill>
              <a:srgbClr val="FFFFFF"/>
            </a:solidFill>
          </a:ln>
          <a:effectLst/>
        </c:spPr>
      </c:pivotFmt>
      <c:pivotFmt>
        <c:idx val="2"/>
        <c:spPr>
          <a:solidFill>
            <a:srgbClr val="9DC3E6"/>
          </a:solidFill>
          <a:ln w="19050">
            <a:solidFill>
              <a:srgbClr val="FFFFFF"/>
            </a:solidFill>
          </a:ln>
          <a:effectLst/>
        </c:spPr>
      </c:pivotFmt>
      <c:pivotFmt>
        <c:idx val="3"/>
        <c:spPr>
          <a:solidFill>
            <a:srgbClr val="1F4E78"/>
          </a:solidFill>
          <a:ln w="19050">
            <a:solidFill>
              <a:srgbClr val="FFFFFF"/>
            </a:solidFill>
          </a:ln>
          <a:effectLst/>
        </c:spPr>
      </c:pivotFmt>
    </c:pivotFmts>
    <c:plotArea>
      <c:layout/>
      <c:doughnutChart>
        <c:varyColors val="1"/>
        <c:ser>
          <c:idx val="0"/>
          <c:order val="0"/>
          <c:tx>
            <c:strRef>
              <c:f>Pivot_Engine!$F$15</c:f>
              <c:strCache>
                <c:ptCount val="1"/>
                <c:pt idx="0">
                  <c:v>Total</c:v>
                </c:pt>
              </c:strCache>
            </c:strRef>
          </c:tx>
          <c:dPt>
            <c:idx val="0"/>
            <c:bubble3D val="0"/>
            <c:spPr>
              <a:solidFill>
                <a:srgbClr val="E59866"/>
              </a:solidFill>
              <a:ln w="19050">
                <a:solidFill>
                  <a:srgbClr val="FFFFFF"/>
                </a:solidFill>
              </a:ln>
              <a:effectLst/>
            </c:spPr>
            <c:extLst>
              <c:ext xmlns:c16="http://schemas.microsoft.com/office/drawing/2014/chart" uri="{C3380CC4-5D6E-409C-BE32-E72D297353CC}">
                <c16:uniqueId val="{00000004-F9D0-4FA3-992D-E404BC133D19}"/>
              </c:ext>
            </c:extLst>
          </c:dPt>
          <c:dPt>
            <c:idx val="1"/>
            <c:bubble3D val="0"/>
            <c:spPr>
              <a:solidFill>
                <a:srgbClr val="9DC3E6"/>
              </a:solidFill>
              <a:ln w="19050">
                <a:solidFill>
                  <a:srgbClr val="FFFFFF"/>
                </a:solidFill>
              </a:ln>
              <a:effectLst/>
            </c:spPr>
            <c:extLst>
              <c:ext xmlns:c16="http://schemas.microsoft.com/office/drawing/2014/chart" uri="{C3380CC4-5D6E-409C-BE32-E72D297353CC}">
                <c16:uniqueId val="{00000005-F9D0-4FA3-992D-E404BC133D19}"/>
              </c:ext>
            </c:extLst>
          </c:dPt>
          <c:dPt>
            <c:idx val="2"/>
            <c:bubble3D val="0"/>
            <c:spPr>
              <a:solidFill>
                <a:srgbClr val="1F4E78"/>
              </a:solidFill>
              <a:ln w="19050">
                <a:solidFill>
                  <a:srgbClr val="FFFFFF"/>
                </a:solidFill>
              </a:ln>
              <a:effectLst/>
            </c:spPr>
            <c:extLst>
              <c:ext xmlns:c16="http://schemas.microsoft.com/office/drawing/2014/chart" uri="{C3380CC4-5D6E-409C-BE32-E72D297353CC}">
                <c16:uniqueId val="{00000006-F9D0-4FA3-992D-E404BC133D19}"/>
              </c:ext>
            </c:extLst>
          </c:dPt>
          <c:dLbls>
            <c:numFmt formatCode="0.0%"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rgbClr val="000000"/>
                    </a:solidFill>
                    <a:latin typeface="Calibri" panose="020F0502020204030204" pitchFamily="34" charset="0"/>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Pivot_Engine!$E$16:$E$19</c:f>
              <c:strCache>
                <c:ptCount val="3"/>
                <c:pt idx="0">
                  <c:v>Failed</c:v>
                </c:pt>
                <c:pt idx="1">
                  <c:v>Pending</c:v>
                </c:pt>
                <c:pt idx="2">
                  <c:v>Successful</c:v>
                </c:pt>
              </c:strCache>
            </c:strRef>
          </c:cat>
          <c:val>
            <c:numRef>
              <c:f>Pivot_Engine!$F$16:$F$19</c:f>
              <c:numCache>
                <c:formatCode>#,##0</c:formatCode>
                <c:ptCount val="3"/>
                <c:pt idx="0">
                  <c:v>239</c:v>
                </c:pt>
                <c:pt idx="1">
                  <c:v>53</c:v>
                </c:pt>
                <c:pt idx="2">
                  <c:v>2208</c:v>
                </c:pt>
              </c:numCache>
            </c:numRef>
          </c:val>
          <c:extLst>
            <c:ext xmlns:c16="http://schemas.microsoft.com/office/drawing/2014/chart" uri="{C3380CC4-5D6E-409C-BE32-E72D297353CC}">
              <c16:uniqueId val="{00000003-F9D0-4FA3-992D-E404BC133D19}"/>
            </c:ext>
          </c:extLst>
        </c:ser>
        <c:dLbls>
          <c:showLegendKey val="0"/>
          <c:showVal val="0"/>
          <c:showCatName val="0"/>
          <c:showSerName val="0"/>
          <c:showPercent val="0"/>
          <c:showBubbleSize val="0"/>
          <c:showLeaderLines val="1"/>
        </c:dLbls>
        <c:firstSliceAng val="0"/>
        <c:holeSize val="58"/>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mn-ea"/>
              <a:cs typeface="+mn-cs"/>
            </a:defRPr>
          </a:pPr>
          <a:endParaRPr lang="en-US"/>
        </a:p>
      </c:txPr>
    </c:legend>
    <c:plotVisOnly val="1"/>
    <c:dispBlanksAs val="gap"/>
    <c:showDLblsOverMax val="0"/>
  </c:chart>
  <c:spPr>
    <a:solidFill>
      <a:srgbClr val="FFFFFF"/>
    </a:solidFill>
    <a:ln w="9525" cap="flat" cmpd="sng" algn="ctr">
      <a:solidFill>
        <a:srgbClr val="D9D9D9"/>
      </a:solidFill>
      <a:round/>
    </a:ln>
    <a:effectLst/>
  </c:spPr>
  <c:txPr>
    <a:bodyPr/>
    <a:lstStyle/>
    <a:p>
      <a:pPr>
        <a:defRPr>
          <a:latin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8</xdr:col>
      <xdr:colOff>0</xdr:colOff>
      <xdr:row>4</xdr:row>
      <xdr:rowOff>0</xdr:rowOff>
    </xdr:from>
    <xdr:to>
      <xdr:col>16</xdr:col>
      <xdr:colOff>0</xdr:colOff>
      <xdr:row>25</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9</xdr:col>
      <xdr:colOff>0</xdr:colOff>
      <xdr:row>4</xdr:row>
      <xdr:rowOff>0</xdr:rowOff>
    </xdr:from>
    <xdr:to>
      <xdr:col>16</xdr:col>
      <xdr:colOff>0</xdr:colOff>
      <xdr:row>28</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10</xdr:col>
      <xdr:colOff>0</xdr:colOff>
      <xdr:row>4</xdr:row>
      <xdr:rowOff>0</xdr:rowOff>
    </xdr:from>
    <xdr:to>
      <xdr:col>19</xdr:col>
      <xdr:colOff>0</xdr:colOff>
      <xdr:row>26</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9</xdr:col>
      <xdr:colOff>0</xdr:colOff>
      <xdr:row>4</xdr:row>
      <xdr:rowOff>0</xdr:rowOff>
    </xdr:from>
    <xdr:to>
      <xdr:col>17</xdr:col>
      <xdr:colOff>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9</xdr:col>
      <xdr:colOff>0</xdr:colOff>
      <xdr:row>4</xdr:row>
      <xdr:rowOff>0</xdr:rowOff>
    </xdr:from>
    <xdr:to>
      <xdr:col>19</xdr:col>
      <xdr:colOff>0</xdr:colOff>
      <xdr:row>27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190500</xdr:colOff>
      <xdr:row>4</xdr:row>
      <xdr:rowOff>182880</xdr:rowOff>
    </xdr:from>
    <xdr:to>
      <xdr:col>11</xdr:col>
      <xdr:colOff>46821</xdr:colOff>
      <xdr:row>11</xdr:row>
      <xdr:rowOff>98213</xdr:rowOff>
    </xdr:to>
    <mc:AlternateContent xmlns:mc="http://schemas.openxmlformats.org/markup-compatibility/2006">
      <mc:Choice xmlns:a14="http://schemas.microsoft.com/office/drawing/2010/main" Requires="a14">
        <xdr:graphicFrame macro="">
          <xdr:nvGraphicFramePr>
            <xdr:cNvPr id="2" name="State"/>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190500" y="1097280"/>
              <a:ext cx="7476321" cy="1182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199221</xdr:colOff>
      <xdr:row>4</xdr:row>
      <xdr:rowOff>182880</xdr:rowOff>
    </xdr:from>
    <xdr:to>
      <xdr:col>17</xdr:col>
      <xdr:colOff>362077</xdr:colOff>
      <xdr:row>11</xdr:row>
      <xdr:rowOff>98213</xdr:rowOff>
    </xdr:to>
    <mc:AlternateContent xmlns:mc="http://schemas.openxmlformats.org/markup-compatibility/2006">
      <mc:Choice xmlns:a14="http://schemas.microsoft.com/office/drawing/2010/main" Requires="a14">
        <xdr:graphicFrame macro="">
          <xdr:nvGraphicFramePr>
            <xdr:cNvPr id="3" name="Account_Type"/>
            <xdr:cNvGraphicFramePr/>
          </xdr:nvGraphicFramePr>
          <xdr:xfrm>
            <a:off x="0" y="0"/>
            <a:ext cx="0" cy="0"/>
          </xdr:xfrm>
          <a:graphic>
            <a:graphicData uri="http://schemas.microsoft.com/office/drawing/2010/slicer">
              <sle:slicer xmlns:sle="http://schemas.microsoft.com/office/drawing/2010/slicer" name="Account_Type"/>
            </a:graphicData>
          </a:graphic>
        </xdr:graphicFrame>
      </mc:Choice>
      <mc:Fallback>
        <xdr:sp macro="" textlink="">
          <xdr:nvSpPr>
            <xdr:cNvPr id="0" name=""/>
            <xdr:cNvSpPr>
              <a:spLocks noTextEdit="1"/>
            </xdr:cNvSpPr>
          </xdr:nvSpPr>
          <xdr:spPr>
            <a:xfrm>
              <a:off x="7819221" y="1097280"/>
              <a:ext cx="4344331" cy="1182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514477</xdr:colOff>
      <xdr:row>4</xdr:row>
      <xdr:rowOff>182880</xdr:rowOff>
    </xdr:from>
    <xdr:to>
      <xdr:col>23</xdr:col>
      <xdr:colOff>203200</xdr:colOff>
      <xdr:row>11</xdr:row>
      <xdr:rowOff>98213</xdr:rowOff>
    </xdr:to>
    <mc:AlternateContent xmlns:mc="http://schemas.openxmlformats.org/markup-compatibility/2006">
      <mc:Choice xmlns:a14="http://schemas.microsoft.com/office/drawing/2010/main" Requires="a14">
        <xdr:graphicFrame macro="">
          <xdr:nvGraphicFramePr>
            <xdr:cNvPr id="4" name="Payment_Method"/>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dr:sp macro="" textlink="">
          <xdr:nvSpPr>
            <xdr:cNvPr id="0" name=""/>
            <xdr:cNvSpPr>
              <a:spLocks noTextEdit="1"/>
            </xdr:cNvSpPr>
          </xdr:nvSpPr>
          <xdr:spPr>
            <a:xfrm>
              <a:off x="12315952" y="1097280"/>
              <a:ext cx="4308348" cy="11821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12</xdr:row>
      <xdr:rowOff>116840</xdr:rowOff>
    </xdr:from>
    <xdr:to>
      <xdr:col>5</xdr:col>
      <xdr:colOff>190500</xdr:colOff>
      <xdr:row>18</xdr:row>
      <xdr:rowOff>60960</xdr:rowOff>
    </xdr:to>
    <xdr:sp macro="" textlink="">
      <xdr:nvSpPr>
        <xdr:cNvPr id="5" name="card_0"/>
        <xdr:cNvSpPr/>
      </xdr:nvSpPr>
      <xdr:spPr>
        <a:xfrm>
          <a:off x="190500" y="2494280"/>
          <a:ext cx="3147060" cy="1041400"/>
        </a:xfrm>
        <a:prstGeom prst="roundRect">
          <a:avLst>
            <a:gd name="adj" fmla="val 8000"/>
          </a:avLst>
        </a:prstGeom>
        <a:solidFill>
          <a:srgbClr val="D9E1F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0</xdr:colOff>
      <xdr:row>13</xdr:row>
      <xdr:rowOff>35560</xdr:rowOff>
    </xdr:from>
    <xdr:to>
      <xdr:col>1</xdr:col>
      <xdr:colOff>63500</xdr:colOff>
      <xdr:row>17</xdr:row>
      <xdr:rowOff>142240</xdr:rowOff>
    </xdr:to>
    <xdr:sp macro="" textlink="">
      <xdr:nvSpPr>
        <xdr:cNvPr id="6" name="Rectangle 5"/>
        <xdr:cNvSpPr/>
      </xdr:nvSpPr>
      <xdr:spPr>
        <a:xfrm>
          <a:off x="190500" y="2595880"/>
          <a:ext cx="63500" cy="838200"/>
        </a:xfrm>
        <a:prstGeom prst="rect">
          <a:avLst/>
        </a:prstGeom>
        <a:solidFill>
          <a:srgbClr val="1F4E78"/>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152400</xdr:colOff>
      <xdr:row>13</xdr:row>
      <xdr:rowOff>10160</xdr:rowOff>
    </xdr:from>
    <xdr:to>
      <xdr:col>5</xdr:col>
      <xdr:colOff>114300</xdr:colOff>
      <xdr:row>14</xdr:row>
      <xdr:rowOff>55880</xdr:rowOff>
    </xdr:to>
    <xdr:sp macro="" textlink="">
      <xdr:nvSpPr>
        <xdr:cNvPr id="7" name="TextBox 6"/>
        <xdr:cNvSpPr txBox="1"/>
      </xdr:nvSpPr>
      <xdr:spPr>
        <a:xfrm>
          <a:off x="342900" y="2570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r>
            <a:rPr lang="en-US" sz="1000" b="1">
              <a:solidFill>
                <a:srgbClr val="595959"/>
              </a:solidFill>
              <a:latin typeface="Calibri" panose="020F0502020204030204" pitchFamily="34" charset="0"/>
            </a:rPr>
            <a:t>TOTAL REVENUE</a:t>
          </a:r>
        </a:p>
      </xdr:txBody>
    </xdr:sp>
    <xdr:clientData/>
  </xdr:twoCellAnchor>
  <xdr:twoCellAnchor>
    <xdr:from>
      <xdr:col>1</xdr:col>
      <xdr:colOff>152400</xdr:colOff>
      <xdr:row>14</xdr:row>
      <xdr:rowOff>30480</xdr:rowOff>
    </xdr:from>
    <xdr:to>
      <xdr:col>5</xdr:col>
      <xdr:colOff>114300</xdr:colOff>
      <xdr:row>16</xdr:row>
      <xdr:rowOff>96520</xdr:rowOff>
    </xdr:to>
    <xdr:sp macro="" textlink="Pivot_Engine!$B$3">
      <xdr:nvSpPr>
        <xdr:cNvPr id="8" name="TextBox 7"/>
        <xdr:cNvSpPr txBox="1"/>
      </xdr:nvSpPr>
      <xdr:spPr>
        <a:xfrm>
          <a:off x="342900" y="2773680"/>
          <a:ext cx="291846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8B52D839-8086-459D-BB4C-97B37D7D50F5}" type="TxLink">
            <a:rPr lang="en-US" sz="2200" b="1" i="0" u="none" strike="noStrike">
              <a:solidFill>
                <a:srgbClr val="1F4E78"/>
              </a:solidFill>
              <a:latin typeface="Calibri" panose="020F0502020204030204" pitchFamily="34" charset="0"/>
              <a:cs typeface="Calibri"/>
            </a:rPr>
            <a:t>₦36,963,242.61</a:t>
          </a:fld>
          <a:endParaRPr lang="en-US" sz="2200" b="1">
            <a:solidFill>
              <a:srgbClr val="1F4E78"/>
            </a:solidFill>
            <a:latin typeface="Calibri" panose="020F0502020204030204" pitchFamily="34" charset="0"/>
          </a:endParaRPr>
        </a:p>
      </xdr:txBody>
    </xdr:sp>
    <xdr:clientData/>
  </xdr:twoCellAnchor>
  <xdr:twoCellAnchor>
    <xdr:from>
      <xdr:col>1</xdr:col>
      <xdr:colOff>152400</xdr:colOff>
      <xdr:row>16</xdr:row>
      <xdr:rowOff>96520</xdr:rowOff>
    </xdr:from>
    <xdr:to>
      <xdr:col>5</xdr:col>
      <xdr:colOff>114300</xdr:colOff>
      <xdr:row>17</xdr:row>
      <xdr:rowOff>142240</xdr:rowOff>
    </xdr:to>
    <xdr:sp macro="" textlink="Pivot_Engine!$C$3">
      <xdr:nvSpPr>
        <xdr:cNvPr id="9" name="TextBox 8"/>
        <xdr:cNvSpPr txBox="1"/>
      </xdr:nvSpPr>
      <xdr:spPr>
        <a:xfrm>
          <a:off x="342900" y="3205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82DB8287-8EB5-44DD-A351-791D3ECFAA72}" type="TxLink">
            <a:rPr lang="en-US" sz="900" b="0" i="0" u="none" strike="noStrike">
              <a:solidFill>
                <a:srgbClr val="595959"/>
              </a:solidFill>
              <a:latin typeface="Calibri" panose="020F0502020204030204" pitchFamily="34" charset="0"/>
              <a:cs typeface="Calibri"/>
            </a:rPr>
            <a:t>Attempted value · all statuses</a:t>
          </a:fld>
          <a:endParaRPr lang="en-US" sz="900" b="0">
            <a:solidFill>
              <a:srgbClr val="595959"/>
            </a:solidFill>
            <a:latin typeface="Calibri" panose="020F0502020204030204" pitchFamily="34" charset="0"/>
          </a:endParaRPr>
        </a:p>
      </xdr:txBody>
    </xdr:sp>
    <xdr:clientData/>
  </xdr:twoCellAnchor>
  <xdr:twoCellAnchor>
    <xdr:from>
      <xdr:col>5</xdr:col>
      <xdr:colOff>342900</xdr:colOff>
      <xdr:row>12</xdr:row>
      <xdr:rowOff>116840</xdr:rowOff>
    </xdr:from>
    <xdr:to>
      <xdr:col>9</xdr:col>
      <xdr:colOff>533400</xdr:colOff>
      <xdr:row>18</xdr:row>
      <xdr:rowOff>60960</xdr:rowOff>
    </xdr:to>
    <xdr:sp macro="" textlink="">
      <xdr:nvSpPr>
        <xdr:cNvPr id="10" name="card_1"/>
        <xdr:cNvSpPr/>
      </xdr:nvSpPr>
      <xdr:spPr>
        <a:xfrm>
          <a:off x="3489960" y="2494280"/>
          <a:ext cx="3147060" cy="1041400"/>
        </a:xfrm>
        <a:prstGeom prst="roundRect">
          <a:avLst>
            <a:gd name="adj" fmla="val 8000"/>
          </a:avLst>
        </a:prstGeom>
        <a:solidFill>
          <a:srgbClr val="D9E1F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342900</xdr:colOff>
      <xdr:row>13</xdr:row>
      <xdr:rowOff>35560</xdr:rowOff>
    </xdr:from>
    <xdr:to>
      <xdr:col>5</xdr:col>
      <xdr:colOff>406400</xdr:colOff>
      <xdr:row>17</xdr:row>
      <xdr:rowOff>142240</xdr:rowOff>
    </xdr:to>
    <xdr:sp macro="" textlink="">
      <xdr:nvSpPr>
        <xdr:cNvPr id="11" name="Rectangle 10"/>
        <xdr:cNvSpPr/>
      </xdr:nvSpPr>
      <xdr:spPr>
        <a:xfrm>
          <a:off x="3489960" y="2595880"/>
          <a:ext cx="63500" cy="838200"/>
        </a:xfrm>
        <a:prstGeom prst="rect">
          <a:avLst/>
        </a:prstGeom>
        <a:solidFill>
          <a:srgbClr val="1F4E78"/>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495300</xdr:colOff>
      <xdr:row>13</xdr:row>
      <xdr:rowOff>10160</xdr:rowOff>
    </xdr:from>
    <xdr:to>
      <xdr:col>9</xdr:col>
      <xdr:colOff>457200</xdr:colOff>
      <xdr:row>14</xdr:row>
      <xdr:rowOff>55880</xdr:rowOff>
    </xdr:to>
    <xdr:sp macro="" textlink="">
      <xdr:nvSpPr>
        <xdr:cNvPr id="12" name="TextBox 11"/>
        <xdr:cNvSpPr txBox="1"/>
      </xdr:nvSpPr>
      <xdr:spPr>
        <a:xfrm>
          <a:off x="3642360" y="2570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r>
            <a:rPr lang="en-US" sz="1000" b="1">
              <a:solidFill>
                <a:srgbClr val="595959"/>
              </a:solidFill>
              <a:latin typeface="Calibri" panose="020F0502020204030204" pitchFamily="34" charset="0"/>
            </a:rPr>
            <a:t>TOTAL VOLUME</a:t>
          </a:r>
        </a:p>
      </xdr:txBody>
    </xdr:sp>
    <xdr:clientData/>
  </xdr:twoCellAnchor>
  <xdr:twoCellAnchor>
    <xdr:from>
      <xdr:col>5</xdr:col>
      <xdr:colOff>495300</xdr:colOff>
      <xdr:row>14</xdr:row>
      <xdr:rowOff>30480</xdr:rowOff>
    </xdr:from>
    <xdr:to>
      <xdr:col>9</xdr:col>
      <xdr:colOff>457200</xdr:colOff>
      <xdr:row>16</xdr:row>
      <xdr:rowOff>96520</xdr:rowOff>
    </xdr:to>
    <xdr:sp macro="" textlink="Pivot_Engine!$B$4">
      <xdr:nvSpPr>
        <xdr:cNvPr id="13" name="TextBox 12"/>
        <xdr:cNvSpPr txBox="1"/>
      </xdr:nvSpPr>
      <xdr:spPr>
        <a:xfrm>
          <a:off x="3642360" y="2773680"/>
          <a:ext cx="291846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04771D9D-D44A-4DF1-9DAE-3B9D6A95F95D}" type="TxLink">
            <a:rPr lang="en-US" sz="2200" b="1" i="0" u="none" strike="noStrike">
              <a:solidFill>
                <a:srgbClr val="1F4E78"/>
              </a:solidFill>
              <a:latin typeface="Calibri" panose="020F0502020204030204" pitchFamily="34" charset="0"/>
              <a:cs typeface="Calibri"/>
            </a:rPr>
            <a:t>2,500</a:t>
          </a:fld>
          <a:endParaRPr lang="en-US" sz="2200" b="1">
            <a:solidFill>
              <a:srgbClr val="1F4E78"/>
            </a:solidFill>
            <a:latin typeface="Calibri" panose="020F0502020204030204" pitchFamily="34" charset="0"/>
          </a:endParaRPr>
        </a:p>
      </xdr:txBody>
    </xdr:sp>
    <xdr:clientData/>
  </xdr:twoCellAnchor>
  <xdr:twoCellAnchor>
    <xdr:from>
      <xdr:col>5</xdr:col>
      <xdr:colOff>495300</xdr:colOff>
      <xdr:row>16</xdr:row>
      <xdr:rowOff>96520</xdr:rowOff>
    </xdr:from>
    <xdr:to>
      <xdr:col>9</xdr:col>
      <xdr:colOff>457200</xdr:colOff>
      <xdr:row>17</xdr:row>
      <xdr:rowOff>142240</xdr:rowOff>
    </xdr:to>
    <xdr:sp macro="" textlink="Pivot_Engine!$C$4">
      <xdr:nvSpPr>
        <xdr:cNvPr id="14" name="TextBox 13"/>
        <xdr:cNvSpPr txBox="1"/>
      </xdr:nvSpPr>
      <xdr:spPr>
        <a:xfrm>
          <a:off x="3642360" y="3205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CCFD4FEB-BFA6-4759-B1FD-77756AF2A508}" type="TxLink">
            <a:rPr lang="en-US" sz="900" b="0" i="0" u="none" strike="noStrike">
              <a:solidFill>
                <a:srgbClr val="595959"/>
              </a:solidFill>
              <a:latin typeface="Calibri" panose="020F0502020204030204" pitchFamily="34" charset="0"/>
              <a:cs typeface="Calibri"/>
            </a:rPr>
            <a:t>Transactions · 2,208 successful</a:t>
          </a:fld>
          <a:endParaRPr lang="en-US" sz="900" b="0">
            <a:solidFill>
              <a:srgbClr val="595959"/>
            </a:solidFill>
            <a:latin typeface="Calibri" panose="020F0502020204030204" pitchFamily="34" charset="0"/>
          </a:endParaRPr>
        </a:p>
      </xdr:txBody>
    </xdr:sp>
    <xdr:clientData/>
  </xdr:twoCellAnchor>
  <xdr:twoCellAnchor>
    <xdr:from>
      <xdr:col>9</xdr:col>
      <xdr:colOff>685800</xdr:colOff>
      <xdr:row>12</xdr:row>
      <xdr:rowOff>116840</xdr:rowOff>
    </xdr:from>
    <xdr:to>
      <xdr:col>14</xdr:col>
      <xdr:colOff>137160</xdr:colOff>
      <xdr:row>18</xdr:row>
      <xdr:rowOff>60960</xdr:rowOff>
    </xdr:to>
    <xdr:sp macro="" textlink="">
      <xdr:nvSpPr>
        <xdr:cNvPr id="15" name="card_2"/>
        <xdr:cNvSpPr/>
      </xdr:nvSpPr>
      <xdr:spPr>
        <a:xfrm>
          <a:off x="6789420" y="2494280"/>
          <a:ext cx="3147060" cy="1041400"/>
        </a:xfrm>
        <a:prstGeom prst="roundRect">
          <a:avLst>
            <a:gd name="adj" fmla="val 8000"/>
          </a:avLst>
        </a:prstGeom>
        <a:solidFill>
          <a:srgbClr val="D9E1F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685800</xdr:colOff>
      <xdr:row>13</xdr:row>
      <xdr:rowOff>35560</xdr:rowOff>
    </xdr:from>
    <xdr:to>
      <xdr:col>10</xdr:col>
      <xdr:colOff>10160</xdr:colOff>
      <xdr:row>17</xdr:row>
      <xdr:rowOff>142240</xdr:rowOff>
    </xdr:to>
    <xdr:sp macro="" textlink="">
      <xdr:nvSpPr>
        <xdr:cNvPr id="16" name="Rectangle 15"/>
        <xdr:cNvSpPr/>
      </xdr:nvSpPr>
      <xdr:spPr>
        <a:xfrm>
          <a:off x="6789420" y="2595880"/>
          <a:ext cx="63500" cy="838200"/>
        </a:xfrm>
        <a:prstGeom prst="rect">
          <a:avLst/>
        </a:prstGeom>
        <a:solidFill>
          <a:srgbClr val="1F4E78"/>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99060</xdr:colOff>
      <xdr:row>13</xdr:row>
      <xdr:rowOff>10160</xdr:rowOff>
    </xdr:from>
    <xdr:to>
      <xdr:col>14</xdr:col>
      <xdr:colOff>60960</xdr:colOff>
      <xdr:row>14</xdr:row>
      <xdr:rowOff>55880</xdr:rowOff>
    </xdr:to>
    <xdr:sp macro="" textlink="">
      <xdr:nvSpPr>
        <xdr:cNvPr id="17" name="TextBox 16"/>
        <xdr:cNvSpPr txBox="1"/>
      </xdr:nvSpPr>
      <xdr:spPr>
        <a:xfrm>
          <a:off x="6941820" y="2570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r>
            <a:rPr lang="en-US" sz="1000" b="1">
              <a:solidFill>
                <a:srgbClr val="595959"/>
              </a:solidFill>
              <a:latin typeface="Calibri" panose="020F0502020204030204" pitchFamily="34" charset="0"/>
            </a:rPr>
            <a:t>AVG TRANSACTION VALUE</a:t>
          </a:r>
        </a:p>
      </xdr:txBody>
    </xdr:sp>
    <xdr:clientData/>
  </xdr:twoCellAnchor>
  <xdr:twoCellAnchor>
    <xdr:from>
      <xdr:col>10</xdr:col>
      <xdr:colOff>99060</xdr:colOff>
      <xdr:row>14</xdr:row>
      <xdr:rowOff>30480</xdr:rowOff>
    </xdr:from>
    <xdr:to>
      <xdr:col>14</xdr:col>
      <xdr:colOff>60960</xdr:colOff>
      <xdr:row>16</xdr:row>
      <xdr:rowOff>96520</xdr:rowOff>
    </xdr:to>
    <xdr:sp macro="" textlink="Pivot_Engine!$B$5">
      <xdr:nvSpPr>
        <xdr:cNvPr id="18" name="TextBox 17"/>
        <xdr:cNvSpPr txBox="1"/>
      </xdr:nvSpPr>
      <xdr:spPr>
        <a:xfrm>
          <a:off x="6941820" y="2773680"/>
          <a:ext cx="291846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5731D273-02DC-4D04-8199-5B01A1BEDFCB}" type="TxLink">
            <a:rPr lang="en-US" sz="2200" b="1" i="0" u="none" strike="noStrike">
              <a:solidFill>
                <a:srgbClr val="1F4E78"/>
              </a:solidFill>
              <a:latin typeface="Calibri" panose="020F0502020204030204" pitchFamily="34" charset="0"/>
              <a:cs typeface="Calibri"/>
            </a:rPr>
            <a:t>₦14,785.30</a:t>
          </a:fld>
          <a:endParaRPr lang="en-US" sz="2200" b="1">
            <a:solidFill>
              <a:srgbClr val="1F4E78"/>
            </a:solidFill>
            <a:latin typeface="Calibri" panose="020F0502020204030204" pitchFamily="34" charset="0"/>
          </a:endParaRPr>
        </a:p>
      </xdr:txBody>
    </xdr:sp>
    <xdr:clientData/>
  </xdr:twoCellAnchor>
  <xdr:twoCellAnchor>
    <xdr:from>
      <xdr:col>10</xdr:col>
      <xdr:colOff>99060</xdr:colOff>
      <xdr:row>16</xdr:row>
      <xdr:rowOff>96520</xdr:rowOff>
    </xdr:from>
    <xdr:to>
      <xdr:col>14</xdr:col>
      <xdr:colOff>60960</xdr:colOff>
      <xdr:row>17</xdr:row>
      <xdr:rowOff>142240</xdr:rowOff>
    </xdr:to>
    <xdr:sp macro="" textlink="Pivot_Engine!$C$5">
      <xdr:nvSpPr>
        <xdr:cNvPr id="19" name="TextBox 18"/>
        <xdr:cNvSpPr txBox="1"/>
      </xdr:nvSpPr>
      <xdr:spPr>
        <a:xfrm>
          <a:off x="6941820" y="3205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428AFC67-0DD3-4C8E-9495-0AA482F5720B}" type="TxLink">
            <a:rPr lang="en-US" sz="900" b="0" i="0" u="none" strike="noStrike">
              <a:solidFill>
                <a:srgbClr val="595959"/>
              </a:solidFill>
              <a:latin typeface="Calibri" panose="020F0502020204030204" pitchFamily="34" charset="0"/>
              <a:cs typeface="Calibri"/>
            </a:rPr>
            <a:t>Per transaction (all statuses)</a:t>
          </a:fld>
          <a:endParaRPr lang="en-US" sz="900" b="0">
            <a:solidFill>
              <a:srgbClr val="595959"/>
            </a:solidFill>
            <a:latin typeface="Calibri" panose="020F0502020204030204" pitchFamily="34" charset="0"/>
          </a:endParaRPr>
        </a:p>
      </xdr:txBody>
    </xdr:sp>
    <xdr:clientData/>
  </xdr:twoCellAnchor>
  <xdr:twoCellAnchor>
    <xdr:from>
      <xdr:col>14</xdr:col>
      <xdr:colOff>289560</xdr:colOff>
      <xdr:row>12</xdr:row>
      <xdr:rowOff>116840</xdr:rowOff>
    </xdr:from>
    <xdr:to>
      <xdr:col>18</xdr:col>
      <xdr:colOff>617221</xdr:colOff>
      <xdr:row>18</xdr:row>
      <xdr:rowOff>60960</xdr:rowOff>
    </xdr:to>
    <xdr:sp macro="" textlink="">
      <xdr:nvSpPr>
        <xdr:cNvPr id="20" name="card_3"/>
        <xdr:cNvSpPr/>
      </xdr:nvSpPr>
      <xdr:spPr>
        <a:xfrm>
          <a:off x="10088880" y="2494280"/>
          <a:ext cx="3147061" cy="1041400"/>
        </a:xfrm>
        <a:prstGeom prst="roundRect">
          <a:avLst>
            <a:gd name="adj" fmla="val 8000"/>
          </a:avLst>
        </a:prstGeom>
        <a:solidFill>
          <a:srgbClr val="D9E1F2"/>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289560</xdr:colOff>
      <xdr:row>13</xdr:row>
      <xdr:rowOff>35560</xdr:rowOff>
    </xdr:from>
    <xdr:to>
      <xdr:col>14</xdr:col>
      <xdr:colOff>353060</xdr:colOff>
      <xdr:row>17</xdr:row>
      <xdr:rowOff>142240</xdr:rowOff>
    </xdr:to>
    <xdr:sp macro="" textlink="">
      <xdr:nvSpPr>
        <xdr:cNvPr id="21" name="Rectangle 20"/>
        <xdr:cNvSpPr/>
      </xdr:nvSpPr>
      <xdr:spPr>
        <a:xfrm>
          <a:off x="10088880" y="2595880"/>
          <a:ext cx="63500" cy="838200"/>
        </a:xfrm>
        <a:prstGeom prst="rect">
          <a:avLst/>
        </a:prstGeom>
        <a:solidFill>
          <a:srgbClr val="1F4E78"/>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441960</xdr:colOff>
      <xdr:row>13</xdr:row>
      <xdr:rowOff>10160</xdr:rowOff>
    </xdr:from>
    <xdr:to>
      <xdr:col>18</xdr:col>
      <xdr:colOff>541020</xdr:colOff>
      <xdr:row>14</xdr:row>
      <xdr:rowOff>55880</xdr:rowOff>
    </xdr:to>
    <xdr:sp macro="" textlink="">
      <xdr:nvSpPr>
        <xdr:cNvPr id="22" name="TextBox 21"/>
        <xdr:cNvSpPr txBox="1"/>
      </xdr:nvSpPr>
      <xdr:spPr>
        <a:xfrm>
          <a:off x="10241280" y="2570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r>
            <a:rPr lang="en-US" sz="1000" b="1">
              <a:solidFill>
                <a:srgbClr val="595959"/>
              </a:solidFill>
              <a:latin typeface="Calibri" panose="020F0502020204030204" pitchFamily="34" charset="0"/>
            </a:rPr>
            <a:t>SUCCESS RATE</a:t>
          </a:r>
        </a:p>
      </xdr:txBody>
    </xdr:sp>
    <xdr:clientData/>
  </xdr:twoCellAnchor>
  <xdr:twoCellAnchor>
    <xdr:from>
      <xdr:col>14</xdr:col>
      <xdr:colOff>441960</xdr:colOff>
      <xdr:row>14</xdr:row>
      <xdr:rowOff>30480</xdr:rowOff>
    </xdr:from>
    <xdr:to>
      <xdr:col>18</xdr:col>
      <xdr:colOff>541020</xdr:colOff>
      <xdr:row>16</xdr:row>
      <xdr:rowOff>96520</xdr:rowOff>
    </xdr:to>
    <xdr:sp macro="" textlink="Pivot_Engine!$B$6">
      <xdr:nvSpPr>
        <xdr:cNvPr id="23" name="TextBox 22"/>
        <xdr:cNvSpPr txBox="1"/>
      </xdr:nvSpPr>
      <xdr:spPr>
        <a:xfrm>
          <a:off x="10241280" y="2773680"/>
          <a:ext cx="291846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659CF42F-E6BB-412E-9DAC-BA108E6C3C66}" type="TxLink">
            <a:rPr lang="en-US" sz="2200" b="1" i="0" u="none" strike="noStrike">
              <a:solidFill>
                <a:srgbClr val="1F4E78"/>
              </a:solidFill>
              <a:latin typeface="Calibri" panose="020F0502020204030204" pitchFamily="34" charset="0"/>
              <a:cs typeface="Calibri"/>
            </a:rPr>
            <a:t>88.3%</a:t>
          </a:fld>
          <a:endParaRPr lang="en-US" sz="2200" b="1">
            <a:solidFill>
              <a:srgbClr val="1F4E78"/>
            </a:solidFill>
            <a:latin typeface="Calibri" panose="020F0502020204030204" pitchFamily="34" charset="0"/>
          </a:endParaRPr>
        </a:p>
      </xdr:txBody>
    </xdr:sp>
    <xdr:clientData/>
  </xdr:twoCellAnchor>
  <xdr:twoCellAnchor>
    <xdr:from>
      <xdr:col>14</xdr:col>
      <xdr:colOff>441960</xdr:colOff>
      <xdr:row>16</xdr:row>
      <xdr:rowOff>96520</xdr:rowOff>
    </xdr:from>
    <xdr:to>
      <xdr:col>18</xdr:col>
      <xdr:colOff>541020</xdr:colOff>
      <xdr:row>17</xdr:row>
      <xdr:rowOff>142240</xdr:rowOff>
    </xdr:to>
    <xdr:sp macro="" textlink="Pivot_Engine!$C$6">
      <xdr:nvSpPr>
        <xdr:cNvPr id="24" name="TextBox 23"/>
        <xdr:cNvSpPr txBox="1"/>
      </xdr:nvSpPr>
      <xdr:spPr>
        <a:xfrm>
          <a:off x="10241280" y="3205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161D8C2C-AEBE-4F23-B288-911808036B4D}" type="TxLink">
            <a:rPr lang="en-US" sz="900" b="0" i="0" u="none" strike="noStrike">
              <a:solidFill>
                <a:srgbClr val="595959"/>
              </a:solidFill>
              <a:latin typeface="Calibri" panose="020F0502020204030204" pitchFamily="34" charset="0"/>
              <a:cs typeface="Calibri"/>
            </a:rPr>
            <a:t>2,208 successful transactions</a:t>
          </a:fld>
          <a:endParaRPr lang="en-US" sz="900" b="0">
            <a:solidFill>
              <a:srgbClr val="595959"/>
            </a:solidFill>
            <a:latin typeface="Calibri" panose="020F0502020204030204" pitchFamily="34" charset="0"/>
          </a:endParaRPr>
        </a:p>
      </xdr:txBody>
    </xdr:sp>
    <xdr:clientData/>
  </xdr:twoCellAnchor>
  <xdr:twoCellAnchor>
    <xdr:from>
      <xdr:col>18</xdr:col>
      <xdr:colOff>769619</xdr:colOff>
      <xdr:row>12</xdr:row>
      <xdr:rowOff>116840</xdr:rowOff>
    </xdr:from>
    <xdr:to>
      <xdr:col>22</xdr:col>
      <xdr:colOff>0</xdr:colOff>
      <xdr:row>18</xdr:row>
      <xdr:rowOff>60960</xdr:rowOff>
    </xdr:to>
    <xdr:sp macro="" textlink="">
      <xdr:nvSpPr>
        <xdr:cNvPr id="25" name="card_4"/>
        <xdr:cNvSpPr/>
      </xdr:nvSpPr>
      <xdr:spPr>
        <a:xfrm>
          <a:off x="13388339" y="2494280"/>
          <a:ext cx="3147061" cy="1041400"/>
        </a:xfrm>
        <a:prstGeom prst="roundRect">
          <a:avLst>
            <a:gd name="adj" fmla="val 8000"/>
          </a:avLst>
        </a:prstGeom>
        <a:solidFill>
          <a:srgbClr val="FCE4D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769619</xdr:colOff>
      <xdr:row>13</xdr:row>
      <xdr:rowOff>35560</xdr:rowOff>
    </xdr:from>
    <xdr:to>
      <xdr:col>18</xdr:col>
      <xdr:colOff>833119</xdr:colOff>
      <xdr:row>17</xdr:row>
      <xdr:rowOff>142240</xdr:rowOff>
    </xdr:to>
    <xdr:sp macro="" textlink="">
      <xdr:nvSpPr>
        <xdr:cNvPr id="26" name="Rectangle 25"/>
        <xdr:cNvSpPr/>
      </xdr:nvSpPr>
      <xdr:spPr>
        <a:xfrm>
          <a:off x="13388339" y="2595880"/>
          <a:ext cx="63500" cy="838200"/>
        </a:xfrm>
        <a:prstGeom prst="rect">
          <a:avLst/>
        </a:prstGeom>
        <a:solidFill>
          <a:srgbClr val="E59866"/>
        </a:solidFill>
        <a:ln w="25400" cap="flat" cmpd="sng" algn="ctr">
          <a:noFill/>
          <a:prstDash val="solid"/>
        </a:ln>
        <a:effectLst/>
        <a:extLst>
          <a:ext uri="{91240B29-F687-4F45-9708-019B960494DF}">
            <a14:hiddenLine xmlns:a14="http://schemas.microsoft.com/office/drawing/2010/main" w="25400" cap="flat" cmpd="sng" algn="ctr">
              <a:solidFill>
                <a:schemeClr val="accent1">
                  <a:shade val="50000"/>
                </a:schemeClr>
              </a:solidFill>
              <a:prstDash val="solid"/>
            </a14:hiddenLine>
          </a:ext>
        </a:ex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45719</xdr:colOff>
      <xdr:row>13</xdr:row>
      <xdr:rowOff>10160</xdr:rowOff>
    </xdr:from>
    <xdr:to>
      <xdr:col>21</xdr:col>
      <xdr:colOff>662939</xdr:colOff>
      <xdr:row>14</xdr:row>
      <xdr:rowOff>55880</xdr:rowOff>
    </xdr:to>
    <xdr:sp macro="" textlink="">
      <xdr:nvSpPr>
        <xdr:cNvPr id="27" name="TextBox 26"/>
        <xdr:cNvSpPr txBox="1"/>
      </xdr:nvSpPr>
      <xdr:spPr>
        <a:xfrm>
          <a:off x="13540739" y="2570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r>
            <a:rPr lang="en-US" sz="1000" b="1">
              <a:solidFill>
                <a:srgbClr val="595959"/>
              </a:solidFill>
              <a:latin typeface="Calibri" panose="020F0502020204030204" pitchFamily="34" charset="0"/>
            </a:rPr>
            <a:t>FAILURE RATE</a:t>
          </a:r>
        </a:p>
      </xdr:txBody>
    </xdr:sp>
    <xdr:clientData/>
  </xdr:twoCellAnchor>
  <xdr:twoCellAnchor>
    <xdr:from>
      <xdr:col>19</xdr:col>
      <xdr:colOff>45719</xdr:colOff>
      <xdr:row>14</xdr:row>
      <xdr:rowOff>30480</xdr:rowOff>
    </xdr:from>
    <xdr:to>
      <xdr:col>21</xdr:col>
      <xdr:colOff>662939</xdr:colOff>
      <xdr:row>16</xdr:row>
      <xdr:rowOff>96520</xdr:rowOff>
    </xdr:to>
    <xdr:sp macro="" textlink="Pivot_Engine!$B$7">
      <xdr:nvSpPr>
        <xdr:cNvPr id="28" name="TextBox 27"/>
        <xdr:cNvSpPr txBox="1"/>
      </xdr:nvSpPr>
      <xdr:spPr>
        <a:xfrm>
          <a:off x="13540739" y="2773680"/>
          <a:ext cx="291846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25E8CA70-01A4-4E79-B31C-0026704D4D8F}" type="TxLink">
            <a:rPr lang="en-US" sz="2200" b="1" i="0" u="none" strike="noStrike">
              <a:solidFill>
                <a:srgbClr val="1F4E78"/>
              </a:solidFill>
              <a:latin typeface="Calibri" panose="020F0502020204030204" pitchFamily="34" charset="0"/>
              <a:cs typeface="Calibri"/>
            </a:rPr>
            <a:t>9.6%</a:t>
          </a:fld>
          <a:endParaRPr lang="en-US" sz="2200" b="1">
            <a:solidFill>
              <a:srgbClr val="1F4E78"/>
            </a:solidFill>
            <a:latin typeface="Calibri" panose="020F0502020204030204" pitchFamily="34" charset="0"/>
          </a:endParaRPr>
        </a:p>
      </xdr:txBody>
    </xdr:sp>
    <xdr:clientData/>
  </xdr:twoCellAnchor>
  <xdr:twoCellAnchor>
    <xdr:from>
      <xdr:col>19</xdr:col>
      <xdr:colOff>45719</xdr:colOff>
      <xdr:row>16</xdr:row>
      <xdr:rowOff>96520</xdr:rowOff>
    </xdr:from>
    <xdr:to>
      <xdr:col>21</xdr:col>
      <xdr:colOff>662939</xdr:colOff>
      <xdr:row>17</xdr:row>
      <xdr:rowOff>142240</xdr:rowOff>
    </xdr:to>
    <xdr:sp macro="" textlink="Pivot_Engine!$C$7">
      <xdr:nvSpPr>
        <xdr:cNvPr id="29" name="TextBox 28"/>
        <xdr:cNvSpPr txBox="1"/>
      </xdr:nvSpPr>
      <xdr:spPr>
        <a:xfrm>
          <a:off x="13540739" y="3205480"/>
          <a:ext cx="2918460" cy="2286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lIns="0" tIns="0" bIns="0" rtlCol="0" anchor="t"/>
        <a:lstStyle/>
        <a:p>
          <a:fld id="{34C7CE64-9B2A-4731-8B63-A417C3E9D9EE}" type="TxLink">
            <a:rPr lang="en-US" sz="900" b="0" i="0" u="none" strike="noStrike">
              <a:solidFill>
                <a:srgbClr val="595959"/>
              </a:solidFill>
              <a:latin typeface="Calibri" panose="020F0502020204030204" pitchFamily="34" charset="0"/>
              <a:cs typeface="Calibri"/>
            </a:rPr>
            <a:t>239 failed · revenue at risk</a:t>
          </a:fld>
          <a:endParaRPr lang="en-US" sz="900" b="0">
            <a:solidFill>
              <a:srgbClr val="595959"/>
            </a:solidFill>
            <a:latin typeface="Calibri" panose="020F0502020204030204" pitchFamily="34" charset="0"/>
          </a:endParaRPr>
        </a:p>
      </xdr:txBody>
    </xdr:sp>
    <xdr:clientData/>
  </xdr:twoCellAnchor>
  <xdr:twoCellAnchor>
    <xdr:from>
      <xdr:col>1</xdr:col>
      <xdr:colOff>0</xdr:colOff>
      <xdr:row>19</xdr:row>
      <xdr:rowOff>81280</xdr:rowOff>
    </xdr:from>
    <xdr:to>
      <xdr:col>11</xdr:col>
      <xdr:colOff>704850</xdr:colOff>
      <xdr:row>39</xdr:row>
      <xdr:rowOff>106680</xdr:rowOff>
    </xdr:to>
    <xdr:graphicFrame macro="">
      <xdr:nvGraphicFramePr>
        <xdr:cNvPr id="30" name="Chart 2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118110</xdr:colOff>
      <xdr:row>19</xdr:row>
      <xdr:rowOff>81280</xdr:rowOff>
    </xdr:from>
    <xdr:to>
      <xdr:col>22</xdr:col>
      <xdr:colOff>0</xdr:colOff>
      <xdr:row>39</xdr:row>
      <xdr:rowOff>106680</xdr:rowOff>
    </xdr:to>
    <xdr:graphicFrame macro="">
      <xdr:nvGraphicFramePr>
        <xdr:cNvPr id="31" name="Chart 3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40</xdr:row>
      <xdr:rowOff>127000</xdr:rowOff>
    </xdr:from>
    <xdr:to>
      <xdr:col>8</xdr:col>
      <xdr:colOff>217170</xdr:colOff>
      <xdr:row>61</xdr:row>
      <xdr:rowOff>96520</xdr:rowOff>
    </xdr:to>
    <xdr:graphicFrame macro="">
      <xdr:nvGraphicFramePr>
        <xdr:cNvPr id="32" name="Chart 3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369570</xdr:colOff>
      <xdr:row>40</xdr:row>
      <xdr:rowOff>127000</xdr:rowOff>
    </xdr:from>
    <xdr:to>
      <xdr:col>15</xdr:col>
      <xdr:colOff>586740</xdr:colOff>
      <xdr:row>61</xdr:row>
      <xdr:rowOff>96520</xdr:rowOff>
    </xdr:to>
    <xdr:graphicFrame macro="">
      <xdr:nvGraphicFramePr>
        <xdr:cNvPr id="33" name="Chart 3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HP" refreshedDate="46293.714173726854" createdVersion="6" refreshedVersion="6" minRefreshableVersion="3" recordCount="2500">
  <cacheSource type="worksheet">
    <worksheetSource name="TransactionTable"/>
  </cacheSource>
  <cacheFields count="11">
    <cacheField name="Transaction_ID" numFmtId="0">
      <sharedItems/>
    </cacheField>
    <cacheField name="Customer_ID" numFmtId="0">
      <sharedItems count="350">
        <s v="CUST-0043"/>
        <s v="CUST-0277"/>
        <s v="CUST-0265"/>
        <s v="CUST-0052"/>
        <s v="CUST-0276"/>
        <s v="CUST-0233"/>
        <s v="CUST-0312"/>
        <s v="CUST-0308"/>
        <s v="CUST-0229"/>
        <s v="CUST-0035"/>
        <s v="CUST-0088"/>
        <s v="CUST-0178"/>
        <s v="CUST-0296"/>
        <s v="CUST-0304"/>
        <s v="CUST-0077"/>
        <s v="CUST-0224"/>
        <s v="CUST-0346"/>
        <s v="CUST-0108"/>
        <s v="CUST-0319"/>
        <s v="CUST-0166"/>
        <s v="CUST-0009"/>
        <s v="CUST-0079"/>
        <s v="CUST-0153"/>
        <s v="CUST-0014"/>
        <s v="CUST-0053"/>
        <s v="CUST-0034"/>
        <s v="CUST-0101"/>
        <s v="CUST-0066"/>
        <s v="CUST-0122"/>
        <s v="CUST-0189"/>
        <s v="CUST-0159"/>
        <s v="CUST-0328"/>
        <s v="CUST-0325"/>
        <s v="CUST-0323"/>
        <s v="CUST-0054"/>
        <s v="CUST-0273"/>
        <s v="CUST-0151"/>
        <s v="CUST-0024"/>
        <s v="CUST-0146"/>
        <s v="CUST-0127"/>
        <s v="CUST-0269"/>
        <s v="CUST-0350"/>
        <s v="CUST-0192"/>
        <s v="CUST-0298"/>
        <s v="CUST-0038"/>
        <s v="CUST-0238"/>
        <s v="CUST-0313"/>
        <s v="CUST-0268"/>
        <s v="CUST-0271"/>
        <s v="CUST-0171"/>
        <s v="CUST-0133"/>
        <s v="CUST-0172"/>
        <s v="CUST-0113"/>
        <s v="CUST-0125"/>
        <s v="CUST-0123"/>
        <s v="CUST-0152"/>
        <s v="CUST-0291"/>
        <s v="CUST-0163"/>
        <s v="CUST-0252"/>
        <s v="CUST-0205"/>
        <s v="CUST-0280"/>
        <s v="CUST-0047"/>
        <s v="CUST-0297"/>
        <s v="CUST-0309"/>
        <s v="CUST-0065"/>
        <s v="CUST-0283"/>
        <s v="CUST-0095"/>
        <s v="CUST-0011"/>
        <s v="CUST-0288"/>
        <s v="CUST-0025"/>
        <s v="CUST-0223"/>
        <s v="CUST-0115"/>
        <s v="CUST-0197"/>
        <s v="CUST-0074"/>
        <s v="CUST-0257"/>
        <s v="CUST-0059"/>
        <s v="CUST-0284"/>
        <s v="CUST-0185"/>
        <s v="CUST-0334"/>
        <s v="CUST-0335"/>
        <s v="CUST-0126"/>
        <s v="CUST-0317"/>
        <s v="CUST-0157"/>
        <s v="CUST-0240"/>
        <s v="CUST-0105"/>
        <s v="CUST-0260"/>
        <s v="CUST-0016"/>
        <s v="CUST-0191"/>
        <s v="CUST-0184"/>
        <s v="CUST-0050"/>
        <s v="CUST-0168"/>
        <s v="CUST-0091"/>
        <s v="CUST-0020"/>
        <s v="CUST-0045"/>
        <s v="CUST-0287"/>
        <s v="CUST-0343"/>
        <s v="CUST-0248"/>
        <s v="CUST-0010"/>
        <s v="CUST-0097"/>
        <s v="CUST-0031"/>
        <s v="CUST-0213"/>
        <s v="CUST-0023"/>
        <s v="CUST-0167"/>
        <s v="CUST-0139"/>
        <s v="CUST-0089"/>
        <s v="CUST-0107"/>
        <s v="CUST-0170"/>
        <s v="CUST-0310"/>
        <s v="CUST-0266"/>
        <s v="CUST-0293"/>
        <s v="CUST-0049"/>
        <s v="CUST-0246"/>
        <s v="CUST-0051"/>
        <s v="CUST-0219"/>
        <s v="CUST-0226"/>
        <s v="CUST-0148"/>
        <s v="CUST-0289"/>
        <s v="CUST-0116"/>
        <s v="CUST-0212"/>
        <s v="CUST-0262"/>
        <s v="CUST-0006"/>
        <s v="CUST-0118"/>
        <s v="CUST-0217"/>
        <s v="CUST-0333"/>
        <s v="CUST-0216"/>
        <s v="CUST-0109"/>
        <s v="CUST-0225"/>
        <s v="CUST-0198"/>
        <s v="CUST-0264"/>
        <s v="CUST-0285"/>
        <s v="CUST-0258"/>
        <s v="CUST-0085"/>
        <s v="CUST-0022"/>
        <s v="CUST-0218"/>
        <s v="CUST-0324"/>
        <s v="CUST-0173"/>
        <s v="CUST-0221"/>
        <s v="CUST-0183"/>
        <s v="CUST-0069"/>
        <s v="CUST-0138"/>
        <s v="CUST-0039"/>
        <s v="CUST-0136"/>
        <s v="CUST-0098"/>
        <s v="CUST-0175"/>
        <s v="CUST-0299"/>
        <s v="CUST-0144"/>
        <s v="CUST-0292"/>
        <s v="CUST-0294"/>
        <s v="CUST-0137"/>
        <s v="CUST-0142"/>
        <s v="CUST-0100"/>
        <s v="CUST-0180"/>
        <s v="CUST-0030"/>
        <s v="CUST-0322"/>
        <s v="CUST-0040"/>
        <s v="CUST-0121"/>
        <s v="CUST-0174"/>
        <s v="CUST-0235"/>
        <s v="CUST-0078"/>
        <s v="CUST-0092"/>
        <s v="CUST-0075"/>
        <s v="CUST-0206"/>
        <s v="CUST-0239"/>
        <s v="CUST-0061"/>
        <s v="CUST-0237"/>
        <s v="CUST-0099"/>
        <s v="CUST-0275"/>
        <s v="CUST-0036"/>
        <s v="CUST-0064"/>
        <s v="CUST-0210"/>
        <s v="CUST-0220"/>
        <s v="CUST-0164"/>
        <s v="CUST-0154"/>
        <s v="CUST-0046"/>
        <s v="CUST-0301"/>
        <s v="CUST-0347"/>
        <s v="CUST-0135"/>
        <s v="CUST-0134"/>
        <s v="CUST-0005"/>
        <s v="CUST-0044"/>
        <s v="CUST-0102"/>
        <s v="CUST-0103"/>
        <s v="CUST-0349"/>
        <s v="CUST-0208"/>
        <s v="CUST-0255"/>
        <s v="CUST-0311"/>
        <s v="CUST-0281"/>
        <s v="CUST-0076"/>
        <s v="CUST-0261"/>
        <s v="CUST-0147"/>
        <s v="CUST-0176"/>
        <s v="CUST-0130"/>
        <s v="CUST-0193"/>
        <s v="CUST-0008"/>
        <s v="CUST-0228"/>
        <s v="CUST-0003"/>
        <s v="CUST-0267"/>
        <s v="CUST-0234"/>
        <s v="CUST-0140"/>
        <s v="CUST-0004"/>
        <s v="CUST-0111"/>
        <s v="CUST-0037"/>
        <s v="CUST-0314"/>
        <s v="CUST-0232"/>
        <s v="CUST-0094"/>
        <s v="CUST-0158"/>
        <s v="CUST-0204"/>
        <s v="CUST-0033"/>
        <s v="CUST-0028"/>
        <s v="CUST-0270"/>
        <s v="CUST-0156"/>
        <s v="CUST-0119"/>
        <s v="CUST-0303"/>
        <s v="CUST-0093"/>
        <s v="CUST-0055"/>
        <s v="CUST-0342"/>
        <s v="CUST-0056"/>
        <s v="CUST-0090"/>
        <s v="CUST-0251"/>
        <s v="CUST-0344"/>
        <s v="CUST-0143"/>
        <s v="CUST-0083"/>
        <s v="CUST-0329"/>
        <s v="CUST-0084"/>
        <s v="CUST-0230"/>
        <s v="CUST-0316"/>
        <s v="CUST-0320"/>
        <s v="CUST-0300"/>
        <s v="CUST-0063"/>
        <s v="CUST-0096"/>
        <s v="CUST-0286"/>
        <s v="CUST-0181"/>
        <s v="CUST-0177"/>
        <s v="CUST-0114"/>
        <s v="CUST-0012"/>
        <s v="CUST-0062"/>
        <s v="CUST-0132"/>
        <s v="CUST-0068"/>
        <s v="CUST-0190"/>
        <s v="CUST-0182"/>
        <s v="CUST-0327"/>
        <s v="CUST-0307"/>
        <s v="CUST-0007"/>
        <s v="CUST-0124"/>
        <s v="CUST-0128"/>
        <s v="CUST-0080"/>
        <s v="CUST-0070"/>
        <s v="CUST-0250"/>
        <s v="CUST-0018"/>
        <s v="CUST-0179"/>
        <s v="CUST-0019"/>
        <s v="CUST-0150"/>
        <s v="CUST-0058"/>
        <s v="CUST-0315"/>
        <s v="CUST-0072"/>
        <s v="CUST-0013"/>
        <s v="CUST-0247"/>
        <s v="CUST-0002"/>
        <s v="CUST-0082"/>
        <s v="CUST-0339"/>
        <s v="CUST-0141"/>
        <s v="CUST-0202"/>
        <s v="CUST-0330"/>
        <s v="CUST-0196"/>
        <s v="CUST-0057"/>
        <s v="CUST-0244"/>
        <s v="CUST-0279"/>
        <s v="CUST-0201"/>
        <s v="CUST-0241"/>
        <s v="CUST-0256"/>
        <s v="CUST-0155"/>
        <s v="CUST-0345"/>
        <s v="CUST-0032"/>
        <s v="CUST-0243"/>
        <s v="CUST-0041"/>
        <s v="CUST-0161"/>
        <s v="CUST-0348"/>
        <s v="CUST-0194"/>
        <s v="CUST-0214"/>
        <s v="CUST-0188"/>
        <s v="CUST-0209"/>
        <s v="CUST-0029"/>
        <s v="CUST-0200"/>
        <s v="CUST-0067"/>
        <s v="CUST-0282"/>
        <s v="CUST-0222"/>
        <s v="CUST-0253"/>
        <s v="CUST-0120"/>
        <s v="CUST-0215"/>
        <s v="CUST-0290"/>
        <s v="CUST-0104"/>
        <s v="CUST-0001"/>
        <s v="CUST-0042"/>
        <s v="CUST-0254"/>
        <s v="CUST-0110"/>
        <s v="CUST-0087"/>
        <s v="CUST-0199"/>
        <s v="CUST-0131"/>
        <s v="CUST-0263"/>
        <s v="CUST-0129"/>
        <s v="CUST-0195"/>
        <s v="CUST-0145"/>
        <s v="CUST-0305"/>
        <s v="CUST-0259"/>
        <s v="CUST-0026"/>
        <s v="CUST-0321"/>
        <s v="CUST-0242"/>
        <s v="CUST-0318"/>
        <s v="CUST-0249"/>
        <s v="CUST-0336"/>
        <s v="CUST-0073"/>
        <s v="CUST-0236"/>
        <s v="CUST-0302"/>
        <s v="CUST-0306"/>
        <s v="CUST-0017"/>
        <s v="CUST-0186"/>
        <s v="CUST-0015"/>
        <s v="CUST-0112"/>
        <s v="CUST-0227"/>
        <s v="CUST-0187"/>
        <s v="CUST-0106"/>
        <s v="CUST-0081"/>
        <s v="CUST-0027"/>
        <s v="CUST-0295"/>
        <s v="CUST-0060"/>
        <s v="CUST-0021"/>
        <s v="CUST-0341"/>
        <s v="CUST-0245"/>
        <s v="CUST-0071"/>
        <s v="CUST-0332"/>
        <s v="CUST-0274"/>
        <s v="CUST-0326"/>
        <s v="CUST-0272"/>
        <s v="CUST-0338"/>
        <s v="CUST-0160"/>
        <s v="CUST-0162"/>
        <s v="CUST-0278"/>
        <s v="CUST-0086"/>
        <s v="CUST-0117"/>
        <s v="CUST-0340"/>
        <s v="CUST-0048"/>
        <s v="CUST-0165"/>
        <s v="CUST-0211"/>
        <s v="CUST-0231"/>
        <s v="CUST-0149"/>
        <s v="CUST-0337"/>
        <s v="CUST-0203"/>
        <s v="CUST-0169"/>
        <s v="CUST-0331"/>
        <s v="CUST-0207"/>
      </sharedItems>
    </cacheField>
    <cacheField name="Transaction_Date" numFmtId="165">
      <sharedItems containsSemiMixedTypes="0" containsNonDate="0" containsDate="1" containsString="0" minDate="2025-01-01T01:24:00" maxDate="2025-12-30T22:40:00" count="2493">
        <d v="2025-01-15T03:56:00"/>
        <d v="2025-05-14T05:37:00"/>
        <d v="2025-05-16T01:06:00"/>
        <d v="2025-11-02T13:22:00"/>
        <d v="2025-06-10T13:38:00"/>
        <d v="2025-09-19T03:24:00"/>
        <d v="2025-10-23T06:16:00"/>
        <d v="2025-01-23T22:27:00"/>
        <d v="2025-01-01T16:59:00"/>
        <d v="2025-10-03T21:46:00"/>
        <d v="2025-12-10T06:23:00"/>
        <d v="2025-08-09T02:42:00"/>
        <d v="2025-06-19T19:20:00"/>
        <d v="2025-12-06T03:46:00"/>
        <d v="2025-06-03T16:19:00"/>
        <d v="2025-12-08T13:20:00"/>
        <d v="2025-07-26T22:18:00"/>
        <d v="2025-10-11T04:12:00"/>
        <d v="2025-08-04T21:24:00"/>
        <d v="2025-12-13T23:57:00"/>
        <d v="2025-03-31T19:36:00"/>
        <d v="2025-06-04T12:35:00"/>
        <d v="2025-01-01T09:18:00"/>
        <d v="2025-04-18T13:50:00"/>
        <d v="2025-10-24T19:41:00"/>
        <d v="2025-06-14T14:28:00"/>
        <d v="2025-08-15T21:13:00"/>
        <d v="2025-09-19T15:50:00"/>
        <d v="2025-03-28T21:05:00"/>
        <d v="2025-05-26T16:42:00"/>
        <d v="2025-11-21T19:21:00"/>
        <d v="2025-02-17T07:43:00"/>
        <d v="2025-06-08T07:51:00"/>
        <d v="2025-04-12T04:01:00"/>
        <d v="2025-01-24T07:30:00"/>
        <d v="2025-11-09T02:29:00"/>
        <d v="2025-08-01T20:36:00"/>
        <d v="2025-04-10T22:44:00"/>
        <d v="2025-07-16T15:25:00"/>
        <d v="2025-05-05T04:41:00"/>
        <d v="2025-12-19T00:57:00"/>
        <d v="2025-02-24T13:14:00"/>
        <d v="2025-04-01T22:33:00"/>
        <d v="2025-08-26T01:35:00"/>
        <d v="2025-05-08T03:29:00"/>
        <d v="2025-03-10T14:42:00"/>
        <d v="2025-09-29T17:38:00"/>
        <d v="2025-06-12T14:39:00"/>
        <d v="2025-09-16T13:53:00"/>
        <d v="2025-10-08T14:57:00"/>
        <d v="2025-03-23T23:55:00"/>
        <d v="2025-09-01T14:16:00"/>
        <d v="2025-05-07T20:17:00"/>
        <d v="2025-09-24T15:40:00"/>
        <d v="2025-05-03T08:28:00"/>
        <d v="2025-02-09T22:18:00"/>
        <d v="2025-05-01T08:21:00"/>
        <d v="2025-06-13T17:05:00"/>
        <d v="2025-03-12T04:14:00"/>
        <d v="2025-07-16T22:09:00"/>
        <d v="2025-12-28T06:04:00"/>
        <d v="2025-08-01T13:21:00"/>
        <d v="2025-10-05T14:26:00"/>
        <d v="2025-02-01T06:53:00"/>
        <d v="2025-08-04T12:57:00"/>
        <d v="2025-10-27T22:01:00"/>
        <d v="2025-10-22T12:30:00"/>
        <d v="2025-01-04T11:19:00"/>
        <d v="2025-07-19T13:34:00"/>
        <d v="2025-10-07T19:57:00"/>
        <d v="2025-04-23T15:14:00"/>
        <d v="2025-05-20T13:31:00"/>
        <d v="2025-01-15T12:21:00"/>
        <d v="2025-12-09T21:51:00"/>
        <d v="2025-07-27T23:10:00"/>
        <d v="2025-08-28T04:39:00"/>
        <d v="2025-10-01T00:58:00"/>
        <d v="2025-07-21T18:36:00"/>
        <d v="2025-12-06T00:05:00"/>
        <d v="2025-11-26T13:08:00"/>
        <d v="2025-08-25T05:03:00"/>
        <d v="2025-05-14T12:20:00"/>
        <d v="2025-04-19T14:20:00"/>
        <d v="2025-06-22T12:17:00"/>
        <d v="2025-08-04T08:53:00"/>
        <d v="2025-02-11T15:01:00"/>
        <d v="2025-10-04T01:22:00"/>
        <d v="2025-04-25T20:04:00"/>
        <d v="2025-11-30T01:48:00"/>
        <d v="2025-01-16T07:12:00"/>
        <d v="2025-01-11T19:09:00"/>
        <d v="2025-05-03T04:30:00"/>
        <d v="2025-12-09T03:36:00"/>
        <d v="2025-04-22T14:44:00"/>
        <d v="2025-05-12T11:10:00"/>
        <d v="2025-11-07T19:47:00"/>
        <d v="2025-02-28T05:19:00"/>
        <d v="2025-02-25T18:01:00"/>
        <d v="2025-06-09T18:43:00"/>
        <d v="2025-07-12T12:45:00"/>
        <d v="2025-04-12T02:37:00"/>
        <d v="2025-12-20T20:15:00"/>
        <d v="2025-02-22T22:49:00"/>
        <d v="2025-06-04T21:38:00"/>
        <d v="2025-03-03T18:50:00"/>
        <d v="2025-01-22T11:34:00"/>
        <d v="2025-08-08T21:23:00"/>
        <d v="2025-02-05T16:41:00"/>
        <d v="2025-06-24T00:54:00"/>
        <d v="2025-08-04T15:06:00"/>
        <d v="2025-08-10T11:40:00"/>
        <d v="2025-08-24T22:09:00"/>
        <d v="2025-08-11T05:46:00"/>
        <d v="2025-09-25T20:17:00"/>
        <d v="2025-11-12T17:49:00"/>
        <d v="2025-09-05T14:27:00"/>
        <d v="2025-10-31T08:20:00"/>
        <d v="2025-05-06T02:17:00"/>
        <d v="2025-08-19T07:48:00"/>
        <d v="2025-08-26T18:39:00"/>
        <d v="2025-12-09T12:21:00"/>
        <d v="2025-01-15T15:54:00"/>
        <d v="2025-06-16T05:31:00"/>
        <d v="2025-04-19T11:51:00"/>
        <d v="2025-05-13T10:17:00"/>
        <d v="2025-11-02T22:56:00"/>
        <d v="2025-05-22T17:00:00"/>
        <d v="2025-09-22T06:05:00"/>
        <d v="2025-05-04T23:26:00"/>
        <d v="2025-09-08T17:48:00"/>
        <d v="2025-05-04T22:30:00"/>
        <d v="2025-11-27T22:31:00"/>
        <d v="2025-08-18T00:05:00"/>
        <d v="2025-05-31T07:25:00"/>
        <d v="2025-12-21T07:19:00"/>
        <d v="2025-12-06T18:23:00"/>
        <d v="2025-08-31T17:33:00"/>
        <d v="2025-06-26T13:47:00"/>
        <d v="2025-10-09T10:22:00"/>
        <d v="2025-12-26T14:17:00"/>
        <d v="2025-06-06T08:14:00"/>
        <d v="2025-03-03T23:12:00"/>
        <d v="2025-06-11T03:47:00"/>
        <d v="2025-10-02T22:11:00"/>
        <d v="2025-04-09T06:47:00"/>
        <d v="2025-09-05T08:46:00"/>
        <d v="2025-10-29T16:38:00"/>
        <d v="2025-05-25T03:53:00"/>
        <d v="2025-04-10T09:14:00"/>
        <d v="2025-07-04T05:19:00"/>
        <d v="2025-01-08T22:34:00"/>
        <d v="2025-03-06T08:02:00"/>
        <d v="2025-01-28T17:18:00"/>
        <d v="2025-12-24T04:40:00"/>
        <d v="2025-09-09T03:55:00"/>
        <d v="2025-01-07T18:18:00"/>
        <d v="2025-08-29T15:28:00"/>
        <d v="2025-06-24T05:03:00"/>
        <d v="2025-05-10T15:07:00"/>
        <d v="2025-02-03T12:31:00"/>
        <d v="2025-02-07T18:40:00"/>
        <d v="2025-12-18T01:09:00"/>
        <d v="2025-03-18T18:19:00"/>
        <d v="2025-02-13T07:07:00"/>
        <d v="2025-10-13T13:38:00"/>
        <d v="2025-11-02T19:14:00"/>
        <d v="2025-09-25T12:28:00"/>
        <d v="2025-08-15T09:55:00"/>
        <d v="2025-10-29T13:19:00"/>
        <d v="2025-10-19T19:03:00"/>
        <d v="2025-11-09T23:06:00"/>
        <d v="2025-04-17T20:13:00"/>
        <d v="2025-05-16T21:05:00"/>
        <d v="2025-03-22T07:11:00"/>
        <d v="2025-10-10T02:10:00"/>
        <d v="2025-01-02T13:28:00"/>
        <d v="2025-12-19T19:30:00"/>
        <d v="2025-05-30T01:14:00"/>
        <d v="2025-05-28T22:18:00"/>
        <d v="2025-12-26T14:04:00"/>
        <d v="2025-12-18T07:59:00"/>
        <d v="2025-05-16T20:37:00"/>
        <d v="2025-12-05T06:27:00"/>
        <d v="2025-02-28T17:14:00"/>
        <d v="2025-11-28T04:58:00"/>
        <d v="2025-05-17T04:04:00"/>
        <d v="2025-01-31T05:50:00"/>
        <d v="2025-06-07T19:47:00"/>
        <d v="2025-10-19T09:28:00"/>
        <d v="2025-03-05T14:44:00"/>
        <d v="2025-06-05T22:25:00"/>
        <d v="2025-05-20T16:34:00"/>
        <d v="2025-09-10T14:05:00"/>
        <d v="2025-11-03T01:56:00"/>
        <d v="2025-08-10T23:20:00"/>
        <d v="2025-11-06T08:01:00"/>
        <d v="2025-02-16T07:43:00"/>
        <d v="2025-10-22T18:01:00"/>
        <d v="2025-12-11T08:36:00"/>
        <d v="2025-01-21T05:30:00"/>
        <d v="2025-09-23T20:28:00"/>
        <d v="2025-05-23T05:37:00"/>
        <d v="2025-08-12T20:52:00"/>
        <d v="2025-09-09T02:30:00"/>
        <d v="2025-06-28T13:21:00"/>
        <d v="2025-06-14T21:06:00"/>
        <d v="2025-03-24T10:26:00"/>
        <d v="2025-12-22T15:18:00"/>
        <d v="2025-12-06T12:52:00"/>
        <d v="2025-10-09T01:29:00"/>
        <d v="2025-02-15T10:16:00"/>
        <d v="2025-06-15T03:49:00"/>
        <d v="2025-07-26T16:52:00"/>
        <d v="2025-01-01T21:55:00"/>
        <d v="2025-01-28T06:33:00"/>
        <d v="2025-07-05T19:48:00"/>
        <d v="2025-09-13T20:28:00"/>
        <d v="2025-01-27T06:17:00"/>
        <d v="2025-10-09T04:59:00"/>
        <d v="2025-05-28T14:56:00"/>
        <d v="2025-12-24T15:07:00"/>
        <d v="2025-01-15T20:38:00"/>
        <d v="2025-05-03T22:10:00"/>
        <d v="2025-06-09T17:00:00"/>
        <d v="2025-10-10T13:05:00"/>
        <d v="2025-04-26T03:29:00"/>
        <d v="2025-03-02T20:53:00"/>
        <d v="2025-03-20T15:59:00"/>
        <d v="2025-05-30T16:45:00"/>
        <d v="2025-05-20T13:53:00"/>
        <d v="2025-09-05T15:15:00"/>
        <d v="2025-08-22T17:09:00"/>
        <d v="2025-07-16T06:58:00"/>
        <d v="2025-11-03T16:47:00"/>
        <d v="2025-03-11T02:17:00"/>
        <d v="2025-08-01T10:59:00"/>
        <d v="2025-09-17T08:52:00"/>
        <d v="2025-01-02T09:46:00"/>
        <d v="2025-06-02T18:37:00"/>
        <d v="2025-12-04T15:55:00"/>
        <d v="2025-03-18T14:34:00"/>
        <d v="2025-09-05T11:21:00"/>
        <d v="2025-10-10T17:24:00"/>
        <d v="2025-08-22T10:55:00"/>
        <d v="2025-04-07T22:15:00"/>
        <d v="2025-10-20T12:14:00"/>
        <d v="2025-07-30T01:20:00"/>
        <d v="2025-08-31T22:58:00"/>
        <d v="2025-07-15T12:42:00"/>
        <d v="2025-11-30T04:31:00"/>
        <d v="2025-01-19T04:32:00"/>
        <d v="2025-10-30T10:55:00"/>
        <d v="2025-02-21T14:06:00"/>
        <d v="2025-09-27T14:00:00"/>
        <d v="2025-03-15T13:55:00"/>
        <d v="2025-12-02T04:04:00"/>
        <d v="2025-08-29T08:21:00"/>
        <d v="2025-11-16T22:25:00"/>
        <d v="2025-11-29T02:54:00"/>
        <d v="2025-06-18T21:54:00"/>
        <d v="2025-10-01T12:20:00"/>
        <d v="2025-11-17T22:56:00"/>
        <d v="2025-09-07T17:02:00"/>
        <d v="2025-11-13T02:15:00"/>
        <d v="2025-11-20T21:58:00"/>
        <d v="2025-05-28T07:47:00"/>
        <d v="2025-02-16T13:06:00"/>
        <d v="2025-11-21T22:55:00"/>
        <d v="2025-02-21T14:10:00"/>
        <d v="2025-12-22T09:57:00"/>
        <d v="2025-01-15T01:20:00"/>
        <d v="2025-01-29T09:22:00"/>
        <d v="2025-07-11T13:09:00"/>
        <d v="2025-05-06T16:26:00"/>
        <d v="2025-10-17T21:50:00"/>
        <d v="2025-04-03T05:11:00"/>
        <d v="2025-02-10T19:55:00"/>
        <d v="2025-07-15T19:43:00"/>
        <d v="2025-05-04T15:58:00"/>
        <d v="2025-10-26T04:14:00"/>
        <d v="2025-08-25T20:16:00"/>
        <d v="2025-08-24T08:42:00"/>
        <d v="2025-01-05T14:57:00"/>
        <d v="2025-05-28T21:34:00"/>
        <d v="2025-03-22T02:28:00"/>
        <d v="2025-06-26T18:19:00"/>
        <d v="2025-11-24T13:44:00"/>
        <d v="2025-05-09T14:54:00"/>
        <d v="2025-06-04T06:24:00"/>
        <d v="2025-09-05T03:15:00"/>
        <d v="2025-07-15T18:22:00"/>
        <d v="2025-10-22T09:44:00"/>
        <d v="2025-06-01T00:53:00"/>
        <d v="2025-12-04T12:17:00"/>
        <d v="2025-01-05T18:55:00"/>
        <d v="2025-12-18T23:03:00"/>
        <d v="2025-11-07T23:31:00"/>
        <d v="2025-05-27T07:38:00"/>
        <d v="2025-06-30T07:40:00"/>
        <d v="2025-04-08T19:16:00"/>
        <d v="2025-12-14T23:49:00"/>
        <d v="2025-12-04T21:53:00"/>
        <d v="2025-03-12T20:06:00"/>
        <d v="2025-11-18T20:02:00"/>
        <d v="2025-06-08T14:02:00"/>
        <d v="2025-10-24T11:46:00"/>
        <d v="2025-03-09T02:58:00"/>
        <d v="2025-06-01T10:47:00"/>
        <d v="2025-08-01T05:12:00"/>
        <d v="2025-03-09T17:56:00"/>
        <d v="2025-07-07T16:32:00"/>
        <d v="2025-05-20T05:16:00"/>
        <d v="2025-09-04T09:47:00"/>
        <d v="2025-06-23T03:29:00"/>
        <d v="2025-02-08T04:48:00"/>
        <d v="2025-04-26T21:46:00"/>
        <d v="2025-12-12T12:54:00"/>
        <d v="2025-10-13T11:05:00"/>
        <d v="2025-07-22T00:16:00"/>
        <d v="2025-10-02T03:29:00"/>
        <d v="2025-07-08T21:47:00"/>
        <d v="2025-12-11T08:37:00"/>
        <d v="2025-07-15T20:23:00"/>
        <d v="2025-02-25T21:14:00"/>
        <d v="2025-08-30T00:39:00"/>
        <d v="2025-10-15T10:58:00"/>
        <d v="2025-11-09T07:41:00"/>
        <d v="2025-02-02T20:52:00"/>
        <d v="2025-08-26T22:19:00"/>
        <d v="2025-11-29T13:07:00"/>
        <d v="2025-03-13T01:02:00"/>
        <d v="2025-06-05T15:07:00"/>
        <d v="2025-02-19T07:56:00"/>
        <d v="2025-10-03T04:24:00"/>
        <d v="2025-08-21T11:42:00"/>
        <d v="2025-12-23T17:26:00"/>
        <d v="2025-10-28T23:46:00"/>
        <d v="2025-03-21T13:41:00"/>
        <d v="2025-02-20T15:39:00"/>
        <d v="2025-07-28T08:02:00"/>
        <d v="2025-12-20T11:13:00"/>
        <d v="2025-08-16T14:15:00"/>
        <d v="2025-07-05T03:43:00"/>
        <d v="2025-07-08T17:57:00"/>
        <d v="2025-11-27T11:03:00"/>
        <d v="2025-07-23T08:12:00"/>
        <d v="2025-03-04T14:05:00"/>
        <d v="2025-12-06T06:41:00"/>
        <d v="2025-11-24T19:01:00"/>
        <d v="2025-01-26T10:15:00"/>
        <d v="2025-03-06T18:13:00"/>
        <d v="2025-02-05T17:13:00"/>
        <d v="2025-10-28T06:52:00"/>
        <d v="2025-04-30T10:49:00"/>
        <d v="2025-03-17T19:00:00"/>
        <d v="2025-05-22T04:08:00"/>
        <d v="2025-10-04T08:51:00"/>
        <d v="2025-03-31T03:42:00"/>
        <d v="2025-01-14T04:00:00"/>
        <d v="2025-07-03T07:37:00"/>
        <d v="2025-06-15T00:11:00"/>
        <d v="2025-05-16T01:08:00"/>
        <d v="2025-08-04T16:07:00"/>
        <d v="2025-02-02T15:28:00"/>
        <d v="2025-07-05T16:37:00"/>
        <d v="2025-02-25T14:32:00"/>
        <d v="2025-04-24T19:02:00"/>
        <d v="2025-12-04T16:19:00"/>
        <d v="2025-08-23T20:01:00"/>
        <d v="2025-02-01T15:54:00"/>
        <d v="2025-07-25T13:43:00"/>
        <d v="2025-02-25T15:45:00"/>
        <d v="2025-08-16T02:57:00"/>
        <d v="2025-02-11T10:38:00"/>
        <d v="2025-03-17T02:08:00"/>
        <d v="2025-05-21T19:40:00"/>
        <d v="2025-10-27T17:45:00"/>
        <d v="2025-06-16T12:38:00"/>
        <d v="2025-09-29T09:29:00"/>
        <d v="2025-09-16T19:27:00"/>
        <d v="2025-02-20T22:07:00"/>
        <d v="2025-12-02T20:56:00"/>
        <d v="2025-10-10T23:55:00"/>
        <d v="2025-04-21T13:28:00"/>
        <d v="2025-04-27T13:21:00"/>
        <d v="2025-08-21T12:26:00"/>
        <d v="2025-02-18T10:27:00"/>
        <d v="2025-06-10T21:16:00"/>
        <d v="2025-07-11T04:43:00"/>
        <d v="2025-08-31T02:05:00"/>
        <d v="2025-02-13T02:27:00"/>
        <d v="2025-02-19T23:47:00"/>
        <d v="2025-07-10T04:35:00"/>
        <d v="2025-01-31T18:35:00"/>
        <d v="2025-10-15T10:42:00"/>
        <d v="2025-03-04T13:22:00"/>
        <d v="2025-12-07T13:55:00"/>
        <d v="2025-01-27T09:38:00"/>
        <d v="2025-06-09T11:06:00"/>
        <d v="2025-10-23T16:13:00"/>
        <d v="2025-03-21T21:30:00"/>
        <d v="2025-04-25T03:22:00"/>
        <d v="2025-10-12T11:07:00"/>
        <d v="2025-05-23T18:14:00"/>
        <d v="2025-08-08T17:49:00"/>
        <d v="2025-11-15T19:43:00"/>
        <d v="2025-11-26T17:01:00"/>
        <d v="2025-11-08T21:53:00"/>
        <d v="2025-12-22T08:01:00"/>
        <d v="2025-04-03T08:44:00"/>
        <d v="2025-06-08T10:22:00"/>
        <d v="2025-01-04T05:55:00"/>
        <d v="2025-03-15T18:42:00"/>
        <d v="2025-07-25T02:09:00"/>
        <d v="2025-11-21T00:05:00"/>
        <d v="2025-09-29T06:24:00"/>
        <d v="2025-08-03T14:21:00"/>
        <d v="2025-03-22T11:19:00"/>
        <d v="2025-06-16T18:38:00"/>
        <d v="2025-02-13T01:09:00"/>
        <d v="2025-03-22T19:03:00"/>
        <d v="2025-12-12T02:17:00"/>
        <d v="2025-08-15T21:27:00"/>
        <d v="2025-09-06T19:28:00"/>
        <d v="2025-08-01T08:13:00"/>
        <d v="2025-09-20T03:22:00"/>
        <d v="2025-08-09T03:18:00"/>
        <d v="2025-12-14T21:37:00"/>
        <d v="2025-09-07T16:42:00"/>
        <d v="2025-06-07T01:14:00"/>
        <d v="2025-07-22T19:03:00"/>
        <d v="2025-01-04T06:19:00"/>
        <d v="2025-04-19T04:48:00"/>
        <d v="2025-05-11T09:20:00"/>
        <d v="2025-03-03T00:31:00"/>
        <d v="2025-08-09T05:08:00"/>
        <d v="2025-07-14T17:45:00"/>
        <d v="2025-04-28T16:35:00"/>
        <d v="2025-12-09T11:04:00"/>
        <d v="2025-07-23T23:02:00"/>
        <d v="2025-08-12T00:29:00"/>
        <d v="2025-02-09T10:36:00"/>
        <d v="2025-08-08T18:25:00"/>
        <d v="2025-12-30T20:26:00"/>
        <d v="2025-05-29T03:25:00"/>
        <d v="2025-01-11T10:10:00"/>
        <d v="2025-11-13T14:53:00"/>
        <d v="2025-12-20T11:05:00"/>
        <d v="2025-08-12T03:15:00"/>
        <d v="2025-08-12T18:25:00"/>
        <d v="2025-09-26T02:25:00"/>
        <d v="2025-06-08T23:21:00"/>
        <d v="2025-04-24T10:49:00"/>
        <d v="2025-03-28T02:32:00"/>
        <d v="2025-11-21T03:33:00"/>
        <d v="2025-09-19T06:57:00"/>
        <d v="2025-06-28T11:46:00"/>
        <d v="2025-11-27T04:15:00"/>
        <d v="2025-02-22T04:16:00"/>
        <d v="2025-04-12T05:38:00"/>
        <d v="2025-03-20T20:04:00"/>
        <d v="2025-04-01T20:31:00"/>
        <d v="2025-08-26T18:48:00"/>
        <d v="2025-10-24T14:43:00"/>
        <d v="2025-10-17T20:40:00"/>
        <d v="2025-11-16T10:55:00"/>
        <d v="2025-11-18T10:09:00"/>
        <d v="2025-08-14T02:30:00"/>
        <d v="2025-08-15T20:19:00"/>
        <d v="2025-05-21T18:03:00"/>
        <d v="2025-06-30T16:04:00"/>
        <d v="2025-06-08T14:28:00"/>
        <d v="2025-01-20T01:23:00"/>
        <d v="2025-05-27T02:41:00"/>
        <d v="2025-02-16T19:38:00"/>
        <d v="2025-09-17T12:29:00"/>
        <d v="2025-10-25T17:50:00"/>
        <d v="2025-01-22T14:58:00"/>
        <d v="2025-10-20T20:12:00"/>
        <d v="2025-06-14T19:30:00"/>
        <d v="2025-09-14T04:03:00"/>
        <d v="2025-08-19T03:51:00"/>
        <d v="2025-06-25T22:05:00"/>
        <d v="2025-09-16T20:11:00"/>
        <d v="2025-01-21T07:45:00"/>
        <d v="2025-08-13T14:33:00"/>
        <d v="2025-09-25T19:10:00"/>
        <d v="2025-07-06T11:58:00"/>
        <d v="2025-05-25T12:26:00"/>
        <d v="2025-06-23T21:38:00"/>
        <d v="2025-01-27T20:41:00"/>
        <d v="2025-06-21T02:21:00"/>
        <d v="2025-02-18T17:43:00"/>
        <d v="2025-07-17T09:16:00"/>
        <d v="2025-12-03T19:55:00"/>
        <d v="2025-03-18T10:05:00"/>
        <d v="2025-10-26T21:09:00"/>
        <d v="2025-06-29T09:41:00"/>
        <d v="2025-12-24T21:25:00"/>
        <d v="2025-03-08T19:45:00"/>
        <d v="2025-02-13T09:35:00"/>
        <d v="2025-07-12T20:50:00"/>
        <d v="2025-06-18T04:42:00"/>
        <d v="2025-12-26T23:43:00"/>
        <d v="2025-09-27T02:41:00"/>
        <d v="2025-12-10T13:32:00"/>
        <d v="2025-07-05T00:23:00"/>
        <d v="2025-06-08T05:13:00"/>
        <d v="2025-06-24T15:12:00"/>
        <d v="2025-04-26T04:09:00"/>
        <d v="2025-02-09T09:54:00"/>
        <d v="2025-02-21T16:49:00"/>
        <d v="2025-10-04T23:56:00"/>
        <d v="2025-09-27T01:42:00"/>
        <d v="2025-06-22T19:08:00"/>
        <d v="2025-11-02T12:09:00"/>
        <d v="2025-03-25T05:53:00"/>
        <d v="2025-12-21T19:51:00"/>
        <d v="2025-03-26T23:28:00"/>
        <d v="2025-01-23T13:23:00"/>
        <d v="2025-12-13T23:15:00"/>
        <d v="2025-08-16T19:18:00"/>
        <d v="2025-08-18T07:34:00"/>
        <d v="2025-05-03T09:51:00"/>
        <d v="2025-08-29T06:23:00"/>
        <d v="2025-12-14T18:28:00"/>
        <d v="2025-08-25T09:49:00"/>
        <d v="2025-07-15T16:33:00"/>
        <d v="2025-08-03T05:52:00"/>
        <d v="2025-04-13T19:08:00"/>
        <d v="2025-05-09T01:41:00"/>
        <d v="2025-09-04T11:35:00"/>
        <d v="2025-02-22T22:54:00"/>
        <d v="2025-09-22T03:18:00"/>
        <d v="2025-02-12T05:17:00"/>
        <d v="2025-08-19T16:09:00"/>
        <d v="2025-08-12T02:58:00"/>
        <d v="2025-04-24T14:56:00"/>
        <d v="2025-06-28T00:26:00"/>
        <d v="2025-01-28T12:32:00"/>
        <d v="2025-07-11T07:24:00"/>
        <d v="2025-02-11T11:14:00"/>
        <d v="2025-01-15T10:59:00"/>
        <d v="2025-02-20T22:41:00"/>
        <d v="2025-06-21T04:08:00"/>
        <d v="2025-01-20T09:58:00"/>
        <d v="2025-08-30T22:53:00"/>
        <d v="2025-03-13T22:30:00"/>
        <d v="2025-08-18T19:00:00"/>
        <d v="2025-02-10T00:16:00"/>
        <d v="2025-04-21T04:35:00"/>
        <d v="2025-11-08T16:27:00"/>
        <d v="2025-02-26T09:15:00"/>
        <d v="2025-06-04T03:03:00"/>
        <d v="2025-05-03T13:40:00"/>
        <d v="2025-11-15T14:04:00"/>
        <d v="2025-02-26T15:38:00"/>
        <d v="2025-10-02T00:40:00"/>
        <d v="2025-09-21T18:15:00"/>
        <d v="2025-03-15T09:27:00"/>
        <d v="2025-01-01T19:22:00"/>
        <d v="2025-05-04T18:26:00"/>
        <d v="2025-04-06T21:42:00"/>
        <d v="2025-02-13T16:23:00"/>
        <d v="2025-02-04T16:34:00"/>
        <d v="2025-09-17T16:35:00"/>
        <d v="2025-01-11T12:55:00"/>
        <d v="2025-08-29T01:40:00"/>
        <d v="2025-07-18T11:16:00"/>
        <d v="2025-01-09T11:50:00"/>
        <d v="2025-02-04T11:15:00"/>
        <d v="2025-12-03T20:06:00"/>
        <d v="2025-10-25T23:48:00"/>
        <d v="2025-06-20T04:02:00"/>
        <d v="2025-06-30T17:21:00"/>
        <d v="2025-11-26T05:53:00"/>
        <d v="2025-12-17T14:44:00"/>
        <d v="2025-09-03T20:11:00"/>
        <d v="2025-03-11T02:45:00"/>
        <d v="2025-08-23T01:18:00"/>
        <d v="2025-04-14T01:50:00"/>
        <d v="2025-04-13T01:20:00"/>
        <d v="2025-06-08T16:25:00"/>
        <d v="2025-10-06T15:16:00"/>
        <d v="2025-01-19T20:12:00"/>
        <d v="2025-05-27T11:55:00"/>
        <d v="2025-01-25T20:21:00"/>
        <d v="2025-05-20T03:51:00"/>
        <d v="2025-07-08T13:56:00"/>
        <d v="2025-07-24T23:28:00"/>
        <d v="2025-07-17T10:11:00"/>
        <d v="2025-09-12T22:31:00"/>
        <d v="2025-07-08T16:17:00"/>
        <d v="2025-02-12T23:27:00"/>
        <d v="2025-02-10T13:38:00"/>
        <d v="2025-04-03T17:18:00"/>
        <d v="2025-06-14T03:05:00"/>
        <d v="2025-06-17T21:18:00"/>
        <d v="2025-06-06T14:38:00"/>
        <d v="2025-08-07T05:44:00"/>
        <d v="2025-08-16T11:28:00"/>
        <d v="2025-01-22T23:55:00"/>
        <d v="2025-06-30T19:27:00"/>
        <d v="2025-05-21T20:50:00"/>
        <d v="2025-01-30T02:42:00"/>
        <d v="2025-11-23T12:23:00"/>
        <d v="2025-09-20T23:43:00"/>
        <d v="2025-03-23T00:09:00"/>
        <d v="2025-11-08T21:50:00"/>
        <d v="2025-08-13T01:08:00"/>
        <d v="2025-02-04T07:49:00"/>
        <d v="2025-11-27T11:23:00"/>
        <d v="2025-07-16T18:02:00"/>
        <d v="2025-11-06T04:43:00"/>
        <d v="2025-08-19T11:23:00"/>
        <d v="2025-08-16T02:36:00"/>
        <d v="2025-03-12T16:23:00"/>
        <d v="2025-07-23T10:41:00"/>
        <d v="2025-05-23T07:07:00"/>
        <d v="2025-01-14T23:11:00"/>
        <d v="2025-09-13T16:24:00"/>
        <d v="2025-10-15T03:16:00"/>
        <d v="2025-05-14T22:28:00"/>
        <d v="2025-04-20T19:18:00"/>
        <d v="2025-12-22T15:12:00"/>
        <d v="2025-03-04T04:54:00"/>
        <d v="2025-02-07T14:11:00"/>
        <d v="2025-08-16T02:51:00"/>
        <d v="2025-12-16T10:42:00"/>
        <d v="2025-06-27T22:04:00"/>
        <d v="2025-10-09T17:18:00"/>
        <d v="2025-06-03T05:45:00"/>
        <d v="2025-12-30T22:40:00"/>
        <d v="2025-03-31T11:32:00"/>
        <d v="2025-04-25T03:12:00"/>
        <d v="2025-03-13T07:50:00"/>
        <d v="2025-09-10T00:23:00"/>
        <d v="2025-10-11T18:23:00"/>
        <d v="2025-08-28T17:08:00"/>
        <d v="2025-11-10T02:04:00"/>
        <d v="2025-06-08T12:45:00"/>
        <d v="2025-09-03T16:26:00"/>
        <d v="2025-07-29T18:04:00"/>
        <d v="2025-03-06T10:41:00"/>
        <d v="2025-02-07T14:29:00"/>
        <d v="2025-12-15T16:22:00"/>
        <d v="2025-03-07T17:40:00"/>
        <d v="2025-10-28T05:49:00"/>
        <d v="2025-03-08T13:32:00"/>
        <d v="2025-01-29T03:33:00"/>
        <d v="2025-03-20T09:10:00"/>
        <d v="2025-03-24T10:59:00"/>
        <d v="2025-12-30T07:22:00"/>
        <d v="2025-09-23T09:54:00"/>
        <d v="2025-02-10T08:12:00"/>
        <d v="2025-11-22T17:17:00"/>
        <d v="2025-03-06T20:19:00"/>
        <d v="2025-11-11T17:05:00"/>
        <d v="2025-09-15T20:10:00"/>
        <d v="2025-10-31T18:09:00"/>
        <d v="2025-03-29T21:39:00"/>
        <d v="2025-11-06T10:53:00"/>
        <d v="2025-10-16T01:52:00"/>
        <d v="2025-01-15T02:02:00"/>
        <d v="2025-11-25T18:16:00"/>
        <d v="2025-11-30T06:49:00"/>
        <d v="2025-10-20T13:39:00"/>
        <d v="2025-11-24T00:31:00"/>
        <d v="2025-11-18T17:18:00"/>
        <d v="2025-11-25T09:30:00"/>
        <d v="2025-05-06T21:25:00"/>
        <d v="2025-06-02T14:04:00"/>
        <d v="2025-12-19T01:10:00"/>
        <d v="2025-08-14T13:30:00"/>
        <d v="2025-08-26T06:21:00"/>
        <d v="2025-11-07T04:20:00"/>
        <d v="2025-06-13T23:55:00"/>
        <d v="2025-06-26T12:08:00"/>
        <d v="2025-07-09T16:35:00"/>
        <d v="2025-02-24T10:15:00"/>
        <d v="2025-08-27T03:17:00"/>
        <d v="2025-08-19T07:09:00"/>
        <d v="2025-02-19T01:18:00"/>
        <d v="2025-07-16T19:26:00"/>
        <d v="2025-05-08T05:52:00"/>
        <d v="2025-06-17T18:46:00"/>
        <d v="2025-06-10T06:48:00"/>
        <d v="2025-03-23T15:32:00"/>
        <d v="2025-08-28T15:56:00"/>
        <d v="2025-06-07T15:01:00"/>
        <d v="2025-02-16T12:32:00"/>
        <d v="2025-08-23T07:13:00"/>
        <d v="2025-10-26T11:03:00"/>
        <d v="2025-01-26T09:31:00"/>
        <d v="2025-11-02T20:43:00"/>
        <d v="2025-08-29T09:34:00"/>
        <d v="2025-01-05T03:27:00"/>
        <d v="2025-03-10T08:46:00"/>
        <d v="2025-07-07T12:23:00"/>
        <d v="2025-01-24T12:03:00"/>
        <d v="2025-10-19T17:12:00"/>
        <d v="2025-07-05T17:18:00"/>
        <d v="2025-02-07T12:32:00"/>
        <d v="2025-08-19T17:17:00"/>
        <d v="2025-11-16T21:39:00"/>
        <d v="2025-03-02T04:06:00"/>
        <d v="2025-07-21T11:50:00"/>
        <d v="2025-06-23T17:23:00"/>
        <d v="2025-03-15T06:38:00"/>
        <d v="2025-09-18T12:32:00"/>
        <d v="2025-01-21T01:02:00"/>
        <d v="2025-03-12T22:21:00"/>
        <d v="2025-08-31T16:29:00"/>
        <d v="2025-03-18T19:57:00"/>
        <d v="2025-09-21T04:20:00"/>
        <d v="2025-11-10T10:10:00"/>
        <d v="2025-07-21T19:47:00"/>
        <d v="2025-06-03T18:21:00"/>
        <d v="2025-09-17T16:34:00"/>
        <d v="2025-09-08T22:36:00"/>
        <d v="2025-06-03T15:52:00"/>
        <d v="2025-01-09T11:21:00"/>
        <d v="2025-12-11T03:26:00"/>
        <d v="2025-10-26T09:50:00"/>
        <d v="2025-12-19T20:01:00"/>
        <d v="2025-11-02T15:16:00"/>
        <d v="2025-12-02T18:36:00"/>
        <d v="2025-04-27T23:03:00"/>
        <d v="2025-10-26T15:10:00"/>
        <d v="2025-09-26T20:46:00"/>
        <d v="2025-11-14T12:09:00"/>
        <d v="2025-12-15T07:02:00"/>
        <d v="2025-10-21T22:07:00"/>
        <d v="2025-04-08T00:28:00"/>
        <d v="2025-06-10T13:09:00"/>
        <d v="2025-07-31T22:13:00"/>
        <d v="2025-07-30T16:49:00"/>
        <d v="2025-11-10T15:55:00"/>
        <d v="2025-02-01T22:08:00"/>
        <d v="2025-09-23T06:35:00"/>
        <d v="2025-06-16T21:30:00"/>
        <d v="2025-09-27T12:20:00"/>
        <d v="2025-03-30T14:58:00"/>
        <d v="2025-09-30T10:34:00"/>
        <d v="2025-07-01T21:49:00"/>
        <d v="2025-12-15T20:51:00"/>
        <d v="2025-12-21T08:39:00"/>
        <d v="2025-09-05T06:15:00"/>
        <d v="2025-05-23T17:19:00"/>
        <d v="2025-04-26T09:49:00"/>
        <d v="2025-05-28T22:13:00"/>
        <d v="2025-12-20T22:31:00"/>
        <d v="2025-06-12T15:22:00"/>
        <d v="2025-10-14T23:17:00"/>
        <d v="2025-05-28T03:36:00"/>
        <d v="2025-12-13T17:24:00"/>
        <d v="2025-07-22T11:49:00"/>
        <d v="2025-03-16T09:02:00"/>
        <d v="2025-05-28T22:05:00"/>
        <d v="2025-06-27T14:41:00"/>
        <d v="2025-05-12T23:30:00"/>
        <d v="2025-04-20T06:52:00"/>
        <d v="2025-10-03T08:59:00"/>
        <d v="2025-10-15T22:17:00"/>
        <d v="2025-03-12T03:39:00"/>
        <d v="2025-10-28T07:15:00"/>
        <d v="2025-01-26T21:57:00"/>
        <d v="2025-09-29T07:40:00"/>
        <d v="2025-04-30T01:06:00"/>
        <d v="2025-07-31T10:45:00"/>
        <d v="2025-08-30T03:43:00"/>
        <d v="2025-03-12T00:35:00"/>
        <d v="2025-03-22T13:41:00"/>
        <d v="2025-09-01T15:41:00"/>
        <d v="2025-04-13T09:20:00"/>
        <d v="2025-05-27T20:03:00"/>
        <d v="2025-02-15T20:36:00"/>
        <d v="2025-04-29T17:47:00"/>
        <d v="2025-01-20T05:26:00"/>
        <d v="2025-04-01T01:53:00"/>
        <d v="2025-07-23T15:11:00"/>
        <d v="2025-05-29T01:00:00"/>
        <d v="2025-06-02T18:38:00"/>
        <d v="2025-02-24T10:18:00"/>
        <d v="2025-08-21T20:34:00"/>
        <d v="2025-09-26T15:56:00"/>
        <d v="2025-03-10T16:29:00"/>
        <d v="2025-05-20T06:51:00"/>
        <d v="2025-02-27T10:10:00"/>
        <d v="2025-08-23T20:16:00"/>
        <d v="2025-04-06T00:47:00"/>
        <d v="2025-06-22T09:36:00"/>
        <d v="2025-12-12T06:11:00"/>
        <d v="2025-11-09T20:57:00"/>
        <d v="2025-07-27T13:32:00"/>
        <d v="2025-06-17T02:25:00"/>
        <d v="2025-12-09T03:11:00"/>
        <d v="2025-03-13T15:20:00"/>
        <d v="2025-05-08T00:16:00"/>
        <d v="2025-07-16T07:28:00"/>
        <d v="2025-05-17T10:19:00"/>
        <d v="2025-10-26T23:36:00"/>
        <d v="2025-01-06T08:41:00"/>
        <d v="2025-07-04T22:15:00"/>
        <d v="2025-02-01T21:07:00"/>
        <d v="2025-08-27T09:10:00"/>
        <d v="2025-07-27T21:32:00"/>
        <d v="2025-12-27T09:44:00"/>
        <d v="2025-03-02T20:58:00"/>
        <d v="2025-06-01T11:39:00"/>
        <d v="2025-04-24T07:08:00"/>
        <d v="2025-09-02T04:29:00"/>
        <d v="2025-11-07T11:26:00"/>
        <d v="2025-12-26T17:58:00"/>
        <d v="2025-08-30T17:51:00"/>
        <d v="2025-12-07T06:48:00"/>
        <d v="2025-05-07T21:48:00"/>
        <d v="2025-11-02T02:33:00"/>
        <d v="2025-08-17T16:45:00"/>
        <d v="2025-07-05T02:58:00"/>
        <d v="2025-10-16T03:03:00"/>
        <d v="2025-10-08T16:12:00"/>
        <d v="2025-10-21T17:09:00"/>
        <d v="2025-03-26T10:54:00"/>
        <d v="2025-09-24T14:07:00"/>
        <d v="2025-12-15T06:45:00"/>
        <d v="2025-10-26T15:05:00"/>
        <d v="2025-09-19T14:51:00"/>
        <d v="2025-01-29T14:08:00"/>
        <d v="2025-09-20T13:29:00"/>
        <d v="2025-10-16T01:35:00"/>
        <d v="2025-08-25T21:51:00"/>
        <d v="2025-06-07T23:01:00"/>
        <d v="2025-07-22T08:52:00"/>
        <d v="2025-01-02T23:13:00"/>
        <d v="2025-10-24T02:02:00"/>
        <d v="2025-08-05T11:44:00"/>
        <d v="2025-02-02T17:03:00"/>
        <d v="2025-02-05T15:02:00"/>
        <d v="2025-05-27T13:11:00"/>
        <d v="2025-03-11T20:46:00"/>
        <d v="2025-11-27T13:23:00"/>
        <d v="2025-07-15T14:55:00"/>
        <d v="2025-07-13T12:05:00"/>
        <d v="2025-12-16T21:55:00"/>
        <d v="2025-10-04T04:41:00"/>
        <d v="2025-06-28T03:11:00"/>
        <d v="2025-10-03T12:33:00"/>
        <d v="2025-03-07T23:14:00"/>
        <d v="2025-01-02T00:19:00"/>
        <d v="2025-08-26T21:46:00"/>
        <d v="2025-10-06T13:34:00"/>
        <d v="2025-07-14T07:15:00"/>
        <d v="2025-08-24T11:09:00"/>
        <d v="2025-05-22T06:59:00"/>
        <d v="2025-02-27T01:51:00"/>
        <d v="2025-12-05T13:39:00"/>
        <d v="2025-01-09T07:13:00"/>
        <d v="2025-02-04T03:38:00"/>
        <d v="2025-01-18T14:38:00"/>
        <d v="2025-12-11T22:55:00"/>
        <d v="2025-01-25T07:47:00"/>
        <d v="2025-01-23T12:28:00"/>
        <d v="2025-04-30T17:13:00"/>
        <d v="2025-01-29T04:32:00"/>
        <d v="2025-05-29T07:52:00"/>
        <d v="2025-10-22T10:36:00"/>
        <d v="2025-11-03T21:52:00"/>
        <d v="2025-06-14T07:19:00"/>
        <d v="2025-03-15T21:33:00"/>
        <d v="2025-04-24T13:19:00"/>
        <d v="2025-05-21T01:35:00"/>
        <d v="2025-10-30T23:58:00"/>
        <d v="2025-03-31T20:43:00"/>
        <d v="2025-08-07T17:31:00"/>
        <d v="2025-01-25T11:41:00"/>
        <d v="2025-12-10T12:50:00"/>
        <d v="2025-09-26T10:44:00"/>
        <d v="2025-08-02T13:09:00"/>
        <d v="2025-06-03T12:11:00"/>
        <d v="2025-10-03T15:15:00"/>
        <d v="2025-04-26T09:54:00"/>
        <d v="2025-12-29T04:51:00"/>
        <d v="2025-07-31T13:35:00"/>
        <d v="2025-09-29T04:24:00"/>
        <d v="2025-05-05T08:13:00"/>
        <d v="2025-06-19T20:05:00"/>
        <d v="2025-08-19T11:05:00"/>
        <d v="2025-10-02T23:53:00"/>
        <d v="2025-04-08T01:17:00"/>
        <d v="2025-07-13T21:38:00"/>
        <d v="2025-11-05T01:55:00"/>
        <d v="2025-02-07T06:51:00"/>
        <d v="2025-10-28T23:42:00"/>
        <d v="2025-10-14T06:30:00"/>
        <d v="2025-04-17T10:19:00"/>
        <d v="2025-01-08T06:59:00"/>
        <d v="2025-04-08T23:07:00"/>
        <d v="2025-09-03T07:44:00"/>
        <d v="2025-11-06T22:13:00"/>
        <d v="2025-07-23T07:35:00"/>
        <d v="2025-06-14T09:24:00"/>
        <d v="2025-08-27T17:41:00"/>
        <d v="2025-07-03T09:16:00"/>
        <d v="2025-07-04T16:56:00"/>
        <d v="2025-09-12T14:06:00"/>
        <d v="2025-08-29T10:58:00"/>
        <d v="2025-04-15T11:20:00"/>
        <d v="2025-07-31T01:36:00"/>
        <d v="2025-04-24T23:09:00"/>
        <d v="2025-01-09T08:35:00"/>
        <d v="2025-10-27T18:46:00"/>
        <d v="2025-08-02T09:09:00"/>
        <d v="2025-04-11T10:14:00"/>
        <d v="2025-07-14T18:53:00"/>
        <d v="2025-05-06T15:35:00"/>
        <d v="2025-12-02T21:21:00"/>
        <d v="2025-05-12T15:46:00"/>
        <d v="2025-11-25T23:31:00"/>
        <d v="2025-08-24T05:46:00"/>
        <d v="2025-06-30T05:08:00"/>
        <d v="2025-10-07T15:11:00"/>
        <d v="2025-10-05T20:03:00"/>
        <d v="2025-09-26T01:53:00"/>
        <d v="2025-02-08T21:03:00"/>
        <d v="2025-01-04T13:08:00"/>
        <d v="2025-11-19T07:04:00"/>
        <d v="2025-12-29T04:00:00"/>
        <d v="2025-04-22T16:29:00"/>
        <d v="2025-07-11T01:39:00"/>
        <d v="2025-11-23T21:59:00"/>
        <d v="2025-11-12T15:42:00"/>
        <d v="2025-09-07T00:00:00"/>
        <d v="2025-09-30T17:26:00"/>
        <d v="2025-01-07T00:33:00"/>
        <d v="2025-05-21T17:18:00"/>
        <d v="2025-01-09T16:52:00"/>
        <d v="2025-12-24T21:27:00"/>
        <d v="2025-04-02T03:58:00"/>
        <d v="2025-02-19T16:09:00"/>
        <d v="2025-05-04T06:39:00"/>
        <d v="2025-09-27T08:52:00"/>
        <d v="2025-07-01T08:50:00"/>
        <d v="2025-07-23T02:23:00"/>
        <d v="2025-07-27T14:36:00"/>
        <d v="2025-05-05T22:14:00"/>
        <d v="2025-06-03T21:52:00"/>
        <d v="2025-02-11T20:54:00"/>
        <d v="2025-11-29T01:05:00"/>
        <d v="2025-07-27T12:24:00"/>
        <d v="2025-10-10T15:03:00"/>
        <d v="2025-11-23T00:44:00"/>
        <d v="2025-03-29T02:31:00"/>
        <d v="2025-08-11T20:50:00"/>
        <d v="2025-06-19T18:54:00"/>
        <d v="2025-02-18T16:58:00"/>
        <d v="2025-01-22T07:13:00"/>
        <d v="2025-12-21T18:30:00"/>
        <d v="2025-05-19T01:59:00"/>
        <d v="2025-02-08T21:59:00"/>
        <d v="2025-05-24T17:36:00"/>
        <d v="2025-12-03T01:11:00"/>
        <d v="2025-06-11T00:13:00"/>
        <d v="2025-10-28T04:48:00"/>
        <d v="2025-07-23T02:19:00"/>
        <d v="2025-03-25T18:15:00"/>
        <d v="2025-10-18T12:43:00"/>
        <d v="2025-10-04T10:24:00"/>
        <d v="2025-03-13T22:46:00"/>
        <d v="2025-02-10T16:47:00"/>
        <d v="2025-06-27T01:06:00"/>
        <d v="2025-08-12T07:53:00"/>
        <d v="2025-02-08T10:38:00"/>
        <d v="2025-11-11T19:25:00"/>
        <d v="2025-06-17T00:40:00"/>
        <d v="2025-05-20T14:31:00"/>
        <d v="2025-04-27T11:35:00"/>
        <d v="2025-07-12T13:11:00"/>
        <d v="2025-12-15T18:42:00"/>
        <d v="2025-07-14T02:49:00"/>
        <d v="2025-11-13T09:51:00"/>
        <d v="2025-05-07T22:04:00"/>
        <d v="2025-02-12T08:09:00"/>
        <d v="2025-07-14T22:50:00"/>
        <d v="2025-11-21T04:47:00"/>
        <d v="2025-07-19T10:23:00"/>
        <d v="2025-02-24T02:00:00"/>
        <d v="2025-06-07T14:23:00"/>
        <d v="2025-05-19T03:08:00"/>
        <d v="2025-02-14T05:27:00"/>
        <d v="2025-08-18T17:35:00"/>
        <d v="2025-09-20T13:06:00"/>
        <d v="2025-01-14T02:22:00"/>
        <d v="2025-10-11T02:38:00"/>
        <d v="2025-11-03T10:55:00"/>
        <d v="2025-07-17T00:18:00"/>
        <d v="2025-07-31T12:49:00"/>
        <d v="2025-02-13T23:57:00"/>
        <d v="2025-10-14T07:36:00"/>
        <d v="2025-09-24T05:43:00"/>
        <d v="2025-07-14T05:08:00"/>
        <d v="2025-05-18T09:17:00"/>
        <d v="2025-09-10T04:04:00"/>
        <d v="2025-03-27T13:17:00"/>
        <d v="2025-08-04T09:30:00"/>
        <d v="2025-02-09T11:16:00"/>
        <d v="2025-05-07T23:40:00"/>
        <d v="2025-09-11T19:39:00"/>
        <d v="2025-04-11T14:06:00"/>
        <d v="2025-03-11T09:00:00"/>
        <d v="2025-07-22T10:53:00"/>
        <d v="2025-11-14T12:51:00"/>
        <d v="2025-06-18T14:21:00"/>
        <d v="2025-08-09T20:38:00"/>
        <d v="2025-03-11T09:20:00"/>
        <d v="2025-11-05T22:12:00"/>
        <d v="2025-09-03T10:11:00"/>
        <d v="2025-07-23T10:18:00"/>
        <d v="2025-12-22T20:31:00"/>
        <d v="2025-10-22T07:20:00"/>
        <d v="2025-07-12T08:52:00"/>
        <d v="2025-07-21T11:07:00"/>
        <d v="2025-10-16T06:37:00"/>
        <d v="2025-10-07T05:43:00"/>
        <d v="2025-10-09T00:46:00"/>
        <d v="2025-08-25T22:13:00"/>
        <d v="2025-08-13T09:53:00"/>
        <d v="2025-12-21T02:52:00"/>
        <d v="2025-07-29T21:31:00"/>
        <d v="2025-03-13T20:19:00"/>
        <d v="2025-05-04T08:42:00"/>
        <d v="2025-03-20T22:27:00"/>
        <d v="2025-07-13T02:28:00"/>
        <d v="2025-11-03T15:37:00"/>
        <d v="2025-07-25T17:32:00"/>
        <d v="2025-12-21T13:34:00"/>
        <d v="2025-01-19T11:44:00"/>
        <d v="2025-10-02T19:40:00"/>
        <d v="2025-02-13T03:49:00"/>
        <d v="2025-05-08T21:42:00"/>
        <d v="2025-07-01T05:41:00"/>
        <d v="2025-11-10T01:36:00"/>
        <d v="2025-11-27T21:41:00"/>
        <d v="2025-07-24T10:50:00"/>
        <d v="2025-08-09T03:00:00"/>
        <d v="2025-02-20T08:14:00"/>
        <d v="2025-09-19T23:33:00"/>
        <d v="2025-10-13T18:44:00"/>
        <d v="2025-10-22T07:28:00"/>
        <d v="2025-07-11T12:29:00"/>
        <d v="2025-12-14T18:44:00"/>
        <d v="2025-09-14T04:22:00"/>
        <d v="2025-01-13T15:06:00"/>
        <d v="2025-06-01T13:58:00"/>
        <d v="2025-02-13T03:53:00"/>
        <d v="2025-03-14T11:19:00"/>
        <d v="2025-06-25T14:50:00"/>
        <d v="2025-04-16T16:30:00"/>
        <d v="2025-06-28T15:06:00"/>
        <d v="2025-08-13T23:44:00"/>
        <d v="2025-08-20T10:04:00"/>
        <d v="2025-06-03T01:51:00"/>
        <d v="2025-12-30T03:01:00"/>
        <d v="2025-06-25T20:06:00"/>
        <d v="2025-12-13T05:59:00"/>
        <d v="2025-05-05T16:11:00"/>
        <d v="2025-10-10T05:21:00"/>
        <d v="2025-10-14T13:29:00"/>
        <d v="2025-04-29T12:40:00"/>
        <d v="2025-04-05T05:40:00"/>
        <d v="2025-12-03T13:25:00"/>
        <d v="2025-01-15T23:39:00"/>
        <d v="2025-04-12T14:37:00"/>
        <d v="2025-08-08T12:00:00"/>
        <d v="2025-12-27T06:13:00"/>
        <d v="2025-05-23T22:51:00"/>
        <d v="2025-02-02T18:06:00"/>
        <d v="2025-10-02T05:23:00"/>
        <d v="2025-06-16T06:29:00"/>
        <d v="2025-02-28T08:42:00"/>
        <d v="2025-09-08T16:40:00"/>
        <d v="2025-06-10T19:24:00"/>
        <d v="2025-11-09T12:37:00"/>
        <d v="2025-02-28T11:22:00"/>
        <d v="2025-08-23T19:11:00"/>
        <d v="2025-12-11T22:51:00"/>
        <d v="2025-06-02T19:37:00"/>
        <d v="2025-02-13T21:08:00"/>
        <d v="2025-06-10T03:15:00"/>
        <d v="2025-06-06T03:11:00"/>
        <d v="2025-07-11T22:09:00"/>
        <d v="2025-09-19T12:26:00"/>
        <d v="2025-11-02T04:36:00"/>
        <d v="2025-07-16T13:11:00"/>
        <d v="2025-09-07T20:34:00"/>
        <d v="2025-12-22T20:59:00"/>
        <d v="2025-03-30T17:10:00"/>
        <d v="2025-09-08T09:08:00"/>
        <d v="2025-04-06T10:53:00"/>
        <d v="2025-08-19T19:03:00"/>
        <d v="2025-07-03T00:31:00"/>
        <d v="2025-03-11T06:52:00"/>
        <d v="2025-07-16T17:32:00"/>
        <d v="2025-12-01T15:26:00"/>
        <d v="2025-12-17T15:26:00"/>
        <d v="2025-12-30T14:31:00"/>
        <d v="2025-03-27T02:36:00"/>
        <d v="2025-01-16T07:18:00"/>
        <d v="2025-01-17T08:14:00"/>
        <d v="2025-10-03T09:10:00"/>
        <d v="2025-08-23T18:47:00"/>
        <d v="2025-09-11T17:32:00"/>
        <d v="2025-02-27T18:07:00"/>
        <d v="2025-05-18T17:52:00"/>
        <d v="2025-07-07T17:52:00"/>
        <d v="2025-01-22T23:28:00"/>
        <d v="2025-10-07T06:27:00"/>
        <d v="2025-02-22T23:53:00"/>
        <d v="2025-12-01T07:19:00"/>
        <d v="2025-01-17T14:16:00"/>
        <d v="2025-06-28T02:28:00"/>
        <d v="2025-03-02T07:13:00"/>
        <d v="2025-10-29T22:22:00"/>
        <d v="2025-12-30T19:40:00"/>
        <d v="2025-08-08T05:39:00"/>
        <d v="2025-03-13T06:52:00"/>
        <d v="2025-04-16T01:36:00"/>
        <d v="2025-06-29T17:17:00"/>
        <d v="2025-11-02T17:10:00"/>
        <d v="2025-06-15T22:18:00"/>
        <d v="2025-05-29T18:17:00"/>
        <d v="2025-09-21T21:52:00"/>
        <d v="2025-02-18T04:48:00"/>
        <d v="2025-07-30T01:17:00"/>
        <d v="2025-12-02T04:44:00"/>
        <d v="2025-03-09T07:09:00"/>
        <d v="2025-06-14T07:48:00"/>
        <d v="2025-12-13T12:31:00"/>
        <d v="2025-03-14T18:40:00"/>
        <d v="2025-05-18T20:26:00"/>
        <d v="2025-07-12T14:04:00"/>
        <d v="2025-11-21T02:25:00"/>
        <d v="2025-09-21T23:17:00"/>
        <d v="2025-12-22T11:29:00"/>
        <d v="2025-09-07T10:37:00"/>
        <d v="2025-01-02T23:05:00"/>
        <d v="2025-08-23T20:42:00"/>
        <d v="2025-12-24T11:54:00"/>
        <d v="2025-02-02T17:25:00"/>
        <d v="2025-04-22T13:52:00"/>
        <d v="2025-04-19T15:17:00"/>
        <d v="2025-06-15T09:21:00"/>
        <d v="2025-10-08T18:08:00"/>
        <d v="2025-10-17T15:50:00"/>
        <d v="2025-06-25T21:48:00"/>
        <d v="2025-01-25T01:06:00"/>
        <d v="2025-11-17T14:01:00"/>
        <d v="2025-03-05T05:28:00"/>
        <d v="2025-08-22T00:27:00"/>
        <d v="2025-04-14T22:58:00"/>
        <d v="2025-03-09T20:19:00"/>
        <d v="2025-03-23T08:05:00"/>
        <d v="2025-12-02T11:16:00"/>
        <d v="2025-02-12T11:42:00"/>
        <d v="2025-11-29T05:03:00"/>
        <d v="2025-07-22T20:19:00"/>
        <d v="2025-12-25T07:27:00"/>
        <d v="2025-12-02T02:45:00"/>
        <d v="2025-02-18T00:13:00"/>
        <d v="2025-09-02T02:08:00"/>
        <d v="2025-10-31T07:33:00"/>
        <d v="2025-12-15T14:00:00"/>
        <d v="2025-01-05T22:21:00"/>
        <d v="2025-03-03T13:44:00"/>
        <d v="2025-03-09T15:04:00"/>
        <d v="2025-04-28T12:05:00"/>
        <d v="2025-02-22T03:20:00"/>
        <d v="2025-07-08T09:08:00"/>
        <d v="2025-07-15T04:41:00"/>
        <d v="2025-12-13T04:04:00"/>
        <d v="2025-09-29T18:00:00"/>
        <d v="2025-11-09T20:10:00"/>
        <d v="2025-08-14T11:46:00"/>
        <d v="2025-04-20T20:47:00"/>
        <d v="2025-03-19T13:39:00"/>
        <d v="2025-12-18T14:55:00"/>
        <d v="2025-04-22T02:57:00"/>
        <d v="2025-02-21T04:48:00"/>
        <d v="2025-03-05T18:46:00"/>
        <d v="2025-07-16T11:27:00"/>
        <d v="2025-06-11T04:15:00"/>
        <d v="2025-05-22T20:05:00"/>
        <d v="2025-05-08T17:38:00"/>
        <d v="2025-11-04T23:38:00"/>
        <d v="2025-05-26T22:01:00"/>
        <d v="2025-12-04T09:13:00"/>
        <d v="2025-09-23T19:32:00"/>
        <d v="2025-04-07T23:25:00"/>
        <d v="2025-06-01T20:03:00"/>
        <d v="2025-05-03T15:24:00"/>
        <d v="2025-02-27T07:31:00"/>
        <d v="2025-11-23T19:04:00"/>
        <d v="2025-09-28T00:23:00"/>
        <d v="2025-06-12T04:24:00"/>
        <d v="2025-10-19T13:23:00"/>
        <d v="2025-10-07T21:11:00"/>
        <d v="2025-08-30T02:01:00"/>
        <d v="2025-10-28T02:00:00"/>
        <d v="2025-05-15T06:02:00"/>
        <d v="2025-01-31T12:32:00"/>
        <d v="2025-05-27T20:45:00"/>
        <d v="2025-09-14T13:27:00"/>
        <d v="2025-12-26T12:05:00"/>
        <d v="2025-11-24T17:34:00"/>
        <d v="2025-11-12T04:17:00"/>
        <d v="2025-02-12T09:05:00"/>
        <d v="2025-09-19T06:51:00"/>
        <d v="2025-03-21T17:20:00"/>
        <d v="2025-07-20T18:40:00"/>
        <d v="2025-11-29T21:41:00"/>
        <d v="2025-02-03T09:44:00"/>
        <d v="2025-08-12T23:54:00"/>
        <d v="2025-05-03T01:15:00"/>
        <d v="2025-02-14T13:07:00"/>
        <d v="2025-08-21T19:38:00"/>
        <d v="2025-01-29T09:42:00"/>
        <d v="2025-12-03T23:11:00"/>
        <d v="2025-03-03T00:45:00"/>
        <d v="2025-03-12T22:00:00"/>
        <d v="2025-03-25T15:22:00"/>
        <d v="2025-09-25T16:50:00"/>
        <d v="2025-05-13T05:23:00"/>
        <d v="2025-03-06T23:49:00"/>
        <d v="2025-05-18T23:56:00"/>
        <d v="2025-03-02T00:21:00"/>
        <d v="2025-08-08T08:33:00"/>
        <d v="2025-02-02T08:45:00"/>
        <d v="2025-10-23T20:04:00"/>
        <d v="2025-09-12T14:32:00"/>
        <d v="2025-07-04T01:31:00"/>
        <d v="2025-10-18T05:23:00"/>
        <d v="2025-03-22T08:49:00"/>
        <d v="2025-02-22T18:43:00"/>
        <d v="2025-03-01T07:47:00"/>
        <d v="2025-09-18T00:02:00"/>
        <d v="2025-01-07T07:02:00"/>
        <d v="2025-08-30T11:24:00"/>
        <d v="2025-03-18T05:59:00"/>
        <d v="2025-01-19T17:51:00"/>
        <d v="2025-12-02T13:14:00"/>
        <d v="2025-06-14T07:26:00"/>
        <d v="2025-06-13T08:52:00"/>
        <d v="2025-02-09T18:23:00"/>
        <d v="2025-03-03T16:43:00"/>
        <d v="2025-01-27T05:14:00"/>
        <d v="2025-09-22T01:25:00"/>
        <d v="2025-02-05T14:55:00"/>
        <d v="2025-05-25T09:20:00"/>
        <d v="2025-02-14T17:29:00"/>
        <d v="2025-01-05T11:12:00"/>
        <d v="2025-05-30T18:50:00"/>
        <d v="2025-06-05T23:39:00"/>
        <d v="2025-05-05T14:23:00"/>
        <d v="2025-10-30T15:49:00"/>
        <d v="2025-04-11T23:57:00"/>
        <d v="2025-10-07T07:09:00"/>
        <d v="2025-01-04T13:01:00"/>
        <d v="2025-04-30T17:22:00"/>
        <d v="2025-11-22T22:56:00"/>
        <d v="2025-01-05T10:00:00"/>
        <d v="2025-12-03T12:54:00"/>
        <d v="2025-06-07T03:13:00"/>
        <d v="2025-09-29T07:26:00"/>
        <d v="2025-09-09T01:09:00"/>
        <d v="2025-05-24T02:02:00"/>
        <d v="2025-04-29T16:26:00"/>
        <d v="2025-12-25T11:29:00"/>
        <d v="2025-02-13T18:06:00"/>
        <d v="2025-09-16T04:40:00"/>
        <d v="2025-07-21T02:37:00"/>
        <d v="2025-10-18T01:27:00"/>
        <d v="2025-12-06T04:15:00"/>
        <d v="2025-05-30T08:54:00"/>
        <d v="2025-06-11T12:44:00"/>
        <d v="2025-06-17T10:28:00"/>
        <d v="2025-05-20T07:04:00"/>
        <d v="2025-04-14T04:49:00"/>
        <d v="2025-10-27T03:09:00"/>
        <d v="2025-02-24T05:28:00"/>
        <d v="2025-08-27T10:26:00"/>
        <d v="2025-03-03T17:22:00"/>
        <d v="2025-04-17T14:19:00"/>
        <d v="2025-08-26T08:54:00"/>
        <d v="2025-03-03T02:10:00"/>
        <d v="2025-12-18T09:52:00"/>
        <d v="2025-12-27T22:38:00"/>
        <d v="2025-01-21T06:53:00"/>
        <d v="2025-06-17T04:05:00"/>
        <d v="2025-05-08T11:25:00"/>
        <d v="2025-09-20T01:43:00"/>
        <d v="2025-06-03T08:52:00"/>
        <d v="2025-03-31T00:25:00"/>
        <d v="2025-08-20T17:47:00"/>
        <d v="2025-10-09T07:06:00"/>
        <d v="2025-08-25T03:51:00"/>
        <d v="2025-03-13T03:00:00"/>
        <d v="2025-02-01T07:08:00"/>
        <d v="2025-04-12T12:23:00"/>
        <d v="2025-12-18T20:41:00"/>
        <d v="2025-02-13T18:37:00"/>
        <d v="2025-05-13T02:01:00"/>
        <d v="2025-02-03T06:57:00"/>
        <d v="2025-11-27T14:51:00"/>
        <d v="2025-03-07T02:57:00"/>
        <d v="2025-06-19T03:02:00"/>
        <d v="2025-08-25T01:10:00"/>
        <d v="2025-10-21T13:52:00"/>
        <d v="2025-07-22T15:01:00"/>
        <d v="2025-07-15T21:27:00"/>
        <d v="2025-03-30T11:13:00"/>
        <d v="2025-04-06T08:17:00"/>
        <d v="2025-08-17T04:02:00"/>
        <d v="2025-11-11T19:39:00"/>
        <d v="2025-05-06T20:18:00"/>
        <d v="2025-09-13T13:56:00"/>
        <d v="2025-10-09T15:03:00"/>
        <d v="2025-02-14T08:24:00"/>
        <d v="2025-03-12T13:12:00"/>
        <d v="2025-11-26T16:15:00"/>
        <d v="2025-11-19T17:50:00"/>
        <d v="2025-01-10T12:50:00"/>
        <d v="2025-07-03T15:34:00"/>
        <d v="2025-09-06T11:58:00"/>
        <d v="2025-10-17T16:20:00"/>
        <d v="2025-07-18T08:11:00"/>
        <d v="2025-01-14T10:38:00"/>
        <d v="2025-04-23T00:57:00"/>
        <d v="2025-05-24T01:51:00"/>
        <d v="2025-08-30T16:22:00"/>
        <d v="2025-10-27T07:10:00"/>
        <d v="2025-02-21T07:42:00"/>
        <d v="2025-05-04T08:34:00"/>
        <d v="2025-01-29T07:36:00"/>
        <d v="2025-07-18T11:59:00"/>
        <d v="2025-03-30T05:15:00"/>
        <d v="2025-10-31T10:51:00"/>
        <d v="2025-12-24T11:58:00"/>
        <d v="2025-10-30T00:45:00"/>
        <d v="2025-12-25T11:36:00"/>
        <d v="2025-10-16T04:36:00"/>
        <d v="2025-04-07T15:34:00"/>
        <d v="2025-06-08T05:31:00"/>
        <d v="2025-01-20T02:03:00"/>
        <d v="2025-04-30T19:14:00"/>
        <d v="2025-01-11T16:30:00"/>
        <d v="2025-01-01T10:58:00"/>
        <d v="2025-11-11T06:51:00"/>
        <d v="2025-03-08T10:45:00"/>
        <d v="2025-04-01T10:03:00"/>
        <d v="2025-01-12T04:37:00"/>
        <d v="2025-12-27T04:49:00"/>
        <d v="2025-02-26T16:55:00"/>
        <d v="2025-07-06T02:23:00"/>
        <d v="2025-12-27T21:25:00"/>
        <d v="2025-10-28T03:21:00"/>
        <d v="2025-06-04T10:08:00"/>
        <d v="2025-03-22T23:27:00"/>
        <d v="2025-11-24T15:41:00"/>
        <d v="2025-06-12T05:45:00"/>
        <d v="2025-10-15T22:56:00"/>
        <d v="2025-11-11T11:14:00"/>
        <d v="2025-12-07T18:52:00"/>
        <d v="2025-03-31T12:19:00"/>
        <d v="2025-12-19T09:08:00"/>
        <d v="2025-04-01T23:00:00"/>
        <d v="2025-12-26T18:25:00"/>
        <d v="2025-10-18T01:11:00"/>
        <d v="2025-11-05T10:58:00"/>
        <d v="2025-11-10T07:40:00"/>
        <d v="2025-10-17T03:59:00"/>
        <d v="2025-09-12T04:21:00"/>
        <d v="2025-02-09T07:22:00"/>
        <d v="2025-06-13T05:40:00"/>
        <d v="2025-02-15T22:42:00"/>
        <d v="2025-11-24T23:56:00"/>
        <d v="2025-06-21T14:00:00"/>
        <d v="2025-05-16T06:15:00"/>
        <d v="2025-12-21T02:22:00"/>
        <d v="2025-05-12T03:46:00"/>
        <d v="2025-01-01T01:24:00"/>
        <d v="2025-08-13T23:26:00"/>
        <d v="2025-03-27T13:31:00"/>
        <d v="2025-07-13T11:34:00"/>
        <d v="2025-07-12T03:53:00"/>
        <d v="2025-09-03T18:41:00"/>
        <d v="2025-12-18T07:10:00"/>
        <d v="2025-08-20T02:51:00"/>
        <d v="2025-01-18T09:01:00"/>
        <d v="2025-06-13T08:06:00"/>
        <d v="2025-02-07T10:10:00"/>
        <d v="2025-07-12T05:46:00"/>
        <d v="2025-02-08T17:57:00"/>
        <d v="2025-02-17T10:38:00"/>
        <d v="2025-11-11T15:45:00"/>
        <d v="2025-01-16T13:41:00"/>
        <d v="2025-03-26T19:56:00"/>
        <d v="2025-08-11T05:03:00"/>
        <d v="2025-02-21T10:13:00"/>
        <d v="2025-04-08T13:44:00"/>
        <d v="2025-10-11T23:59:00"/>
        <d v="2025-10-04T08:42:00"/>
        <d v="2025-05-25T09:15:00"/>
        <d v="2025-02-19T01:25:00"/>
        <d v="2025-10-20T17:53:00"/>
        <d v="2025-09-09T04:03:00"/>
        <d v="2025-07-04T00:27:00"/>
        <d v="2025-02-14T09:52:00"/>
        <d v="2025-12-05T20:38:00"/>
        <d v="2025-09-03T06:06:00"/>
        <d v="2025-01-14T06:10:00"/>
        <d v="2025-11-23T09:05:00"/>
        <d v="2025-08-31T03:19:00"/>
        <d v="2025-07-23T15:31:00"/>
        <d v="2025-12-05T08:05:00"/>
        <d v="2025-11-25T17:24:00"/>
        <d v="2025-04-05T11:56:00"/>
        <d v="2025-07-15T11:11:00"/>
        <d v="2025-08-17T01:16:00"/>
        <d v="2025-08-14T14:16:00"/>
        <d v="2025-04-26T08:36:00"/>
        <d v="2025-02-01T04:48:00"/>
        <d v="2025-12-23T21:06:00"/>
        <d v="2025-02-13T21:22:00"/>
        <d v="2025-10-05T13:48:00"/>
        <d v="2025-10-29T07:35:00"/>
        <d v="2025-02-01T12:52:00"/>
        <d v="2025-09-25T13:34:00"/>
        <d v="2025-12-18T15:36:00"/>
        <d v="2025-05-01T15:19:00"/>
        <d v="2025-02-10T12:57:00"/>
        <d v="2025-01-18T16:36:00"/>
        <d v="2025-09-22T18:43:00"/>
        <d v="2025-11-14T04:07:00"/>
        <d v="2025-08-18T05:10:00"/>
        <d v="2025-04-19T06:08:00"/>
        <d v="2025-01-22T13:05:00"/>
        <d v="2025-12-16T13:12:00"/>
        <d v="2025-11-18T04:53:00"/>
        <d v="2025-11-01T08:20:00"/>
        <d v="2025-02-04T02:24:00"/>
        <d v="2025-10-12T12:35:00"/>
        <d v="2025-06-16T08:33:00"/>
        <d v="2025-08-23T00:50:00"/>
        <d v="2025-12-25T19:37:00"/>
        <d v="2025-09-25T13:07:00"/>
        <d v="2025-08-01T04:09:00"/>
        <d v="2025-10-18T18:37:00"/>
        <d v="2025-02-21T03:36:00"/>
        <d v="2025-02-21T09:55:00"/>
        <d v="2025-10-02T11:56:00"/>
        <d v="2025-07-30T08:24:00"/>
        <d v="2025-12-02T15:36:00"/>
        <d v="2025-11-08T15:02:00"/>
        <d v="2025-03-30T08:25:00"/>
        <d v="2025-03-15T19:38:00"/>
        <d v="2025-12-15T22:25:00"/>
        <d v="2025-01-20T12:56:00"/>
        <d v="2025-06-19T22:15:00"/>
        <d v="2025-01-26T23:30:00"/>
        <d v="2025-05-18T11:01:00"/>
        <d v="2025-06-22T09:19:00"/>
        <d v="2025-05-24T15:54:00"/>
        <d v="2025-04-27T04:19:00"/>
        <d v="2025-08-15T10:17:00"/>
        <d v="2025-08-02T19:41:00"/>
        <d v="2025-02-15T06:28:00"/>
        <d v="2025-04-19T13:47:00"/>
        <d v="2025-09-06T16:55:00"/>
        <d v="2025-07-11T01:32:00"/>
        <d v="2025-03-23T02:19:00"/>
        <d v="2025-12-30T16:25:00"/>
        <d v="2025-03-11T16:56:00"/>
        <d v="2025-10-19T00:11:00"/>
        <d v="2025-04-09T06:53:00"/>
        <d v="2025-01-30T07:02:00"/>
        <d v="2025-08-22T01:58:00"/>
        <d v="2025-07-04T22:12:00"/>
        <d v="2025-05-21T11:52:00"/>
        <d v="2025-08-26T16:25:00"/>
        <d v="2025-11-22T03:43:00"/>
        <d v="2025-01-16T07:23:00"/>
        <d v="2025-09-08T19:28:00"/>
        <d v="2025-04-01T15:37:00"/>
        <d v="2025-10-10T11:22:00"/>
        <d v="2025-03-25T08:47:00"/>
        <d v="2025-12-19T02:18:00"/>
        <d v="2025-01-15T12:03:00"/>
        <d v="2025-03-25T18:49:00"/>
        <d v="2025-04-20T07:41:00"/>
        <d v="2025-04-26T21:13:00"/>
        <d v="2025-09-20T00:55:00"/>
        <d v="2025-12-16T00:30:00"/>
        <d v="2025-03-09T20:11:00"/>
        <d v="2025-11-04T00:14:00"/>
        <d v="2025-05-10T19:51:00"/>
        <d v="2025-06-06T22:45:00"/>
        <d v="2025-11-26T08:27:00"/>
        <d v="2025-07-12T11:29:00"/>
        <d v="2025-05-10T06:29:00"/>
        <d v="2025-06-04T21:33:00"/>
        <d v="2025-11-16T12:37:00"/>
        <d v="2025-02-22T00:32:00"/>
        <d v="2025-12-06T11:35:00"/>
        <d v="2025-11-28T19:38:00"/>
        <d v="2025-05-25T09:43:00"/>
        <d v="2025-02-25T15:04:00"/>
        <d v="2025-06-22T08:40:00"/>
        <d v="2025-06-16T08:16:00"/>
        <d v="2025-12-02T22:57:00"/>
        <d v="2025-11-30T09:12:00"/>
        <d v="2025-03-18T16:48:00"/>
        <d v="2025-05-04T01:51:00"/>
        <d v="2025-11-04T12:42:00"/>
        <d v="2025-06-13T21:08:00"/>
        <d v="2025-01-14T20:31:00"/>
        <d v="2025-06-01T08:58:00"/>
        <d v="2025-08-03T12:24:00"/>
        <d v="2025-01-19T18:45:00"/>
        <d v="2025-10-20T06:21:00"/>
        <d v="2025-04-24T21:34:00"/>
        <d v="2025-11-23T15:58:00"/>
        <d v="2025-12-10T11:32:00"/>
        <d v="2025-06-03T05:53:00"/>
        <d v="2025-12-03T17:11:00"/>
        <d v="2025-05-31T03:30:00"/>
        <d v="2025-03-07T23:16:00"/>
        <d v="2025-10-14T05:43:00"/>
        <d v="2025-06-21T20:05:00"/>
        <d v="2025-04-24T11:14:00"/>
        <d v="2025-06-07T13:50:00"/>
        <d v="2025-06-19T11:16:00"/>
        <d v="2025-10-27T09:29:00"/>
        <d v="2025-03-02T15:03:00"/>
        <d v="2025-11-21T18:37:00"/>
        <d v="2025-11-14T02:30:00"/>
        <d v="2025-04-10T16:07:00"/>
        <d v="2025-12-15T12:33:00"/>
        <d v="2025-06-02T13:03:00"/>
        <d v="2025-03-19T04:12:00"/>
        <d v="2025-06-25T13:36:00"/>
        <d v="2025-08-23T04:20:00"/>
        <d v="2025-04-03T02:31:00"/>
        <d v="2025-06-20T20:11:00"/>
        <d v="2025-06-10T20:03:00"/>
        <d v="2025-01-03T14:17:00"/>
        <d v="2025-04-18T05:36:00"/>
        <d v="2025-03-23T15:50:00"/>
        <d v="2025-02-15T04:39:00"/>
        <d v="2025-08-11T20:27:00"/>
        <d v="2025-07-26T13:30:00"/>
        <d v="2025-07-16T00:02:00"/>
        <d v="2025-10-01T06:46:00"/>
        <d v="2025-07-11T00:57:00"/>
        <d v="2025-06-14T16:12:00"/>
        <d v="2025-01-10T21:00:00"/>
        <d v="2025-11-17T23:15:00"/>
        <d v="2025-04-26T22:56:00"/>
        <d v="2025-06-26T09:08:00"/>
        <d v="2025-02-22T12:32:00"/>
        <d v="2025-10-29T09:10:00"/>
        <d v="2025-02-03T01:19:00"/>
        <d v="2025-05-29T14:46:00"/>
        <d v="2025-09-24T19:33:00"/>
        <d v="2025-06-22T13:56:00"/>
        <d v="2025-12-18T04:21:00"/>
        <d v="2025-09-08T11:48:00"/>
        <d v="2025-04-07T05:58:00"/>
        <d v="2025-07-26T00:14:00"/>
        <d v="2025-04-25T23:08:00"/>
        <d v="2025-04-19T23:01:00"/>
        <d v="2025-10-29T16:10:00"/>
        <d v="2025-03-05T11:45:00"/>
        <d v="2025-11-30T01:24:00"/>
        <d v="2025-11-24T08:49:00"/>
        <d v="2025-10-01T19:03:00"/>
        <d v="2025-11-01T01:42:00"/>
        <d v="2025-02-25T20:53:00"/>
        <d v="2025-01-11T01:44:00"/>
        <d v="2025-03-01T13:28:00"/>
        <d v="2025-07-14T03:35:00"/>
        <d v="2025-05-10T15:44:00"/>
        <d v="2025-03-20T06:44:00"/>
        <d v="2025-12-18T20:00:00"/>
        <d v="2025-06-04T13:42:00"/>
        <d v="2025-02-21T21:33:00"/>
        <d v="2025-05-19T19:38:00"/>
        <d v="2025-12-25T04:26:00"/>
        <d v="2025-02-23T16:46:00"/>
        <d v="2025-11-13T03:18:00"/>
        <d v="2025-02-28T03:31:00"/>
        <d v="2025-04-12T19:12:00"/>
        <d v="2025-05-15T16:12:00"/>
        <d v="2025-07-03T22:26:00"/>
        <d v="2025-06-01T05:02:00"/>
        <d v="2025-10-08T15:58:00"/>
        <d v="2025-04-17T22:59:00"/>
        <d v="2025-09-04T10:15:00"/>
        <d v="2025-01-02T00:42:00"/>
        <d v="2025-02-15T03:53:00"/>
        <d v="2025-10-21T21:31:00"/>
        <d v="2025-03-18T02:49:00"/>
        <d v="2025-09-19T02:46:00"/>
        <d v="2025-02-21T08:41:00"/>
        <d v="2025-04-29T14:18:00"/>
        <d v="2025-05-16T14:03:00"/>
        <d v="2025-02-21T05:55:00"/>
        <d v="2025-01-21T09:23:00"/>
        <d v="2025-12-13T10:27:00"/>
        <d v="2025-03-01T03:54:00"/>
        <d v="2025-01-24T00:54:00"/>
        <d v="2025-03-12T21:41:00"/>
        <d v="2025-03-29T10:22:00"/>
        <d v="2025-08-13T19:17:00"/>
        <d v="2025-02-17T11:52:00"/>
        <d v="2025-06-25T05:07:00"/>
        <d v="2025-07-25T12:29:00"/>
        <d v="2025-05-20T12:44:00"/>
        <d v="2025-09-02T13:41:00"/>
        <d v="2025-03-27T03:08:00"/>
        <d v="2025-12-23T23:03:00"/>
        <d v="2025-03-23T03:26:00"/>
        <d v="2025-10-30T15:51:00"/>
        <d v="2025-10-19T21:28:00"/>
        <d v="2025-04-03T19:24:00"/>
        <d v="2025-07-03T19:01:00"/>
        <d v="2025-12-17T23:57:00"/>
        <d v="2025-03-08T15:58:00"/>
        <d v="2025-09-07T03:56:00"/>
        <d v="2025-07-30T14:02:00"/>
        <d v="2025-02-02T08:41:00"/>
        <d v="2025-06-10T00:45:00"/>
        <d v="2025-12-14T16:49:00"/>
        <d v="2025-10-23T23:36:00"/>
        <d v="2025-04-25T21:55:00"/>
        <d v="2025-06-23T16:33:00"/>
        <d v="2025-12-19T22:39:00"/>
        <d v="2025-02-18T13:42:00"/>
        <d v="2025-05-08T15:22:00"/>
        <d v="2025-12-06T21:41:00"/>
        <d v="2025-07-17T04:53:00"/>
        <d v="2025-10-13T19:03:00"/>
        <d v="2025-01-06T20:59:00"/>
        <d v="2025-03-22T16:54:00"/>
        <d v="2025-08-29T15:55:00"/>
        <d v="2025-03-26T02:48:00"/>
        <d v="2025-09-09T10:15:00"/>
        <d v="2025-06-19T08:03:00"/>
        <d v="2025-09-17T07:35:00"/>
        <d v="2025-11-26T12:25:00"/>
        <d v="2025-05-01T02:29:00"/>
        <d v="2025-08-16T18:28:00"/>
        <d v="2025-02-15T15:28:00"/>
        <d v="2025-06-11T03:31:00"/>
        <d v="2025-12-01T00:06:00"/>
        <d v="2025-07-26T13:02:00"/>
        <d v="2025-10-13T17:00:00"/>
        <d v="2025-02-16T19:39:00"/>
        <d v="2025-11-23T09:56:00"/>
        <d v="2025-09-18T17:13:00"/>
        <d v="2025-12-02T21:29:00"/>
        <d v="2025-06-24T11:52:00"/>
        <d v="2025-01-28T07:54:00"/>
        <d v="2025-08-21T10:35:00"/>
        <d v="2025-11-14T19:30:00"/>
        <d v="2025-12-03T11:45:00"/>
        <d v="2025-08-20T03:06:00"/>
        <d v="2025-12-04T07:00:00"/>
        <d v="2025-06-24T11:53:00"/>
        <d v="2025-11-21T09:35:00"/>
        <d v="2025-09-25T11:44:00"/>
        <d v="2025-02-24T01:57:00"/>
        <d v="2025-03-26T15:08:00"/>
        <d v="2025-07-29T03:16:00"/>
        <d v="2025-11-09T06:12:00"/>
        <d v="2025-03-03T12:13:00"/>
        <d v="2025-08-23T06:45:00"/>
        <d v="2025-06-23T03:48:00"/>
        <d v="2025-08-01T01:59:00"/>
        <d v="2025-11-21T21:37:00"/>
        <d v="2025-03-05T14:29:00"/>
        <d v="2025-12-04T18:32:00"/>
        <d v="2025-03-10T15:00:00"/>
        <d v="2025-09-29T23:03:00"/>
        <d v="2025-10-11T13:53:00"/>
        <d v="2025-10-27T15:59:00"/>
        <d v="2025-09-18T05:44:00"/>
        <d v="2025-10-24T05:46:00"/>
        <d v="2025-03-07T03:24:00"/>
        <d v="2025-12-03T19:38:00"/>
        <d v="2025-06-14T16:56:00"/>
        <d v="2025-07-16T13:38:00"/>
        <d v="2025-12-21T07:17:00"/>
        <d v="2025-08-20T04:08:00"/>
        <d v="2025-07-31T19:44:00"/>
        <d v="2025-09-20T09:53:00"/>
        <d v="2025-12-26T17:55:00"/>
        <d v="2025-06-10T22:47:00"/>
        <d v="2025-10-11T20:13:00"/>
        <d v="2025-04-13T06:39:00"/>
        <d v="2025-05-29T21:22:00"/>
        <d v="2025-12-11T04:45:00"/>
        <d v="2025-11-29T05:32:00"/>
        <d v="2025-10-05T22:40:00"/>
        <d v="2025-06-15T22:07:00"/>
        <d v="2025-06-30T17:30:00"/>
        <d v="2025-10-26T18:42:00"/>
        <d v="2025-12-30T13:43:00"/>
        <d v="2025-10-01T09:56:00"/>
        <d v="2025-08-05T00:33:00"/>
        <d v="2025-02-24T00:24:00"/>
        <d v="2025-03-16T01:42:00"/>
        <d v="2025-01-29T06:17:00"/>
        <d v="2025-03-24T09:43:00"/>
        <d v="2025-05-09T04:53:00"/>
        <d v="2025-02-01T22:50:00"/>
        <d v="2025-06-01T06:48:00"/>
        <d v="2025-10-05T01:22:00"/>
        <d v="2025-08-20T03:39:00"/>
        <d v="2025-12-12T23:35:00"/>
        <d v="2025-04-25T23:41:00"/>
        <d v="2025-10-15T12:15:00"/>
        <d v="2025-09-19T22:18:00"/>
        <d v="2025-12-21T21:03:00"/>
        <d v="2025-07-15T12:26:00"/>
        <d v="2025-12-17T10:35:00"/>
        <d v="2025-01-28T00:47:00"/>
        <d v="2025-05-09T06:39:00"/>
        <d v="2025-08-15T07:58:00"/>
        <d v="2025-11-21T22:45:00"/>
        <d v="2025-11-28T11:48:00"/>
        <d v="2025-10-29T17:47:00"/>
        <d v="2025-11-05T06:49:00"/>
        <d v="2025-04-10T09:28:00"/>
        <d v="2025-04-01T21:04:00"/>
        <d v="2025-04-06T05:47:00"/>
        <d v="2025-09-21T03:24:00"/>
        <d v="2025-01-21T13:17:00"/>
        <d v="2025-10-12T08:08:00"/>
        <d v="2025-03-24T18:54:00"/>
        <d v="2025-05-11T00:21:00"/>
        <d v="2025-08-27T22:59:00"/>
        <d v="2025-03-21T01:09:00"/>
        <d v="2025-06-15T19:03:00"/>
        <d v="2025-11-17T19:53:00"/>
        <d v="2025-12-05T09:31:00"/>
        <d v="2025-10-21T17:22:00"/>
        <d v="2025-02-07T22:20:00"/>
        <d v="2025-09-27T07:11:00"/>
        <d v="2025-09-24T02:50:00"/>
        <d v="2025-09-16T05:26:00"/>
        <d v="2025-10-06T17:25:00"/>
        <d v="2025-02-17T11:14:00"/>
        <d v="2025-04-20T21:21:00"/>
        <d v="2025-06-19T11:18:00"/>
        <d v="2025-04-22T19:33:00"/>
        <d v="2025-09-01T17:52:00"/>
        <d v="2025-11-29T00:07:00"/>
        <d v="2025-12-09T11:28:00"/>
        <d v="2025-05-04T20:39:00"/>
        <d v="2025-11-15T07:02:00"/>
        <d v="2025-12-16T10:24:00"/>
        <d v="2025-02-28T12:16:00"/>
        <d v="2025-10-04T23:18:00"/>
        <d v="2025-01-13T16:52:00"/>
        <d v="2025-07-11T16:51:00"/>
        <d v="2025-09-18T14:31:00"/>
        <d v="2025-01-23T09:57:00"/>
        <d v="2025-11-30T06:20:00"/>
        <d v="2025-09-21T02:06:00"/>
        <d v="2025-03-27T17:34:00"/>
        <d v="2025-01-04T20:04:00"/>
        <d v="2025-04-18T21:40:00"/>
        <d v="2025-04-20T21:27:00"/>
        <d v="2025-02-23T06:34:00"/>
        <d v="2025-12-26T23:49:00"/>
        <d v="2025-08-11T20:52:00"/>
        <d v="2025-02-06T23:43:00"/>
        <d v="2025-03-20T00:29:00"/>
        <d v="2025-06-19T01:05:00"/>
        <d v="2025-02-07T01:11:00"/>
        <d v="2025-05-09T17:04:00"/>
        <d v="2025-10-22T07:58:00"/>
        <d v="2025-05-13T13:24:00"/>
        <d v="2025-08-19T20:25:00"/>
        <d v="2025-08-10T10:01:00"/>
        <d v="2025-07-19T21:07:00"/>
        <d v="2025-10-01T00:41:00"/>
        <d v="2025-11-13T02:48:00"/>
        <d v="2025-10-27T01:44:00"/>
        <d v="2025-02-07T11:59:00"/>
        <d v="2025-09-15T03:18:00"/>
        <d v="2025-12-18T09:38:00"/>
        <d v="2025-02-14T09:48:00"/>
        <d v="2025-08-13T12:25:00"/>
        <d v="2025-12-05T00:30:00"/>
        <d v="2025-03-22T17:14:00"/>
        <d v="2025-03-11T23:25:00"/>
        <d v="2025-10-07T09:40:00"/>
        <d v="2025-03-15T09:43:00"/>
        <d v="2025-11-28T11:00:00"/>
        <d v="2025-10-11T17:09:00"/>
        <d v="2025-03-05T01:00:00"/>
        <d v="2025-10-21T19:25:00"/>
        <d v="2025-10-03T17:05:00"/>
        <d v="2025-06-06T06:47:00"/>
        <d v="2025-06-26T06:26:00"/>
        <d v="2025-11-27T16:09:00"/>
        <d v="2025-03-24T05:14:00"/>
        <d v="2025-11-12T08:12:00"/>
        <d v="2025-02-28T05:42:00"/>
        <d v="2025-10-18T01:54:00"/>
        <d v="2025-10-09T14:41:00"/>
        <d v="2025-10-09T02:18:00"/>
        <d v="2025-12-10T02:16:00"/>
        <d v="2025-02-20T06:46:00"/>
        <d v="2025-10-25T15:21:00"/>
        <d v="2025-07-02T04:42:00"/>
        <d v="2025-12-02T07:06:00"/>
        <d v="2025-05-26T19:04:00"/>
        <d v="2025-04-10T10:31:00"/>
        <d v="2025-08-19T10:39:00"/>
        <d v="2025-12-04T09:44:00"/>
        <d v="2025-10-27T04:36:00"/>
        <d v="2025-10-18T11:51:00"/>
        <d v="2025-06-11T13:10:00"/>
        <d v="2025-01-03T10:15:00"/>
        <d v="2025-04-24T22:47:00"/>
        <d v="2025-11-25T13:17:00"/>
        <d v="2025-07-04T04:43:00"/>
        <d v="2025-06-19T15:29:00"/>
        <d v="2025-08-17T11:49:00"/>
        <d v="2025-06-06T15:35:00"/>
        <d v="2025-02-25T05:41:00"/>
        <d v="2025-11-07T02:53:00"/>
        <d v="2025-05-24T04:57:00"/>
        <d v="2025-10-03T06:16:00"/>
        <d v="2025-11-17T02:46:00"/>
        <d v="2025-02-08T00:54:00"/>
        <d v="2025-09-17T20:01:00"/>
        <d v="2025-10-25T18:25:00"/>
        <d v="2025-10-30T06:58:00"/>
        <d v="2025-01-19T17:16:00"/>
        <d v="2025-10-06T17:30:00"/>
        <d v="2025-12-01T04:23:00"/>
        <d v="2025-07-20T07:57:00"/>
        <d v="2025-10-29T23:54:00"/>
        <d v="2025-05-29T04:29:00"/>
        <d v="2025-09-14T16:05:00"/>
        <d v="2025-07-23T11:32:00"/>
        <d v="2025-01-06T21:15:00"/>
        <d v="2025-11-11T21:10:00"/>
        <d v="2025-09-21T04:28:00"/>
        <d v="2025-03-23T05:36:00"/>
        <d v="2025-10-17T21:55:00"/>
        <d v="2025-03-16T23:46:00"/>
        <d v="2025-09-05T11:02:00"/>
        <d v="2025-02-02T08:23:00"/>
        <d v="2025-04-30T01:42:00"/>
        <d v="2025-04-16T16:58:00"/>
        <d v="2025-07-04T12:30:00"/>
        <d v="2025-08-21T01:02:00"/>
        <d v="2025-11-29T10:06:00"/>
        <d v="2025-12-27T16:40:00"/>
        <d v="2025-05-21T23:16:00"/>
        <d v="2025-10-24T17:36:00"/>
        <d v="2025-03-31T12:41:00"/>
        <d v="2025-07-13T11:37:00"/>
        <d v="2025-12-01T02:33:00"/>
        <d v="2025-05-09T12:58:00"/>
        <d v="2025-04-25T16:25:00"/>
        <d v="2025-06-30T11:31:00"/>
        <d v="2025-09-04T19:00:00"/>
        <d v="2025-09-14T04:28:00"/>
        <d v="2025-03-26T07:04:00"/>
        <d v="2025-09-21T20:17:00"/>
        <d v="2025-04-19T04:11:00"/>
        <d v="2025-03-22T11:38:00"/>
        <d v="2025-03-02T21:14:00"/>
        <d v="2025-08-01T10:46:00"/>
        <d v="2025-02-28T15:43:00"/>
        <d v="2025-09-03T15:13:00"/>
        <d v="2025-10-30T05:41:00"/>
        <d v="2025-07-30T00:15:00"/>
        <d v="2025-01-23T04:36:00"/>
        <d v="2025-10-31T05:08:00"/>
        <d v="2025-11-19T16:02:00"/>
        <d v="2025-10-21T04:03:00"/>
        <d v="2025-03-27T08:59:00"/>
        <d v="2025-04-03T16:25:00"/>
        <d v="2025-11-03T18:40:00"/>
        <d v="2025-01-10T23:46:00"/>
        <d v="2025-12-05T09:05:00"/>
        <d v="2025-04-21T14:38:00"/>
        <d v="2025-08-30T15:10:00"/>
        <d v="2025-04-23T13:38:00"/>
        <d v="2025-03-15T18:52:00"/>
        <d v="2025-04-04T19:42:00"/>
        <d v="2025-09-19T08:10:00"/>
        <d v="2025-12-18T10:59:00"/>
        <d v="2025-08-21T19:37:00"/>
        <d v="2025-02-05T07:24:00"/>
        <d v="2025-07-17T04:06:00"/>
        <d v="2025-01-09T06:33:00"/>
        <d v="2025-09-16T21:26:00"/>
        <d v="2025-03-18T19:06:00"/>
        <d v="2025-04-01T15:57:00"/>
        <d v="2025-11-11T19:02:00"/>
        <d v="2025-09-30T16:48:00"/>
        <d v="2025-03-02T02:30:00"/>
        <d v="2025-12-04T04:57:00"/>
        <d v="2025-11-05T17:52:00"/>
        <d v="2025-01-01T21:41:00"/>
        <d v="2025-08-09T16:26:00"/>
        <d v="2025-07-09T01:44:00"/>
        <d v="2025-09-29T13:14:00"/>
        <d v="2025-09-04T12:22:00"/>
        <d v="2025-10-29T23:58:00"/>
        <d v="2025-12-23T18:06:00"/>
        <d v="2025-08-06T04:16:00"/>
        <d v="2025-09-02T07:58:00"/>
        <d v="2025-02-12T09:38:00"/>
        <d v="2025-10-06T13:16:00"/>
        <d v="2025-04-07T00:45:00"/>
        <d v="2025-01-04T18:33:00"/>
        <d v="2025-03-02T16:00:00"/>
        <d v="2025-07-12T20:13:00"/>
        <d v="2025-12-19T10:26:00"/>
        <d v="2025-07-05T03:09:00"/>
        <d v="2025-08-07T20:37:00"/>
        <d v="2025-05-10T08:54:00"/>
        <d v="2025-10-02T13:36:00"/>
        <d v="2025-07-07T19:17:00"/>
        <d v="2025-12-15T12:48:00"/>
        <d v="2025-04-15T13:35:00"/>
        <d v="2025-10-13T15:11:00"/>
        <d v="2025-07-09T17:35:00"/>
        <d v="2025-09-05T08:19:00"/>
        <d v="2025-10-23T11:49:00"/>
        <d v="2025-12-28T12:47:00"/>
        <d v="2025-03-12T21:07:00"/>
        <d v="2025-04-28T14:50:00"/>
        <d v="2025-12-25T05:06:00"/>
        <d v="2025-04-20T16:25:00"/>
        <d v="2025-06-23T17:39:00"/>
        <d v="2025-12-23T21:45:00"/>
        <d v="2025-01-27T05:24:00"/>
        <d v="2025-11-22T00:51:00"/>
        <d v="2025-02-16T04:30:00"/>
        <d v="2025-11-04T13:05:00"/>
        <d v="2025-02-02T08:14:00"/>
        <d v="2025-07-09T02:38:00"/>
        <d v="2025-01-20T23:24:00"/>
        <d v="2025-07-25T19:41:00"/>
        <d v="2025-09-24T09:45:00"/>
        <d v="2025-11-02T01:49:00"/>
        <d v="2025-03-31T20:31:00"/>
        <d v="2025-08-13T00:12:00"/>
        <d v="2025-12-03T16:18:00"/>
        <d v="2025-04-10T01:50:00"/>
        <d v="2025-11-03T16:33:00"/>
        <d v="2025-12-24T07:39:00"/>
        <d v="2025-03-28T21:02:00"/>
        <d v="2025-07-04T07:41:00"/>
        <d v="2025-01-01T05:05:00"/>
        <d v="2025-05-22T12:22:00"/>
        <d v="2025-12-09T12:25:00"/>
        <d v="2025-10-28T06:33:00"/>
        <d v="2025-01-08T23:45:00"/>
        <d v="2025-02-05T02:35:00"/>
        <d v="2025-05-26T23:53:00"/>
        <d v="2025-10-14T18:22:00"/>
        <d v="2025-06-27T08:14:00"/>
        <d v="2025-11-07T06:29:00"/>
        <d v="2025-07-26T18:00:00"/>
        <d v="2025-05-14T05:26:00"/>
        <d v="2025-09-17T03:35:00"/>
        <d v="2025-02-07T16:18:00"/>
        <d v="2025-06-24T03:51:00"/>
        <d v="2025-09-20T08:56:00"/>
        <d v="2025-10-03T18:16:00"/>
        <d v="2025-12-22T14:24:00"/>
        <d v="2025-10-16T15:49:00"/>
        <d v="2025-05-05T10:49:00"/>
        <d v="2025-08-23T21:29:00"/>
        <d v="2025-10-28T00:30:00"/>
        <d v="2025-03-01T08:04:00"/>
        <d v="2025-07-15T20:50:00"/>
        <d v="2025-04-23T21:44:00"/>
        <d v="2025-04-28T10:26:00"/>
        <d v="2025-06-30T16:34:00"/>
        <d v="2025-01-05T22:53:00"/>
        <d v="2025-05-15T07:18:00"/>
        <d v="2025-02-17T12:43:00"/>
        <d v="2025-06-25T02:35:00"/>
        <d v="2025-04-02T15:20:00"/>
        <d v="2025-07-01T06:57:00"/>
        <d v="2025-10-21T08:11:00"/>
        <d v="2025-12-16T06:31:00"/>
        <d v="2025-04-13T07:47:00"/>
        <d v="2025-05-04T08:13:00"/>
        <d v="2025-04-28T06:53:00"/>
        <d v="2025-05-08T19:22:00"/>
        <d v="2025-03-21T03:07:00"/>
        <d v="2025-02-10T21:42:00"/>
        <d v="2025-09-10T19:00:00"/>
        <d v="2025-10-05T01:54:00"/>
        <d v="2025-09-04T11:39:00"/>
        <d v="2025-06-11T15:57:00"/>
        <d v="2025-10-22T08:31:00"/>
        <d v="2025-04-04T16:17:00"/>
        <d v="2025-07-23T07:48:00"/>
        <d v="2025-10-23T04:03:00"/>
        <d v="2025-09-27T13:30:00"/>
        <d v="2025-10-04T01:32:00"/>
        <d v="2025-06-27T12:55:00"/>
        <d v="2025-12-18T05:29:00"/>
        <d v="2025-03-03T22:33:00"/>
        <d v="2025-08-24T10:44:00"/>
        <d v="2025-01-05T00:43:00"/>
        <d v="2025-04-18T12:37:00"/>
        <d v="2025-02-21T10:23:00"/>
        <d v="2025-11-10T08:11:00"/>
        <d v="2025-10-08T08:15:00"/>
        <d v="2025-05-18T15:39:00"/>
        <d v="2025-06-25T11:11:00"/>
        <d v="2025-09-13T13:13:00"/>
        <d v="2025-08-03T22:48:00"/>
        <d v="2025-07-10T11:54:00"/>
        <d v="2025-07-25T08:28:00"/>
        <d v="2025-04-03T18:08:00"/>
        <d v="2025-10-22T21:14:00"/>
        <d v="2025-02-21T23:17:00"/>
        <d v="2025-05-01T17:27:00"/>
        <d v="2025-07-15T06:09:00"/>
        <d v="2025-03-18T15:51:00"/>
        <d v="2025-01-05T05:26:00"/>
        <d v="2025-09-13T04:57:00"/>
        <d v="2025-11-19T16:34:00"/>
        <d v="2025-06-11T15:19:00"/>
        <d v="2025-05-09T17:54:00"/>
        <d v="2025-10-18T01:25:00"/>
        <d v="2025-02-20T22:10:00"/>
        <d v="2025-01-31T06:52:00"/>
        <d v="2025-05-11T15:53:00"/>
        <d v="2025-11-19T03:28:00"/>
        <d v="2025-06-21T08:23:00"/>
        <d v="2025-07-04T17:35:00"/>
        <d v="2025-05-12T11:01:00"/>
        <d v="2025-07-30T03:22:00"/>
        <d v="2025-12-14T19:12:00"/>
        <d v="2025-10-23T18:41:00"/>
        <d v="2025-11-29T17:11:00"/>
        <d v="2025-05-26T11:20:00"/>
        <d v="2025-12-11T16:31:00"/>
        <d v="2025-08-17T02:24:00"/>
        <d v="2025-11-11T09:29:00"/>
        <d v="2025-11-20T04:55:00"/>
        <d v="2025-03-27T20:51:00"/>
        <d v="2025-06-22T13:40:00"/>
        <d v="2025-11-10T18:25:00"/>
        <d v="2025-02-06T02:10:00"/>
        <d v="2025-06-25T07:20:00"/>
        <d v="2025-06-12T20:18:00"/>
        <d v="2025-12-30T08:38:00"/>
        <d v="2025-11-27T12:17:00"/>
        <d v="2025-08-16T11:47:00"/>
        <d v="2025-10-28T16:28:00"/>
        <d v="2025-07-31T05:11:00"/>
        <d v="2025-01-12T04:46:00"/>
        <d v="2025-05-01T21:16:00"/>
        <d v="2025-12-25T23:05:00"/>
        <d v="2025-04-18T05:25:00"/>
        <d v="2025-02-22T03:04:00"/>
        <d v="2025-08-31T17:03:00"/>
        <d v="2025-01-14T12:33:00"/>
        <d v="2025-02-12T03:16:00"/>
        <d v="2025-11-13T04:05:00"/>
        <d v="2025-12-02T12:19:00"/>
        <d v="2025-04-28T07:47:00"/>
        <d v="2025-05-26T14:40:00"/>
        <d v="2025-03-06T04:33:00"/>
        <d v="2025-03-29T00:02:00"/>
        <d v="2025-12-06T11:55:00"/>
        <d v="2025-06-16T15:29:00"/>
        <d v="2025-10-04T08:35:00"/>
        <d v="2025-08-16T04:44:00"/>
        <d v="2025-10-04T05:37:00"/>
        <d v="2025-11-02T14:40:00"/>
        <d v="2025-11-22T18:27:00"/>
        <d v="2025-09-26T20:40:00"/>
        <d v="2025-10-01T09:58:00"/>
        <d v="2025-06-27T15:34:00"/>
        <d v="2025-04-27T02:28:00"/>
        <d v="2025-06-07T11:26:00"/>
        <d v="2025-05-14T04:19:00"/>
        <d v="2025-01-06T00:33:00"/>
        <d v="2025-03-11T11:18:00"/>
        <d v="2025-08-29T17:00:00"/>
        <d v="2025-12-19T15:48:00"/>
        <d v="2025-09-02T09:00:00"/>
        <d v="2025-08-09T09:38:00"/>
        <d v="2025-04-29T00:35:00"/>
        <d v="2025-07-11T06:26:00"/>
        <d v="2025-10-15T13:25:00"/>
        <d v="2025-05-08T05:45:00"/>
        <d v="2025-11-27T12:53:00"/>
        <d v="2025-07-13T07:16:00"/>
        <d v="2025-02-10T13:40:00"/>
        <d v="2025-05-03T16:48:00"/>
        <d v="2025-11-10T22:43:00"/>
        <d v="2025-05-20T09:41:00"/>
        <d v="2025-09-30T08:26:00"/>
        <d v="2025-04-07T02:11:00"/>
        <d v="2025-03-11T09:07:00"/>
        <d v="2025-11-23T14:39:00"/>
        <d v="2025-08-20T08:44:00"/>
        <d v="2025-11-15T15:12:00"/>
        <d v="2025-06-14T00:09:00"/>
        <d v="2025-01-26T17:01:00"/>
        <d v="2025-04-06T03:18:00"/>
        <d v="2025-05-18T04:45:00"/>
        <d v="2025-08-13T23:00:00"/>
        <d v="2025-04-30T02:09:00"/>
        <d v="2025-01-08T15:13:00"/>
        <d v="2025-06-25T13:19:00"/>
        <d v="2025-09-13T11:29:00"/>
        <d v="2025-12-23T01:21:00"/>
        <d v="2025-02-11T04:03:00"/>
        <d v="2025-05-17T12:04:00"/>
        <d v="2025-10-06T15:11:00"/>
        <d v="2025-04-09T08:52:00"/>
        <d v="2025-07-15T00:07:00"/>
        <d v="2025-05-08T12:49:00"/>
        <d v="2025-08-15T07:47:00"/>
        <d v="2025-01-18T06:29:00"/>
        <d v="2025-02-18T16:42:00"/>
        <d v="2025-04-17T15:24:00"/>
        <d v="2025-12-15T09:59:00"/>
        <d v="2025-06-15T05:40:00"/>
        <d v="2025-01-22T23:59:00"/>
        <d v="2025-10-09T16:07:00"/>
        <d v="2025-05-10T15:40:00"/>
        <d v="2025-06-02T06:23:00"/>
        <d v="2025-01-27T21:13:00"/>
        <d v="2025-02-27T07:40:00"/>
        <d v="2025-08-11T10:00:00"/>
        <d v="2025-03-27T08:37:00"/>
        <d v="2025-03-03T12:50:00"/>
        <d v="2025-05-05T00:02:00"/>
        <d v="2025-10-25T22:30:00"/>
        <d v="2025-12-19T19:09:00"/>
        <d v="2025-07-10T02:15:00"/>
        <d v="2025-03-22T15:05:00"/>
        <d v="2025-12-18T19:21:00"/>
        <d v="2025-11-17T01:03:00"/>
        <d v="2025-07-02T20:09:00"/>
        <d v="2025-12-26T17:50:00"/>
        <d v="2025-02-24T04:31:00"/>
        <d v="2025-04-30T10:35:00"/>
        <d v="2025-11-27T11:51:00"/>
        <d v="2025-08-13T23:12:00"/>
        <d v="2025-01-11T22:24:00"/>
        <d v="2025-07-03T23:08:00"/>
        <d v="2025-05-09T01:31:00"/>
        <d v="2025-12-28T14:35:00"/>
        <d v="2025-05-31T17:44:00"/>
        <d v="2025-09-08T06:36:00"/>
        <d v="2025-04-06T17:22:00"/>
        <d v="2025-06-15T23:29:00"/>
        <d v="2025-05-21T19:58:00"/>
        <d v="2025-10-11T05:04:00"/>
        <d v="2025-09-29T04:28:00"/>
        <d v="2025-06-01T08:34:00"/>
        <d v="2025-07-07T14:00:00"/>
        <d v="2025-11-23T16:24:00"/>
        <d v="2025-04-05T00:39:00"/>
        <d v="2025-07-06T19:15:00"/>
        <d v="2025-06-14T23:04:00"/>
        <d v="2025-12-04T17:52:00"/>
        <d v="2025-07-18T06:33:00"/>
        <d v="2025-12-16T15:49:00"/>
        <d v="2025-10-10T04:39:00"/>
        <d v="2025-05-25T10:26:00"/>
        <d v="2025-11-25T10:07:00"/>
        <d v="2025-02-19T16:42:00"/>
        <d v="2025-02-04T01:53:00"/>
        <d v="2025-03-08T05:55:00"/>
        <d v="2025-01-17T06:06:00"/>
        <d v="2025-09-06T06:06:00"/>
        <d v="2025-01-17T18:41:00"/>
        <d v="2025-07-18T21:31:00"/>
        <d v="2025-09-27T19:44:00"/>
        <d v="2025-10-30T08:03:00"/>
        <d v="2025-07-07T07:38:00"/>
        <d v="2025-02-06T00:59:00"/>
        <d v="2025-04-17T20:31:00"/>
        <d v="2025-02-10T14:51:00"/>
        <d v="2025-11-24T01:23:00"/>
        <d v="2025-10-13T23:56:00"/>
        <d v="2025-08-01T11:50:00"/>
        <d v="2025-12-29T01:52:00"/>
        <d v="2025-11-12T08:33:00"/>
        <d v="2025-01-21T23:04:00"/>
        <d v="2025-06-05T02:13:00"/>
        <d v="2025-09-23T03:06:00"/>
        <d v="2025-04-29T17:24:00"/>
        <d v="2025-04-08T06:33:00"/>
        <d v="2025-12-03T07:36:00"/>
        <d v="2025-11-17T05:35:00"/>
        <d v="2025-10-13T13:47:00"/>
        <d v="2025-02-24T20:36:00"/>
        <d v="2025-07-03T21:29:00"/>
        <d v="2025-12-26T21:27:00"/>
        <d v="2025-02-23T05:50:00"/>
        <d v="2025-04-03T17:25:00"/>
        <d v="2025-09-16T10:42:00"/>
        <d v="2025-03-22T17:38:00"/>
        <d v="2025-08-15T11:57:00"/>
        <d v="2025-06-11T17:20:00"/>
        <d v="2025-07-10T13:48:00"/>
        <d v="2025-11-21T13:52:00"/>
        <d v="2025-06-15T19:15:00"/>
        <d v="2025-10-16T17:13:00"/>
        <d v="2025-07-12T17:59:00"/>
        <d v="2025-05-11T11:28:00"/>
        <d v="2025-08-18T12:00:00"/>
        <d v="2025-01-18T09:38:00"/>
        <d v="2025-01-09T16:08:00"/>
        <d v="2025-06-04T00:19:00"/>
        <d v="2025-04-24T06:54:00"/>
        <d v="2025-06-11T00:49:00"/>
        <d v="2025-12-20T08:58:00"/>
        <d v="2025-10-11T16:35:00"/>
        <d v="2025-10-20T18:09:00"/>
        <d v="2025-02-18T01:29:00"/>
        <d v="2025-07-02T04:08:00"/>
        <d v="2025-05-16T11:56:00"/>
        <d v="2025-10-26T07:14:00"/>
        <d v="2025-05-12T09:05:00"/>
        <d v="2025-10-20T12:36:00"/>
        <d v="2025-04-22T23:04:00"/>
        <d v="2025-06-16T15:11:00"/>
        <d v="2025-09-07T22:44:00"/>
        <d v="2025-10-23T03:38:00"/>
        <d v="2025-11-25T09:02:00"/>
        <d v="2025-10-23T12:05:00"/>
        <d v="2025-01-29T10:22:00"/>
        <d v="2025-08-11T13:59:00"/>
        <d v="2025-03-03T07:47:00"/>
        <d v="2025-12-01T19:59:00"/>
        <d v="2025-01-06T20:49:00"/>
        <d v="2025-11-20T12:03:00"/>
        <d v="2025-06-06T16:02:00"/>
        <d v="2025-06-13T17:36:00"/>
        <d v="2025-03-18T10:32:00"/>
        <d v="2025-12-24T07:09:00"/>
        <d v="2025-01-26T21:46:00"/>
        <d v="2025-07-21T14:48:00"/>
        <d v="2025-11-01T18:32:00"/>
        <d v="2025-02-16T07:27:00"/>
        <d v="2025-05-29T12:09:00"/>
        <d v="2025-03-09T10:05:00"/>
        <d v="2025-09-01T18:47:00"/>
        <d v="2025-01-26T17:25:00"/>
        <d v="2025-05-15T02:25:00"/>
        <d v="2025-09-14T13:49:00"/>
        <d v="2025-12-24T04:48:00"/>
        <d v="2025-03-11T15:35:00"/>
        <d v="2025-04-12T15:25:00"/>
        <d v="2025-11-30T18:12:00"/>
        <d v="2025-10-15T19:47:00"/>
        <d v="2025-09-26T07:15:00"/>
        <d v="2025-02-06T08:49:00"/>
        <d v="2025-08-09T10:43:00"/>
        <d v="2025-10-22T02:07:00"/>
        <d v="2025-12-10T13:27:00"/>
        <d v="2025-07-07T11:12:00"/>
        <d v="2025-06-14T11:38:00"/>
        <d v="2025-12-02T00:49:00"/>
        <d v="2025-06-06T05:22:00"/>
        <d v="2025-11-12T14:39:00"/>
        <d v="2025-03-16T14:02:00"/>
        <d v="2025-04-30T06:43:00"/>
        <d v="2025-07-11T04:48:00"/>
        <d v="2025-02-13T03:47:00"/>
        <d v="2025-01-28T07:39:00"/>
        <d v="2025-03-17T09:00:00"/>
        <d v="2025-06-25T22:51:00"/>
        <d v="2025-02-26T09:28:00"/>
        <d v="2025-08-30T00:21:00"/>
        <d v="2025-04-18T23:34:00"/>
        <d v="2025-04-19T06:34:00"/>
        <d v="2025-09-25T08:35:00"/>
        <d v="2025-09-05T19:46:00"/>
        <d v="2025-03-14T22:44:00"/>
        <d v="2025-12-09T00:24:00"/>
        <d v="2025-10-26T21:33:00"/>
        <d v="2025-01-23T08:10:00"/>
        <d v="2025-01-31T09:12:00"/>
        <d v="2025-12-23T19:17:00"/>
        <d v="2025-01-28T14:41:00"/>
        <d v="2025-01-05T02:24:00"/>
        <d v="2025-12-05T08:42:00"/>
        <d v="2025-12-04T11:55:00"/>
        <d v="2025-02-25T00:18:00"/>
        <d v="2025-11-29T12:14:00"/>
        <d v="2025-07-14T16:45:00"/>
        <d v="2025-02-20T10:31:00"/>
        <d v="2025-11-02T17:05:00"/>
        <d v="2025-04-06T06:32:00"/>
        <d v="2025-08-23T17:59:00"/>
        <d v="2025-01-12T01:15:00"/>
        <d v="2025-09-29T09:21:00"/>
        <d v="2025-09-08T12:47:00"/>
        <d v="2025-03-22T00:22:00"/>
        <d v="2025-12-17T11:22:00"/>
        <d v="2025-11-17T09:15:00"/>
        <d v="2025-09-14T08:51:00"/>
        <d v="2025-02-01T20:16:00"/>
        <d v="2025-07-18T00:35:00"/>
        <d v="2025-05-24T07:09:00"/>
        <d v="2025-06-24T12:42:00"/>
        <d v="2025-03-12T02:46:00"/>
        <d v="2025-07-15T16:43:00"/>
        <d v="2025-11-10T20:43:00"/>
        <d v="2025-04-27T13:15:00"/>
        <d v="2025-10-21T04:27:00"/>
        <d v="2025-06-09T19:21:00"/>
        <d v="2025-08-18T17:08:00"/>
        <d v="2025-04-16T20:08:00"/>
        <d v="2025-10-25T17:43:00"/>
        <d v="2025-04-14T04:19:00"/>
        <d v="2025-12-19T22:57:00"/>
        <d v="2025-09-26T04:27:00"/>
        <d v="2025-03-16T20:59:00"/>
        <d v="2025-10-17T05:20:00"/>
        <d v="2025-02-04T17:34:00"/>
        <d v="2025-03-02T05:20:00"/>
        <d v="2025-03-16T23:01:00"/>
        <d v="2025-06-13T13:26:00"/>
        <d v="2025-06-05T14:47:00"/>
        <d v="2025-11-23T23:17:00"/>
        <d v="2025-03-19T06:06:00"/>
        <d v="2025-03-09T05:01:00"/>
        <d v="2025-11-10T19:17:00"/>
        <d v="2025-11-07T18:39:00"/>
        <d v="2025-04-29T19:14:00"/>
        <d v="2025-04-29T21:01:00"/>
        <d v="2025-07-03T02:44:00"/>
        <d v="2025-09-02T04:32:00"/>
        <d v="2025-11-06T15:45:00"/>
        <d v="2025-11-29T11:11:00"/>
        <d v="2025-07-18T15:30:00"/>
        <d v="2025-03-12T05:12:00"/>
        <d v="2025-04-26T01:26:00"/>
        <d v="2025-01-08T08:26:00"/>
        <d v="2025-04-24T23:42:00"/>
        <d v="2025-04-14T06:04:00"/>
        <d v="2025-04-01T14:55:00"/>
        <d v="2025-11-12T15:44:00"/>
        <d v="2025-06-16T14:56:00"/>
        <d v="2025-05-07T13:25:00"/>
        <d v="2025-01-22T19:47:00"/>
        <d v="2025-07-14T23:20:00"/>
        <d v="2025-10-20T19:34:00"/>
        <d v="2025-09-26T20:56:00"/>
        <d v="2025-12-27T01:33:00"/>
        <d v="2025-02-25T14:29:00"/>
        <d v="2025-01-22T07:33:00"/>
        <d v="2025-10-03T12:47:00"/>
        <d v="2025-01-21T17:24:00"/>
        <d v="2025-09-22T20:03:00"/>
        <d v="2025-04-08T09:28:00"/>
        <d v="2025-07-23T09:49:00"/>
        <d v="2025-05-27T14:10:00"/>
        <d v="2025-08-05T09:39:00"/>
        <d v="2025-01-28T22:33:00"/>
        <d v="2025-03-14T14:53:00"/>
        <d v="2025-11-27T14:05:00"/>
        <d v="2025-09-14T03:11:00"/>
        <d v="2025-10-27T22:34:00"/>
        <d v="2025-03-11T12:26:00"/>
        <d v="2025-06-15T14:01:00"/>
        <d v="2025-04-02T14:37:00"/>
        <d v="2025-04-14T14:05:00"/>
        <d v="2025-05-09T10:44:00"/>
        <d v="2025-11-29T22:50:00"/>
        <d v="2025-03-25T22:46:00"/>
        <d v="2025-03-05T02:07:00"/>
        <d v="2025-12-28T14:40:00"/>
        <d v="2025-07-05T02:33:00"/>
        <d v="2025-12-29T12:46:00"/>
        <d v="2025-09-19T19:10:00"/>
        <d v="2025-07-13T17:24:00"/>
        <d v="2025-01-23T05:58:00"/>
        <d v="2025-06-21T18:55:00"/>
        <d v="2025-12-04T04:10:00"/>
        <d v="2025-03-16T05:49:00"/>
        <d v="2025-01-27T13:19:00"/>
        <d v="2025-06-08T23:49:00"/>
        <d v="2025-08-17T09:40:00"/>
        <d v="2025-04-03T03:57:00"/>
        <d v="2025-03-09T06:00:00"/>
        <d v="2025-11-15T08:00:00"/>
        <d v="2025-08-23T15:54:00"/>
        <d v="2025-09-13T17:51:00"/>
        <d v="2025-01-03T19:56:00"/>
        <d v="2025-09-10T07:13:00"/>
        <d v="2025-10-29T21:30:00"/>
        <d v="2025-08-21T13:28:00"/>
        <d v="2025-02-10T19:38:00"/>
        <d v="2025-01-04T07:56:00"/>
        <d v="2025-10-08T08:39:00"/>
        <d v="2025-11-18T17:52:00"/>
        <d v="2025-04-17T01:11:00"/>
        <d v="2025-03-17T01:41:00"/>
        <d v="2025-06-28T01:09:00"/>
        <d v="2025-01-17T21:36:00"/>
        <d v="2025-11-05T09:21:00"/>
        <d v="2025-02-14T01:06:00"/>
        <d v="2025-08-02T05:10:00"/>
        <d v="2025-12-11T09:39:00"/>
        <d v="2025-12-05T22:44:00"/>
        <d v="2025-11-01T18:50:00"/>
        <d v="2025-10-15T05:29:00"/>
        <d v="2025-10-24T11:59:00"/>
        <d v="2025-01-19T02:49:00"/>
        <d v="2025-06-03T10:23:00"/>
        <d v="2025-07-14T02:48:00"/>
        <d v="2025-08-07T17:04:00"/>
        <d v="2025-05-30T15:08:00"/>
        <d v="2025-03-04T22:55:00"/>
        <d v="2025-05-21T10:33:00"/>
        <d v="2025-07-31T16:13:00"/>
        <d v="2025-12-23T06:39:00"/>
        <d v="2025-01-30T03:36:00"/>
        <d v="2025-11-19T16:05:00"/>
        <d v="2025-09-05T23:44:00"/>
        <d v="2025-11-06T22:18:00"/>
        <d v="2025-08-07T19:54:00"/>
        <d v="2025-06-12T08:33:00"/>
        <d v="2025-10-22T19:22:00"/>
        <d v="2025-03-08T19:36:00"/>
        <d v="2025-09-12T16:46:00"/>
        <d v="2025-11-20T15:31:00"/>
        <d v="2025-04-03T19:14:00"/>
        <d v="2025-12-29T09:12:00"/>
        <d v="2025-01-01T03:01:00"/>
        <d v="2025-08-27T20:50:00"/>
        <d v="2025-03-02T23:54:00"/>
        <d v="2025-04-17T19:26:00"/>
        <d v="2025-07-31T01:21:00"/>
        <d v="2025-06-29T17:51:00"/>
        <d v="2025-11-23T06:00:00"/>
        <d v="2025-11-24T06:44:00"/>
        <d v="2025-05-25T08:50:00"/>
        <d v="2025-02-04T09:19:00"/>
        <d v="2025-09-17T17:20:00"/>
        <d v="2025-01-04T03:43:00"/>
        <d v="2025-06-20T10:25:00"/>
        <d v="2025-10-19T19:01:00"/>
        <d v="2025-03-31T06:21:00"/>
        <d v="2025-06-23T21:30:00"/>
        <d v="2025-08-31T01:41:00"/>
        <d v="2025-03-11T15:09:00"/>
        <d v="2025-11-18T14:57:00"/>
        <d v="2025-10-02T10:29:00"/>
        <d v="2025-07-31T23:03:00"/>
        <d v="2025-09-24T09:36:00"/>
        <d v="2025-12-14T10:35:00"/>
        <d v="2025-10-02T00:13:00"/>
        <d v="2025-10-23T21:21:00"/>
        <d v="2025-07-01T02:09:00"/>
        <d v="2025-05-24T00:21:00"/>
        <d v="2025-07-12T20:34:00"/>
        <d v="2025-03-26T18:38:00"/>
        <d v="2025-07-19T05:38:00"/>
        <d v="2025-03-01T09:45:00"/>
        <d v="2025-06-11T22:02:00"/>
        <d v="2025-05-20T13:05:00"/>
        <d v="2025-09-12T07:23:00"/>
        <d v="2025-08-20T09:13:00"/>
        <d v="2025-09-26T09:11:00"/>
      </sharedItems>
      <fieldGroup base="2">
        <rangePr groupBy="months" startDate="2025-01-01T01:24:00" endDate="2025-12-30T22:40:00"/>
        <groupItems count="14">
          <s v="&lt;1/1/2025"/>
          <s v="Jan"/>
          <s v="Feb"/>
          <s v="Mar"/>
          <s v="Apr"/>
          <s v="May"/>
          <s v="Jun"/>
          <s v="Jul"/>
          <s v="Aug"/>
          <s v="Sep"/>
          <s v="Oct"/>
          <s v="Nov"/>
          <s v="Dec"/>
          <s v="&gt;12/30/2025"/>
        </groupItems>
      </fieldGroup>
    </cacheField>
    <cacheField name="Transaction_Type" numFmtId="0">
      <sharedItems count="5">
        <s v="Airtime/Data"/>
        <s v="Transfer"/>
        <s v="Bill Payment"/>
        <s v="POS Payment"/>
        <s v="Card Withdrawal"/>
      </sharedItems>
    </cacheField>
    <cacheField name="Amount" numFmtId="166">
      <sharedItems containsSemiMixedTypes="0" containsString="0" containsNumber="1" minValue="200.05" maxValue="198970.79"/>
    </cacheField>
    <cacheField name="Transaction_Status" numFmtId="0">
      <sharedItems count="3">
        <s v="Successful"/>
        <s v="Failed"/>
        <s v="Pending"/>
      </sharedItems>
    </cacheField>
    <cacheField name="Customer_Age" numFmtId="1">
      <sharedItems containsSemiMixedTypes="0" containsString="0" containsNumber="1" containsInteger="1" minValue="19" maxValue="64"/>
    </cacheField>
    <cacheField name="Gender" numFmtId="0">
      <sharedItems/>
    </cacheField>
    <cacheField name="State" numFmtId="0">
      <sharedItems count="10">
        <s v="Ogun"/>
        <s v="Kano"/>
        <s v="Oyo"/>
        <s v="Edo"/>
        <s v="Lagos"/>
        <s v="Enugu"/>
        <s v="Rivers"/>
        <s v="FCT Abuja"/>
        <s v="Kaduna"/>
        <s v="Delta"/>
      </sharedItems>
    </cacheField>
    <cacheField name="Account_Type" numFmtId="0">
      <sharedItems count="4">
        <s v="Savings"/>
        <s v="Tier 1 Wallet"/>
        <s v="Current"/>
        <s v="Tier 3 Verified"/>
      </sharedItems>
    </cacheField>
    <cacheField name="Payment_Method" numFmtId="0">
      <sharedItems count="4">
        <s v="Bank Transfer"/>
        <s v="Wallet Balance"/>
        <s v="USSD"/>
        <s v="Debit Card"/>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500">
  <r>
    <s v="TXN-20250001"/>
    <x v="0"/>
    <x v="0"/>
    <x v="0"/>
    <n v="1638.03"/>
    <x v="0"/>
    <n v="47"/>
    <s v="Male"/>
    <x v="0"/>
    <x v="0"/>
    <x v="0"/>
  </r>
  <r>
    <s v="TXN-20250002"/>
    <x v="1"/>
    <x v="1"/>
    <x v="0"/>
    <n v="994.07"/>
    <x v="0"/>
    <n v="43"/>
    <s v="Male"/>
    <x v="1"/>
    <x v="0"/>
    <x v="1"/>
  </r>
  <r>
    <s v="TXN-20250003"/>
    <x v="2"/>
    <x v="2"/>
    <x v="0"/>
    <n v="2862.66"/>
    <x v="0"/>
    <n v="35"/>
    <s v="Male"/>
    <x v="2"/>
    <x v="0"/>
    <x v="0"/>
  </r>
  <r>
    <s v="TXN-20250004"/>
    <x v="3"/>
    <x v="3"/>
    <x v="1"/>
    <n v="39577"/>
    <x v="0"/>
    <n v="35"/>
    <s v="Female"/>
    <x v="3"/>
    <x v="0"/>
    <x v="0"/>
  </r>
  <r>
    <s v="TXN-20250005"/>
    <x v="4"/>
    <x v="4"/>
    <x v="2"/>
    <n v="21734.400000000001"/>
    <x v="0"/>
    <n v="53"/>
    <s v="Male"/>
    <x v="4"/>
    <x v="0"/>
    <x v="2"/>
  </r>
  <r>
    <s v="TXN-20250006"/>
    <x v="5"/>
    <x v="5"/>
    <x v="3"/>
    <n v="14388.09"/>
    <x v="0"/>
    <n v="29"/>
    <s v="Male"/>
    <x v="2"/>
    <x v="0"/>
    <x v="0"/>
  </r>
  <r>
    <s v="TXN-20250007"/>
    <x v="6"/>
    <x v="6"/>
    <x v="0"/>
    <n v="1290.67"/>
    <x v="0"/>
    <n v="36"/>
    <s v="Female"/>
    <x v="4"/>
    <x v="0"/>
    <x v="0"/>
  </r>
  <r>
    <s v="TXN-20250008"/>
    <x v="7"/>
    <x v="7"/>
    <x v="1"/>
    <n v="2614.16"/>
    <x v="0"/>
    <n v="35"/>
    <s v="Male"/>
    <x v="5"/>
    <x v="1"/>
    <x v="3"/>
  </r>
  <r>
    <s v="TXN-20250009"/>
    <x v="8"/>
    <x v="8"/>
    <x v="1"/>
    <n v="1856.41"/>
    <x v="0"/>
    <n v="53"/>
    <s v="Male"/>
    <x v="6"/>
    <x v="2"/>
    <x v="0"/>
  </r>
  <r>
    <s v="TXN-20250010"/>
    <x v="9"/>
    <x v="9"/>
    <x v="3"/>
    <n v="827.07"/>
    <x v="0"/>
    <n v="30"/>
    <s v="Female"/>
    <x v="6"/>
    <x v="3"/>
    <x v="0"/>
  </r>
  <r>
    <s v="TXN-20250011"/>
    <x v="10"/>
    <x v="10"/>
    <x v="1"/>
    <n v="45733.52"/>
    <x v="0"/>
    <n v="60"/>
    <s v="Female"/>
    <x v="4"/>
    <x v="2"/>
    <x v="2"/>
  </r>
  <r>
    <s v="TXN-20250012"/>
    <x v="11"/>
    <x v="11"/>
    <x v="0"/>
    <n v="774.66"/>
    <x v="1"/>
    <n v="64"/>
    <s v="Female"/>
    <x v="3"/>
    <x v="2"/>
    <x v="3"/>
  </r>
  <r>
    <s v="TXN-20250013"/>
    <x v="12"/>
    <x v="12"/>
    <x v="3"/>
    <n v="1264.52"/>
    <x v="0"/>
    <n v="27"/>
    <s v="Male"/>
    <x v="7"/>
    <x v="0"/>
    <x v="3"/>
  </r>
  <r>
    <s v="TXN-20250014"/>
    <x v="13"/>
    <x v="13"/>
    <x v="2"/>
    <n v="13840.84"/>
    <x v="0"/>
    <n v="32"/>
    <s v="Female"/>
    <x v="2"/>
    <x v="0"/>
    <x v="0"/>
  </r>
  <r>
    <s v="TXN-20250015"/>
    <x v="14"/>
    <x v="14"/>
    <x v="1"/>
    <n v="10423.540000000001"/>
    <x v="0"/>
    <n v="51"/>
    <s v="Female"/>
    <x v="2"/>
    <x v="1"/>
    <x v="0"/>
  </r>
  <r>
    <s v="TXN-20250016"/>
    <x v="0"/>
    <x v="15"/>
    <x v="1"/>
    <n v="10869.45"/>
    <x v="0"/>
    <n v="47"/>
    <s v="Male"/>
    <x v="0"/>
    <x v="0"/>
    <x v="0"/>
  </r>
  <r>
    <s v="TXN-20250017"/>
    <x v="15"/>
    <x v="16"/>
    <x v="0"/>
    <n v="679.22"/>
    <x v="0"/>
    <n v="29"/>
    <s v="Male"/>
    <x v="4"/>
    <x v="1"/>
    <x v="0"/>
  </r>
  <r>
    <s v="TXN-20250018"/>
    <x v="16"/>
    <x v="17"/>
    <x v="0"/>
    <n v="2481.19"/>
    <x v="0"/>
    <n v="42"/>
    <s v="Male"/>
    <x v="4"/>
    <x v="1"/>
    <x v="2"/>
  </r>
  <r>
    <s v="TXN-20250019"/>
    <x v="17"/>
    <x v="18"/>
    <x v="3"/>
    <n v="22077.14"/>
    <x v="0"/>
    <n v="42"/>
    <s v="Male"/>
    <x v="7"/>
    <x v="0"/>
    <x v="0"/>
  </r>
  <r>
    <s v="TXN-20250020"/>
    <x v="18"/>
    <x v="19"/>
    <x v="1"/>
    <n v="23504.06"/>
    <x v="0"/>
    <n v="33"/>
    <s v="Male"/>
    <x v="1"/>
    <x v="2"/>
    <x v="0"/>
  </r>
  <r>
    <s v="TXN-20250021"/>
    <x v="19"/>
    <x v="20"/>
    <x v="0"/>
    <n v="276.3"/>
    <x v="0"/>
    <n v="31"/>
    <s v="Female"/>
    <x v="2"/>
    <x v="0"/>
    <x v="0"/>
  </r>
  <r>
    <s v="TXN-20250022"/>
    <x v="20"/>
    <x v="21"/>
    <x v="1"/>
    <n v="1098.04"/>
    <x v="0"/>
    <n v="34"/>
    <s v="Female"/>
    <x v="8"/>
    <x v="0"/>
    <x v="0"/>
  </r>
  <r>
    <s v="TXN-20250023"/>
    <x v="21"/>
    <x v="22"/>
    <x v="0"/>
    <n v="1087.98"/>
    <x v="0"/>
    <n v="27"/>
    <s v="Female"/>
    <x v="7"/>
    <x v="0"/>
    <x v="2"/>
  </r>
  <r>
    <s v="TXN-20250024"/>
    <x v="22"/>
    <x v="23"/>
    <x v="1"/>
    <n v="42880.480000000003"/>
    <x v="0"/>
    <n v="20"/>
    <s v="Female"/>
    <x v="1"/>
    <x v="0"/>
    <x v="0"/>
  </r>
  <r>
    <s v="TXN-20250025"/>
    <x v="23"/>
    <x v="24"/>
    <x v="1"/>
    <n v="61709.83"/>
    <x v="0"/>
    <n v="33"/>
    <s v="Male"/>
    <x v="4"/>
    <x v="0"/>
    <x v="0"/>
  </r>
  <r>
    <s v="TXN-20250026"/>
    <x v="24"/>
    <x v="25"/>
    <x v="1"/>
    <n v="2260.2600000000002"/>
    <x v="0"/>
    <n v="41"/>
    <s v="Female"/>
    <x v="7"/>
    <x v="0"/>
    <x v="3"/>
  </r>
  <r>
    <s v="TXN-20250027"/>
    <x v="25"/>
    <x v="26"/>
    <x v="1"/>
    <n v="1833.75"/>
    <x v="0"/>
    <n v="25"/>
    <s v="Female"/>
    <x v="4"/>
    <x v="2"/>
    <x v="2"/>
  </r>
  <r>
    <s v="TXN-20250028"/>
    <x v="26"/>
    <x v="27"/>
    <x v="0"/>
    <n v="868.36"/>
    <x v="0"/>
    <n v="22"/>
    <s v="Female"/>
    <x v="6"/>
    <x v="2"/>
    <x v="3"/>
  </r>
  <r>
    <s v="TXN-20250029"/>
    <x v="27"/>
    <x v="28"/>
    <x v="3"/>
    <n v="10700.5"/>
    <x v="0"/>
    <n v="31"/>
    <s v="Female"/>
    <x v="7"/>
    <x v="1"/>
    <x v="0"/>
  </r>
  <r>
    <s v="TXN-20250030"/>
    <x v="28"/>
    <x v="29"/>
    <x v="0"/>
    <n v="442.98"/>
    <x v="0"/>
    <n v="36"/>
    <s v="Male"/>
    <x v="9"/>
    <x v="0"/>
    <x v="0"/>
  </r>
  <r>
    <s v="TXN-20250031"/>
    <x v="29"/>
    <x v="30"/>
    <x v="0"/>
    <n v="726.6"/>
    <x v="0"/>
    <n v="31"/>
    <s v="Male"/>
    <x v="2"/>
    <x v="0"/>
    <x v="0"/>
  </r>
  <r>
    <s v="TXN-20250032"/>
    <x v="30"/>
    <x v="31"/>
    <x v="0"/>
    <n v="1097.48"/>
    <x v="0"/>
    <n v="36"/>
    <s v="Male"/>
    <x v="3"/>
    <x v="0"/>
    <x v="0"/>
  </r>
  <r>
    <s v="TXN-20250033"/>
    <x v="31"/>
    <x v="32"/>
    <x v="1"/>
    <n v="79100.34"/>
    <x v="0"/>
    <n v="45"/>
    <s v="Female"/>
    <x v="4"/>
    <x v="0"/>
    <x v="3"/>
  </r>
  <r>
    <s v="TXN-20250034"/>
    <x v="32"/>
    <x v="33"/>
    <x v="2"/>
    <n v="13423.82"/>
    <x v="0"/>
    <n v="43"/>
    <s v="Female"/>
    <x v="4"/>
    <x v="0"/>
    <x v="3"/>
  </r>
  <r>
    <s v="TXN-20250035"/>
    <x v="33"/>
    <x v="34"/>
    <x v="1"/>
    <n v="30033.88"/>
    <x v="0"/>
    <n v="42"/>
    <s v="Male"/>
    <x v="4"/>
    <x v="2"/>
    <x v="0"/>
  </r>
  <r>
    <s v="TXN-20250036"/>
    <x v="34"/>
    <x v="35"/>
    <x v="0"/>
    <n v="1909.67"/>
    <x v="0"/>
    <n v="43"/>
    <s v="Female"/>
    <x v="1"/>
    <x v="2"/>
    <x v="1"/>
  </r>
  <r>
    <s v="TXN-20250037"/>
    <x v="35"/>
    <x v="36"/>
    <x v="1"/>
    <n v="1079.48"/>
    <x v="1"/>
    <n v="38"/>
    <s v="Male"/>
    <x v="1"/>
    <x v="0"/>
    <x v="3"/>
  </r>
  <r>
    <s v="TXN-20250038"/>
    <x v="36"/>
    <x v="37"/>
    <x v="0"/>
    <n v="299.07"/>
    <x v="0"/>
    <n v="45"/>
    <s v="Male"/>
    <x v="6"/>
    <x v="0"/>
    <x v="0"/>
  </r>
  <r>
    <s v="TXN-20250039"/>
    <x v="37"/>
    <x v="38"/>
    <x v="1"/>
    <n v="85530.27"/>
    <x v="1"/>
    <n v="60"/>
    <s v="Female"/>
    <x v="8"/>
    <x v="0"/>
    <x v="0"/>
  </r>
  <r>
    <s v="TXN-20250040"/>
    <x v="38"/>
    <x v="39"/>
    <x v="1"/>
    <n v="13074.82"/>
    <x v="0"/>
    <n v="42"/>
    <s v="Female"/>
    <x v="4"/>
    <x v="1"/>
    <x v="0"/>
  </r>
  <r>
    <s v="TXN-20250041"/>
    <x v="39"/>
    <x v="40"/>
    <x v="1"/>
    <n v="2408.63"/>
    <x v="0"/>
    <n v="47"/>
    <s v="Female"/>
    <x v="4"/>
    <x v="0"/>
    <x v="2"/>
  </r>
  <r>
    <s v="TXN-20250042"/>
    <x v="40"/>
    <x v="41"/>
    <x v="2"/>
    <n v="2173.83"/>
    <x v="0"/>
    <n v="33"/>
    <s v="Female"/>
    <x v="7"/>
    <x v="3"/>
    <x v="0"/>
  </r>
  <r>
    <s v="TXN-20250043"/>
    <x v="41"/>
    <x v="42"/>
    <x v="0"/>
    <n v="1555.69"/>
    <x v="2"/>
    <n v="21"/>
    <s v="Female"/>
    <x v="0"/>
    <x v="0"/>
    <x v="0"/>
  </r>
  <r>
    <s v="TXN-20250044"/>
    <x v="42"/>
    <x v="43"/>
    <x v="3"/>
    <n v="9954.41"/>
    <x v="0"/>
    <n v="39"/>
    <s v="Male"/>
    <x v="0"/>
    <x v="3"/>
    <x v="0"/>
  </r>
  <r>
    <s v="TXN-20250045"/>
    <x v="43"/>
    <x v="44"/>
    <x v="0"/>
    <n v="2210.2199999999998"/>
    <x v="0"/>
    <n v="49"/>
    <s v="Female"/>
    <x v="0"/>
    <x v="0"/>
    <x v="0"/>
  </r>
  <r>
    <s v="TXN-20250046"/>
    <x v="44"/>
    <x v="45"/>
    <x v="0"/>
    <n v="1205.79"/>
    <x v="0"/>
    <n v="26"/>
    <s v="Male"/>
    <x v="9"/>
    <x v="1"/>
    <x v="0"/>
  </r>
  <r>
    <s v="TXN-20250047"/>
    <x v="45"/>
    <x v="46"/>
    <x v="1"/>
    <n v="27518.43"/>
    <x v="2"/>
    <n v="38"/>
    <s v="Female"/>
    <x v="6"/>
    <x v="0"/>
    <x v="1"/>
  </r>
  <r>
    <s v="TXN-20250048"/>
    <x v="46"/>
    <x v="47"/>
    <x v="1"/>
    <n v="10226.200000000001"/>
    <x v="0"/>
    <n v="20"/>
    <s v="Male"/>
    <x v="5"/>
    <x v="0"/>
    <x v="0"/>
  </r>
  <r>
    <s v="TXN-20250049"/>
    <x v="47"/>
    <x v="48"/>
    <x v="0"/>
    <n v="365.43"/>
    <x v="0"/>
    <n v="26"/>
    <s v="Male"/>
    <x v="2"/>
    <x v="2"/>
    <x v="0"/>
  </r>
  <r>
    <s v="TXN-20250050"/>
    <x v="48"/>
    <x v="49"/>
    <x v="0"/>
    <n v="1964.39"/>
    <x v="0"/>
    <n v="59"/>
    <s v="Male"/>
    <x v="0"/>
    <x v="0"/>
    <x v="3"/>
  </r>
  <r>
    <s v="TXN-20250051"/>
    <x v="49"/>
    <x v="50"/>
    <x v="1"/>
    <n v="26499.02"/>
    <x v="0"/>
    <n v="39"/>
    <s v="Male"/>
    <x v="1"/>
    <x v="3"/>
    <x v="0"/>
  </r>
  <r>
    <s v="TXN-20250052"/>
    <x v="50"/>
    <x v="51"/>
    <x v="1"/>
    <n v="4253.96"/>
    <x v="0"/>
    <n v="49"/>
    <s v="Male"/>
    <x v="1"/>
    <x v="1"/>
    <x v="3"/>
  </r>
  <r>
    <s v="TXN-20250053"/>
    <x v="51"/>
    <x v="52"/>
    <x v="1"/>
    <n v="18256.03"/>
    <x v="0"/>
    <n v="49"/>
    <s v="Female"/>
    <x v="4"/>
    <x v="0"/>
    <x v="0"/>
  </r>
  <r>
    <s v="TXN-20250054"/>
    <x v="52"/>
    <x v="53"/>
    <x v="2"/>
    <n v="5926.64"/>
    <x v="0"/>
    <n v="49"/>
    <s v="Male"/>
    <x v="7"/>
    <x v="0"/>
    <x v="3"/>
  </r>
  <r>
    <s v="TXN-20250055"/>
    <x v="53"/>
    <x v="54"/>
    <x v="0"/>
    <n v="2653.84"/>
    <x v="0"/>
    <n v="24"/>
    <s v="Male"/>
    <x v="7"/>
    <x v="0"/>
    <x v="1"/>
  </r>
  <r>
    <s v="TXN-20250056"/>
    <x v="54"/>
    <x v="55"/>
    <x v="0"/>
    <n v="2134.89"/>
    <x v="0"/>
    <n v="56"/>
    <s v="Female"/>
    <x v="5"/>
    <x v="0"/>
    <x v="0"/>
  </r>
  <r>
    <s v="TXN-20250057"/>
    <x v="55"/>
    <x v="56"/>
    <x v="3"/>
    <n v="2060.69"/>
    <x v="0"/>
    <n v="52"/>
    <s v="Male"/>
    <x v="4"/>
    <x v="0"/>
    <x v="3"/>
  </r>
  <r>
    <s v="TXN-20250058"/>
    <x v="56"/>
    <x v="57"/>
    <x v="0"/>
    <n v="2417.54"/>
    <x v="1"/>
    <n v="31"/>
    <s v="Male"/>
    <x v="4"/>
    <x v="2"/>
    <x v="0"/>
  </r>
  <r>
    <s v="TXN-20250059"/>
    <x v="39"/>
    <x v="58"/>
    <x v="4"/>
    <n v="20000"/>
    <x v="1"/>
    <n v="47"/>
    <s v="Female"/>
    <x v="4"/>
    <x v="0"/>
    <x v="2"/>
  </r>
  <r>
    <s v="TXN-20250060"/>
    <x v="57"/>
    <x v="59"/>
    <x v="0"/>
    <n v="4400.1499999999996"/>
    <x v="0"/>
    <n v="22"/>
    <s v="Female"/>
    <x v="4"/>
    <x v="3"/>
    <x v="1"/>
  </r>
  <r>
    <s v="TXN-20250061"/>
    <x v="58"/>
    <x v="60"/>
    <x v="1"/>
    <n v="5025.99"/>
    <x v="0"/>
    <n v="30"/>
    <s v="Female"/>
    <x v="4"/>
    <x v="1"/>
    <x v="3"/>
  </r>
  <r>
    <s v="TXN-20250062"/>
    <x v="28"/>
    <x v="61"/>
    <x v="3"/>
    <n v="22931.86"/>
    <x v="0"/>
    <n v="36"/>
    <s v="Male"/>
    <x v="9"/>
    <x v="0"/>
    <x v="0"/>
  </r>
  <r>
    <s v="TXN-20250063"/>
    <x v="59"/>
    <x v="62"/>
    <x v="0"/>
    <n v="1146.96"/>
    <x v="0"/>
    <n v="39"/>
    <s v="Male"/>
    <x v="4"/>
    <x v="1"/>
    <x v="2"/>
  </r>
  <r>
    <s v="TXN-20250064"/>
    <x v="60"/>
    <x v="63"/>
    <x v="1"/>
    <n v="2677.72"/>
    <x v="0"/>
    <n v="31"/>
    <s v="Female"/>
    <x v="2"/>
    <x v="2"/>
    <x v="0"/>
  </r>
  <r>
    <s v="TXN-20250065"/>
    <x v="61"/>
    <x v="64"/>
    <x v="0"/>
    <n v="523.14"/>
    <x v="0"/>
    <n v="31"/>
    <s v="Female"/>
    <x v="3"/>
    <x v="3"/>
    <x v="1"/>
  </r>
  <r>
    <s v="TXN-20250066"/>
    <x v="62"/>
    <x v="65"/>
    <x v="0"/>
    <n v="448.45"/>
    <x v="0"/>
    <n v="24"/>
    <s v="Female"/>
    <x v="4"/>
    <x v="1"/>
    <x v="0"/>
  </r>
  <r>
    <s v="TXN-20250067"/>
    <x v="63"/>
    <x v="66"/>
    <x v="1"/>
    <n v="4908.54"/>
    <x v="0"/>
    <n v="33"/>
    <s v="Female"/>
    <x v="4"/>
    <x v="0"/>
    <x v="2"/>
  </r>
  <r>
    <s v="TXN-20250068"/>
    <x v="64"/>
    <x v="67"/>
    <x v="1"/>
    <n v="5044.7299999999996"/>
    <x v="0"/>
    <n v="51"/>
    <s v="Female"/>
    <x v="2"/>
    <x v="0"/>
    <x v="3"/>
  </r>
  <r>
    <s v="TXN-20250069"/>
    <x v="65"/>
    <x v="68"/>
    <x v="2"/>
    <n v="19226.43"/>
    <x v="1"/>
    <n v="24"/>
    <s v="Male"/>
    <x v="3"/>
    <x v="2"/>
    <x v="1"/>
  </r>
  <r>
    <s v="TXN-20250070"/>
    <x v="12"/>
    <x v="69"/>
    <x v="3"/>
    <n v="3749.7"/>
    <x v="0"/>
    <n v="27"/>
    <s v="Male"/>
    <x v="7"/>
    <x v="0"/>
    <x v="0"/>
  </r>
  <r>
    <s v="TXN-20250071"/>
    <x v="66"/>
    <x v="70"/>
    <x v="0"/>
    <n v="2813.89"/>
    <x v="0"/>
    <n v="32"/>
    <s v="Male"/>
    <x v="4"/>
    <x v="2"/>
    <x v="0"/>
  </r>
  <r>
    <s v="TXN-20250072"/>
    <x v="23"/>
    <x v="71"/>
    <x v="0"/>
    <n v="2438.4299999999998"/>
    <x v="0"/>
    <n v="33"/>
    <s v="Male"/>
    <x v="4"/>
    <x v="0"/>
    <x v="3"/>
  </r>
  <r>
    <s v="TXN-20250073"/>
    <x v="67"/>
    <x v="72"/>
    <x v="3"/>
    <n v="9578.7999999999993"/>
    <x v="0"/>
    <n v="38"/>
    <s v="Male"/>
    <x v="4"/>
    <x v="0"/>
    <x v="0"/>
  </r>
  <r>
    <s v="TXN-20250074"/>
    <x v="68"/>
    <x v="73"/>
    <x v="1"/>
    <n v="12527.43"/>
    <x v="0"/>
    <n v="34"/>
    <s v="Male"/>
    <x v="6"/>
    <x v="0"/>
    <x v="1"/>
  </r>
  <r>
    <s v="TXN-20250075"/>
    <x v="69"/>
    <x v="74"/>
    <x v="3"/>
    <n v="1471.25"/>
    <x v="0"/>
    <n v="19"/>
    <s v="Female"/>
    <x v="8"/>
    <x v="1"/>
    <x v="0"/>
  </r>
  <r>
    <s v="TXN-20250076"/>
    <x v="70"/>
    <x v="75"/>
    <x v="1"/>
    <n v="5130.24"/>
    <x v="0"/>
    <n v="28"/>
    <s v="Female"/>
    <x v="4"/>
    <x v="0"/>
    <x v="0"/>
  </r>
  <r>
    <s v="TXN-20250077"/>
    <x v="67"/>
    <x v="76"/>
    <x v="3"/>
    <n v="16929.509999999998"/>
    <x v="0"/>
    <n v="38"/>
    <s v="Male"/>
    <x v="4"/>
    <x v="0"/>
    <x v="3"/>
  </r>
  <r>
    <s v="TXN-20250078"/>
    <x v="71"/>
    <x v="77"/>
    <x v="1"/>
    <n v="5082.2299999999996"/>
    <x v="0"/>
    <n v="27"/>
    <s v="Male"/>
    <x v="1"/>
    <x v="0"/>
    <x v="2"/>
  </r>
  <r>
    <s v="TXN-20250079"/>
    <x v="72"/>
    <x v="78"/>
    <x v="3"/>
    <n v="1980.56"/>
    <x v="0"/>
    <n v="25"/>
    <s v="Male"/>
    <x v="4"/>
    <x v="0"/>
    <x v="0"/>
  </r>
  <r>
    <s v="TXN-20250080"/>
    <x v="73"/>
    <x v="79"/>
    <x v="0"/>
    <n v="2693.44"/>
    <x v="0"/>
    <n v="48"/>
    <s v="Female"/>
    <x v="7"/>
    <x v="2"/>
    <x v="0"/>
  </r>
  <r>
    <s v="TXN-20250081"/>
    <x v="74"/>
    <x v="80"/>
    <x v="1"/>
    <n v="76676.52"/>
    <x v="0"/>
    <n v="31"/>
    <s v="Female"/>
    <x v="0"/>
    <x v="0"/>
    <x v="1"/>
  </r>
  <r>
    <s v="TXN-20250082"/>
    <x v="1"/>
    <x v="81"/>
    <x v="0"/>
    <n v="1996.37"/>
    <x v="0"/>
    <n v="43"/>
    <s v="Male"/>
    <x v="1"/>
    <x v="0"/>
    <x v="0"/>
  </r>
  <r>
    <s v="TXN-20250083"/>
    <x v="19"/>
    <x v="82"/>
    <x v="2"/>
    <n v="4483.76"/>
    <x v="0"/>
    <n v="31"/>
    <s v="Female"/>
    <x v="2"/>
    <x v="0"/>
    <x v="0"/>
  </r>
  <r>
    <s v="TXN-20250084"/>
    <x v="75"/>
    <x v="83"/>
    <x v="1"/>
    <n v="21749.49"/>
    <x v="0"/>
    <n v="40"/>
    <s v="Female"/>
    <x v="4"/>
    <x v="2"/>
    <x v="0"/>
  </r>
  <r>
    <s v="TXN-20250085"/>
    <x v="66"/>
    <x v="84"/>
    <x v="3"/>
    <n v="1627.4"/>
    <x v="0"/>
    <n v="32"/>
    <s v="Male"/>
    <x v="4"/>
    <x v="2"/>
    <x v="0"/>
  </r>
  <r>
    <s v="TXN-20250086"/>
    <x v="76"/>
    <x v="85"/>
    <x v="0"/>
    <n v="1172.48"/>
    <x v="1"/>
    <n v="38"/>
    <s v="Female"/>
    <x v="4"/>
    <x v="1"/>
    <x v="0"/>
  </r>
  <r>
    <s v="TXN-20250087"/>
    <x v="77"/>
    <x v="86"/>
    <x v="1"/>
    <n v="7403.21"/>
    <x v="0"/>
    <n v="37"/>
    <s v="Female"/>
    <x v="6"/>
    <x v="1"/>
    <x v="3"/>
  </r>
  <r>
    <s v="TXN-20250088"/>
    <x v="23"/>
    <x v="87"/>
    <x v="4"/>
    <n v="10000"/>
    <x v="1"/>
    <n v="33"/>
    <s v="Male"/>
    <x v="4"/>
    <x v="0"/>
    <x v="1"/>
  </r>
  <r>
    <s v="TXN-20250089"/>
    <x v="54"/>
    <x v="88"/>
    <x v="1"/>
    <n v="53047.14"/>
    <x v="0"/>
    <n v="56"/>
    <s v="Female"/>
    <x v="5"/>
    <x v="0"/>
    <x v="0"/>
  </r>
  <r>
    <s v="TXN-20250090"/>
    <x v="78"/>
    <x v="89"/>
    <x v="1"/>
    <n v="32539.87"/>
    <x v="0"/>
    <n v="33"/>
    <s v="Male"/>
    <x v="4"/>
    <x v="2"/>
    <x v="1"/>
  </r>
  <r>
    <s v="TXN-20250091"/>
    <x v="79"/>
    <x v="90"/>
    <x v="2"/>
    <n v="3524.16"/>
    <x v="1"/>
    <n v="50"/>
    <s v="Male"/>
    <x v="7"/>
    <x v="1"/>
    <x v="3"/>
  </r>
  <r>
    <s v="TXN-20250092"/>
    <x v="80"/>
    <x v="91"/>
    <x v="1"/>
    <n v="61753.57"/>
    <x v="0"/>
    <n v="30"/>
    <s v="Male"/>
    <x v="0"/>
    <x v="0"/>
    <x v="0"/>
  </r>
  <r>
    <s v="TXN-20250093"/>
    <x v="81"/>
    <x v="92"/>
    <x v="3"/>
    <n v="6514.38"/>
    <x v="0"/>
    <n v="50"/>
    <s v="Female"/>
    <x v="2"/>
    <x v="2"/>
    <x v="2"/>
  </r>
  <r>
    <s v="TXN-20250094"/>
    <x v="82"/>
    <x v="93"/>
    <x v="1"/>
    <n v="9411.7000000000007"/>
    <x v="0"/>
    <n v="28"/>
    <s v="Male"/>
    <x v="3"/>
    <x v="0"/>
    <x v="2"/>
  </r>
  <r>
    <s v="TXN-20250095"/>
    <x v="83"/>
    <x v="94"/>
    <x v="3"/>
    <n v="1007.34"/>
    <x v="0"/>
    <n v="57"/>
    <s v="Male"/>
    <x v="4"/>
    <x v="1"/>
    <x v="2"/>
  </r>
  <r>
    <s v="TXN-20250096"/>
    <x v="84"/>
    <x v="95"/>
    <x v="1"/>
    <n v="15927.5"/>
    <x v="0"/>
    <n v="21"/>
    <s v="Male"/>
    <x v="3"/>
    <x v="1"/>
    <x v="3"/>
  </r>
  <r>
    <s v="TXN-20250097"/>
    <x v="85"/>
    <x v="96"/>
    <x v="1"/>
    <n v="6580.84"/>
    <x v="0"/>
    <n v="43"/>
    <s v="Male"/>
    <x v="7"/>
    <x v="2"/>
    <x v="0"/>
  </r>
  <r>
    <s v="TXN-20250098"/>
    <x v="86"/>
    <x v="97"/>
    <x v="1"/>
    <n v="9062.9500000000007"/>
    <x v="2"/>
    <n v="40"/>
    <s v="Male"/>
    <x v="4"/>
    <x v="2"/>
    <x v="0"/>
  </r>
  <r>
    <s v="TXN-20250099"/>
    <x v="87"/>
    <x v="98"/>
    <x v="1"/>
    <n v="104444.99"/>
    <x v="0"/>
    <n v="35"/>
    <s v="Female"/>
    <x v="8"/>
    <x v="0"/>
    <x v="0"/>
  </r>
  <r>
    <s v="TXN-20250100"/>
    <x v="66"/>
    <x v="99"/>
    <x v="1"/>
    <n v="127470.58"/>
    <x v="0"/>
    <n v="32"/>
    <s v="Male"/>
    <x v="4"/>
    <x v="2"/>
    <x v="2"/>
  </r>
  <r>
    <s v="TXN-20250101"/>
    <x v="88"/>
    <x v="100"/>
    <x v="1"/>
    <n v="6136.61"/>
    <x v="0"/>
    <n v="45"/>
    <s v="Male"/>
    <x v="6"/>
    <x v="1"/>
    <x v="0"/>
  </r>
  <r>
    <s v="TXN-20250102"/>
    <x v="89"/>
    <x v="101"/>
    <x v="1"/>
    <n v="4546.3900000000003"/>
    <x v="0"/>
    <n v="35"/>
    <s v="Male"/>
    <x v="4"/>
    <x v="0"/>
    <x v="0"/>
  </r>
  <r>
    <s v="TXN-20250103"/>
    <x v="90"/>
    <x v="102"/>
    <x v="1"/>
    <n v="71302.509999999995"/>
    <x v="0"/>
    <n v="36"/>
    <s v="Male"/>
    <x v="4"/>
    <x v="1"/>
    <x v="3"/>
  </r>
  <r>
    <s v="TXN-20250104"/>
    <x v="91"/>
    <x v="103"/>
    <x v="1"/>
    <n v="53191.45"/>
    <x v="0"/>
    <n v="46"/>
    <s v="Male"/>
    <x v="8"/>
    <x v="1"/>
    <x v="1"/>
  </r>
  <r>
    <s v="TXN-20250105"/>
    <x v="92"/>
    <x v="104"/>
    <x v="3"/>
    <n v="9905.84"/>
    <x v="0"/>
    <n v="27"/>
    <s v="Female"/>
    <x v="4"/>
    <x v="0"/>
    <x v="0"/>
  </r>
  <r>
    <s v="TXN-20250106"/>
    <x v="93"/>
    <x v="105"/>
    <x v="0"/>
    <n v="4590.72"/>
    <x v="0"/>
    <n v="25"/>
    <s v="Male"/>
    <x v="4"/>
    <x v="3"/>
    <x v="0"/>
  </r>
  <r>
    <s v="TXN-20250107"/>
    <x v="94"/>
    <x v="106"/>
    <x v="0"/>
    <n v="1684.74"/>
    <x v="0"/>
    <n v="37"/>
    <s v="Male"/>
    <x v="4"/>
    <x v="1"/>
    <x v="0"/>
  </r>
  <r>
    <s v="TXN-20250108"/>
    <x v="83"/>
    <x v="107"/>
    <x v="3"/>
    <n v="4478.0200000000004"/>
    <x v="0"/>
    <n v="57"/>
    <s v="Male"/>
    <x v="4"/>
    <x v="1"/>
    <x v="3"/>
  </r>
  <r>
    <s v="TXN-20250109"/>
    <x v="52"/>
    <x v="108"/>
    <x v="0"/>
    <n v="863.29"/>
    <x v="0"/>
    <n v="49"/>
    <s v="Male"/>
    <x v="7"/>
    <x v="0"/>
    <x v="3"/>
  </r>
  <r>
    <s v="TXN-20250110"/>
    <x v="95"/>
    <x v="109"/>
    <x v="1"/>
    <n v="2553.64"/>
    <x v="0"/>
    <n v="49"/>
    <s v="Female"/>
    <x v="0"/>
    <x v="0"/>
    <x v="2"/>
  </r>
  <r>
    <s v="TXN-20250111"/>
    <x v="96"/>
    <x v="110"/>
    <x v="2"/>
    <n v="52296.98"/>
    <x v="0"/>
    <n v="30"/>
    <s v="Male"/>
    <x v="7"/>
    <x v="2"/>
    <x v="1"/>
  </r>
  <r>
    <s v="TXN-20250112"/>
    <x v="97"/>
    <x v="111"/>
    <x v="1"/>
    <n v="83333.009999999995"/>
    <x v="0"/>
    <n v="35"/>
    <s v="Male"/>
    <x v="2"/>
    <x v="0"/>
    <x v="2"/>
  </r>
  <r>
    <s v="TXN-20250113"/>
    <x v="98"/>
    <x v="112"/>
    <x v="2"/>
    <n v="2726.76"/>
    <x v="0"/>
    <n v="29"/>
    <s v="Male"/>
    <x v="2"/>
    <x v="0"/>
    <x v="0"/>
  </r>
  <r>
    <s v="TXN-20250114"/>
    <x v="99"/>
    <x v="113"/>
    <x v="1"/>
    <n v="49788.09"/>
    <x v="0"/>
    <n v="25"/>
    <s v="Female"/>
    <x v="7"/>
    <x v="1"/>
    <x v="0"/>
  </r>
  <r>
    <s v="TXN-20250115"/>
    <x v="100"/>
    <x v="114"/>
    <x v="1"/>
    <n v="2938.59"/>
    <x v="0"/>
    <n v="36"/>
    <s v="Female"/>
    <x v="4"/>
    <x v="0"/>
    <x v="3"/>
  </r>
  <r>
    <s v="TXN-20250116"/>
    <x v="101"/>
    <x v="115"/>
    <x v="1"/>
    <n v="48353.38"/>
    <x v="0"/>
    <n v="26"/>
    <s v="Female"/>
    <x v="8"/>
    <x v="0"/>
    <x v="2"/>
  </r>
  <r>
    <s v="TXN-20250117"/>
    <x v="102"/>
    <x v="116"/>
    <x v="1"/>
    <n v="15750.05"/>
    <x v="0"/>
    <n v="58"/>
    <s v="Female"/>
    <x v="3"/>
    <x v="2"/>
    <x v="3"/>
  </r>
  <r>
    <s v="TXN-20250118"/>
    <x v="103"/>
    <x v="117"/>
    <x v="1"/>
    <n v="69600.92"/>
    <x v="0"/>
    <n v="39"/>
    <s v="Male"/>
    <x v="1"/>
    <x v="0"/>
    <x v="0"/>
  </r>
  <r>
    <s v="TXN-20250119"/>
    <x v="104"/>
    <x v="118"/>
    <x v="1"/>
    <n v="8080.54"/>
    <x v="0"/>
    <n v="50"/>
    <s v="Female"/>
    <x v="7"/>
    <x v="2"/>
    <x v="0"/>
  </r>
  <r>
    <s v="TXN-20250120"/>
    <x v="105"/>
    <x v="119"/>
    <x v="0"/>
    <n v="1248.27"/>
    <x v="0"/>
    <n v="26"/>
    <s v="Female"/>
    <x v="4"/>
    <x v="2"/>
    <x v="0"/>
  </r>
  <r>
    <s v="TXN-20250121"/>
    <x v="106"/>
    <x v="120"/>
    <x v="1"/>
    <n v="28870.45"/>
    <x v="0"/>
    <n v="47"/>
    <s v="Female"/>
    <x v="9"/>
    <x v="1"/>
    <x v="0"/>
  </r>
  <r>
    <s v="TXN-20250122"/>
    <x v="107"/>
    <x v="121"/>
    <x v="1"/>
    <n v="28178.560000000001"/>
    <x v="0"/>
    <n v="36"/>
    <s v="Female"/>
    <x v="2"/>
    <x v="0"/>
    <x v="3"/>
  </r>
  <r>
    <s v="TXN-20250123"/>
    <x v="108"/>
    <x v="122"/>
    <x v="1"/>
    <n v="15884.1"/>
    <x v="0"/>
    <n v="50"/>
    <s v="Female"/>
    <x v="9"/>
    <x v="2"/>
    <x v="2"/>
  </r>
  <r>
    <s v="TXN-20250124"/>
    <x v="109"/>
    <x v="123"/>
    <x v="1"/>
    <n v="55526.44"/>
    <x v="0"/>
    <n v="42"/>
    <s v="Female"/>
    <x v="7"/>
    <x v="0"/>
    <x v="2"/>
  </r>
  <r>
    <s v="TXN-20250125"/>
    <x v="46"/>
    <x v="124"/>
    <x v="0"/>
    <n v="4352.2700000000004"/>
    <x v="0"/>
    <n v="20"/>
    <s v="Male"/>
    <x v="5"/>
    <x v="0"/>
    <x v="0"/>
  </r>
  <r>
    <s v="TXN-20250126"/>
    <x v="110"/>
    <x v="125"/>
    <x v="3"/>
    <n v="6334.73"/>
    <x v="0"/>
    <n v="29"/>
    <s v="Male"/>
    <x v="4"/>
    <x v="2"/>
    <x v="0"/>
  </r>
  <r>
    <s v="TXN-20250127"/>
    <x v="111"/>
    <x v="126"/>
    <x v="1"/>
    <n v="4890.5200000000004"/>
    <x v="0"/>
    <n v="50"/>
    <s v="Male"/>
    <x v="1"/>
    <x v="1"/>
    <x v="0"/>
  </r>
  <r>
    <s v="TXN-20250128"/>
    <x v="112"/>
    <x v="127"/>
    <x v="1"/>
    <n v="5535.15"/>
    <x v="2"/>
    <n v="52"/>
    <s v="Female"/>
    <x v="4"/>
    <x v="0"/>
    <x v="3"/>
  </r>
  <r>
    <s v="TXN-20250129"/>
    <x v="19"/>
    <x v="128"/>
    <x v="1"/>
    <n v="29139.34"/>
    <x v="0"/>
    <n v="31"/>
    <s v="Female"/>
    <x v="2"/>
    <x v="0"/>
    <x v="0"/>
  </r>
  <r>
    <s v="TXN-20250130"/>
    <x v="113"/>
    <x v="129"/>
    <x v="0"/>
    <n v="1107.52"/>
    <x v="0"/>
    <n v="33"/>
    <s v="Female"/>
    <x v="4"/>
    <x v="0"/>
    <x v="0"/>
  </r>
  <r>
    <s v="TXN-20250131"/>
    <x v="114"/>
    <x v="130"/>
    <x v="1"/>
    <n v="7327.19"/>
    <x v="0"/>
    <n v="59"/>
    <s v="Male"/>
    <x v="4"/>
    <x v="0"/>
    <x v="3"/>
  </r>
  <r>
    <s v="TXN-20250132"/>
    <x v="115"/>
    <x v="131"/>
    <x v="3"/>
    <n v="7952.21"/>
    <x v="0"/>
    <n v="60"/>
    <s v="Female"/>
    <x v="1"/>
    <x v="0"/>
    <x v="0"/>
  </r>
  <r>
    <s v="TXN-20250133"/>
    <x v="1"/>
    <x v="132"/>
    <x v="1"/>
    <n v="41058.97"/>
    <x v="0"/>
    <n v="43"/>
    <s v="Male"/>
    <x v="1"/>
    <x v="0"/>
    <x v="0"/>
  </r>
  <r>
    <s v="TXN-20250134"/>
    <x v="116"/>
    <x v="133"/>
    <x v="3"/>
    <n v="1263.51"/>
    <x v="0"/>
    <n v="32"/>
    <s v="Female"/>
    <x v="6"/>
    <x v="0"/>
    <x v="3"/>
  </r>
  <r>
    <s v="TXN-20250135"/>
    <x v="117"/>
    <x v="134"/>
    <x v="1"/>
    <n v="7035.36"/>
    <x v="0"/>
    <n v="39"/>
    <s v="Male"/>
    <x v="2"/>
    <x v="0"/>
    <x v="3"/>
  </r>
  <r>
    <s v="TXN-20250136"/>
    <x v="118"/>
    <x v="135"/>
    <x v="1"/>
    <n v="3477.66"/>
    <x v="0"/>
    <n v="36"/>
    <s v="Male"/>
    <x v="4"/>
    <x v="0"/>
    <x v="1"/>
  </r>
  <r>
    <s v="TXN-20250137"/>
    <x v="90"/>
    <x v="136"/>
    <x v="1"/>
    <n v="21069.439999999999"/>
    <x v="0"/>
    <n v="36"/>
    <s v="Male"/>
    <x v="4"/>
    <x v="1"/>
    <x v="3"/>
  </r>
  <r>
    <s v="TXN-20250138"/>
    <x v="119"/>
    <x v="137"/>
    <x v="1"/>
    <n v="42827.01"/>
    <x v="0"/>
    <n v="31"/>
    <s v="Male"/>
    <x v="4"/>
    <x v="3"/>
    <x v="2"/>
  </r>
  <r>
    <s v="TXN-20250139"/>
    <x v="64"/>
    <x v="138"/>
    <x v="2"/>
    <n v="2592.9899999999998"/>
    <x v="0"/>
    <n v="51"/>
    <s v="Female"/>
    <x v="2"/>
    <x v="0"/>
    <x v="1"/>
  </r>
  <r>
    <s v="TXN-20250140"/>
    <x v="120"/>
    <x v="139"/>
    <x v="2"/>
    <n v="10928.06"/>
    <x v="0"/>
    <n v="27"/>
    <s v="Male"/>
    <x v="4"/>
    <x v="2"/>
    <x v="3"/>
  </r>
  <r>
    <s v="TXN-20250141"/>
    <x v="121"/>
    <x v="140"/>
    <x v="1"/>
    <n v="5027.2299999999996"/>
    <x v="1"/>
    <n v="49"/>
    <s v="Male"/>
    <x v="7"/>
    <x v="0"/>
    <x v="2"/>
  </r>
  <r>
    <s v="TXN-20250142"/>
    <x v="53"/>
    <x v="141"/>
    <x v="0"/>
    <n v="361.21"/>
    <x v="0"/>
    <n v="24"/>
    <s v="Male"/>
    <x v="7"/>
    <x v="0"/>
    <x v="3"/>
  </r>
  <r>
    <s v="TXN-20250143"/>
    <x v="115"/>
    <x v="142"/>
    <x v="2"/>
    <n v="804.07"/>
    <x v="0"/>
    <n v="60"/>
    <s v="Female"/>
    <x v="1"/>
    <x v="0"/>
    <x v="0"/>
  </r>
  <r>
    <s v="TXN-20250144"/>
    <x v="122"/>
    <x v="143"/>
    <x v="2"/>
    <n v="6350.2"/>
    <x v="0"/>
    <n v="45"/>
    <s v="Female"/>
    <x v="6"/>
    <x v="0"/>
    <x v="0"/>
  </r>
  <r>
    <s v="TXN-20250145"/>
    <x v="123"/>
    <x v="144"/>
    <x v="1"/>
    <n v="12507.56"/>
    <x v="0"/>
    <n v="53"/>
    <s v="Female"/>
    <x v="4"/>
    <x v="3"/>
    <x v="3"/>
  </r>
  <r>
    <s v="TXN-20250146"/>
    <x v="124"/>
    <x v="145"/>
    <x v="0"/>
    <n v="315.54000000000002"/>
    <x v="0"/>
    <n v="51"/>
    <s v="Female"/>
    <x v="2"/>
    <x v="2"/>
    <x v="2"/>
  </r>
  <r>
    <s v="TXN-20250147"/>
    <x v="125"/>
    <x v="146"/>
    <x v="0"/>
    <n v="4607.87"/>
    <x v="0"/>
    <n v="56"/>
    <s v="Female"/>
    <x v="7"/>
    <x v="2"/>
    <x v="0"/>
  </r>
  <r>
    <s v="TXN-20250148"/>
    <x v="126"/>
    <x v="147"/>
    <x v="1"/>
    <n v="54627.02"/>
    <x v="0"/>
    <n v="24"/>
    <s v="Male"/>
    <x v="6"/>
    <x v="0"/>
    <x v="3"/>
  </r>
  <r>
    <s v="TXN-20250149"/>
    <x v="127"/>
    <x v="148"/>
    <x v="3"/>
    <n v="1712.05"/>
    <x v="0"/>
    <n v="40"/>
    <s v="Male"/>
    <x v="4"/>
    <x v="0"/>
    <x v="0"/>
  </r>
  <r>
    <s v="TXN-20250150"/>
    <x v="128"/>
    <x v="149"/>
    <x v="0"/>
    <n v="1308.44"/>
    <x v="0"/>
    <n v="55"/>
    <s v="Male"/>
    <x v="4"/>
    <x v="2"/>
    <x v="0"/>
  </r>
  <r>
    <s v="TXN-20250151"/>
    <x v="75"/>
    <x v="150"/>
    <x v="0"/>
    <n v="1428.57"/>
    <x v="0"/>
    <n v="40"/>
    <s v="Female"/>
    <x v="4"/>
    <x v="2"/>
    <x v="1"/>
  </r>
  <r>
    <s v="TXN-20250152"/>
    <x v="15"/>
    <x v="151"/>
    <x v="1"/>
    <n v="8612.39"/>
    <x v="0"/>
    <n v="29"/>
    <s v="Male"/>
    <x v="4"/>
    <x v="1"/>
    <x v="2"/>
  </r>
  <r>
    <s v="TXN-20250153"/>
    <x v="86"/>
    <x v="152"/>
    <x v="0"/>
    <n v="1965.33"/>
    <x v="0"/>
    <n v="40"/>
    <s v="Male"/>
    <x v="4"/>
    <x v="2"/>
    <x v="2"/>
  </r>
  <r>
    <s v="TXN-20250154"/>
    <x v="122"/>
    <x v="153"/>
    <x v="2"/>
    <n v="14208.11"/>
    <x v="1"/>
    <n v="45"/>
    <s v="Female"/>
    <x v="6"/>
    <x v="0"/>
    <x v="3"/>
  </r>
  <r>
    <s v="TXN-20250155"/>
    <x v="129"/>
    <x v="154"/>
    <x v="1"/>
    <n v="74879.23"/>
    <x v="0"/>
    <n v="27"/>
    <s v="Female"/>
    <x v="5"/>
    <x v="0"/>
    <x v="1"/>
  </r>
  <r>
    <s v="TXN-20250156"/>
    <x v="130"/>
    <x v="155"/>
    <x v="3"/>
    <n v="6892.12"/>
    <x v="2"/>
    <n v="48"/>
    <s v="Male"/>
    <x v="4"/>
    <x v="0"/>
    <x v="3"/>
  </r>
  <r>
    <s v="TXN-20250157"/>
    <x v="131"/>
    <x v="156"/>
    <x v="0"/>
    <n v="657.44"/>
    <x v="1"/>
    <n v="48"/>
    <s v="Male"/>
    <x v="4"/>
    <x v="0"/>
    <x v="0"/>
  </r>
  <r>
    <s v="TXN-20250158"/>
    <x v="132"/>
    <x v="157"/>
    <x v="2"/>
    <n v="10945.07"/>
    <x v="0"/>
    <n v="31"/>
    <s v="Male"/>
    <x v="4"/>
    <x v="2"/>
    <x v="2"/>
  </r>
  <r>
    <s v="TXN-20250159"/>
    <x v="36"/>
    <x v="158"/>
    <x v="3"/>
    <n v="4586.03"/>
    <x v="2"/>
    <n v="45"/>
    <s v="Male"/>
    <x v="6"/>
    <x v="0"/>
    <x v="2"/>
  </r>
  <r>
    <s v="TXN-20250160"/>
    <x v="133"/>
    <x v="159"/>
    <x v="0"/>
    <n v="308.2"/>
    <x v="0"/>
    <n v="36"/>
    <s v="Female"/>
    <x v="2"/>
    <x v="1"/>
    <x v="0"/>
  </r>
  <r>
    <s v="TXN-20250161"/>
    <x v="134"/>
    <x v="160"/>
    <x v="0"/>
    <n v="2151.71"/>
    <x v="0"/>
    <n v="34"/>
    <s v="Male"/>
    <x v="7"/>
    <x v="3"/>
    <x v="3"/>
  </r>
  <r>
    <s v="TXN-20250162"/>
    <x v="135"/>
    <x v="161"/>
    <x v="2"/>
    <n v="2088.38"/>
    <x v="0"/>
    <n v="32"/>
    <s v="Female"/>
    <x v="8"/>
    <x v="3"/>
    <x v="0"/>
  </r>
  <r>
    <s v="TXN-20250163"/>
    <x v="136"/>
    <x v="162"/>
    <x v="4"/>
    <n v="5000"/>
    <x v="0"/>
    <n v="31"/>
    <s v="Male"/>
    <x v="3"/>
    <x v="2"/>
    <x v="0"/>
  </r>
  <r>
    <s v="TXN-20250164"/>
    <x v="11"/>
    <x v="163"/>
    <x v="0"/>
    <n v="2363.88"/>
    <x v="0"/>
    <n v="64"/>
    <s v="Female"/>
    <x v="3"/>
    <x v="2"/>
    <x v="0"/>
  </r>
  <r>
    <s v="TXN-20250165"/>
    <x v="137"/>
    <x v="164"/>
    <x v="1"/>
    <n v="77420.350000000006"/>
    <x v="0"/>
    <n v="25"/>
    <s v="Male"/>
    <x v="7"/>
    <x v="2"/>
    <x v="0"/>
  </r>
  <r>
    <s v="TXN-20250166"/>
    <x v="138"/>
    <x v="165"/>
    <x v="0"/>
    <n v="3315.76"/>
    <x v="0"/>
    <n v="38"/>
    <s v="Male"/>
    <x v="4"/>
    <x v="0"/>
    <x v="2"/>
  </r>
  <r>
    <s v="TXN-20250167"/>
    <x v="136"/>
    <x v="166"/>
    <x v="1"/>
    <n v="22529.39"/>
    <x v="1"/>
    <n v="31"/>
    <s v="Male"/>
    <x v="3"/>
    <x v="2"/>
    <x v="3"/>
  </r>
  <r>
    <s v="TXN-20250168"/>
    <x v="139"/>
    <x v="167"/>
    <x v="0"/>
    <n v="1859.1"/>
    <x v="0"/>
    <n v="55"/>
    <s v="Female"/>
    <x v="9"/>
    <x v="2"/>
    <x v="3"/>
  </r>
  <r>
    <s v="TXN-20250169"/>
    <x v="140"/>
    <x v="168"/>
    <x v="1"/>
    <n v="19167.64"/>
    <x v="0"/>
    <n v="39"/>
    <s v="Female"/>
    <x v="0"/>
    <x v="1"/>
    <x v="3"/>
  </r>
  <r>
    <s v="TXN-20250170"/>
    <x v="17"/>
    <x v="169"/>
    <x v="2"/>
    <n v="2272.37"/>
    <x v="0"/>
    <n v="42"/>
    <s v="Male"/>
    <x v="7"/>
    <x v="0"/>
    <x v="0"/>
  </r>
  <r>
    <s v="TXN-20250171"/>
    <x v="101"/>
    <x v="170"/>
    <x v="1"/>
    <n v="48735.24"/>
    <x v="0"/>
    <n v="26"/>
    <s v="Female"/>
    <x v="8"/>
    <x v="0"/>
    <x v="0"/>
  </r>
  <r>
    <s v="TXN-20250172"/>
    <x v="141"/>
    <x v="171"/>
    <x v="3"/>
    <n v="7106.09"/>
    <x v="0"/>
    <n v="51"/>
    <s v="Male"/>
    <x v="1"/>
    <x v="0"/>
    <x v="0"/>
  </r>
  <r>
    <s v="TXN-20250173"/>
    <x v="142"/>
    <x v="172"/>
    <x v="1"/>
    <n v="37711.51"/>
    <x v="0"/>
    <n v="22"/>
    <s v="Female"/>
    <x v="0"/>
    <x v="0"/>
    <x v="0"/>
  </r>
  <r>
    <s v="TXN-20250174"/>
    <x v="16"/>
    <x v="173"/>
    <x v="0"/>
    <n v="929.1"/>
    <x v="1"/>
    <n v="42"/>
    <s v="Male"/>
    <x v="4"/>
    <x v="1"/>
    <x v="0"/>
  </r>
  <r>
    <s v="TXN-20250175"/>
    <x v="143"/>
    <x v="174"/>
    <x v="0"/>
    <n v="578.92999999999995"/>
    <x v="0"/>
    <n v="57"/>
    <s v="Male"/>
    <x v="0"/>
    <x v="1"/>
    <x v="3"/>
  </r>
  <r>
    <s v="TXN-20250176"/>
    <x v="96"/>
    <x v="175"/>
    <x v="0"/>
    <n v="405.61"/>
    <x v="1"/>
    <n v="30"/>
    <s v="Male"/>
    <x v="7"/>
    <x v="2"/>
    <x v="0"/>
  </r>
  <r>
    <s v="TXN-20250177"/>
    <x v="144"/>
    <x v="176"/>
    <x v="1"/>
    <n v="12247.1"/>
    <x v="0"/>
    <n v="40"/>
    <s v="Male"/>
    <x v="4"/>
    <x v="0"/>
    <x v="3"/>
  </r>
  <r>
    <s v="TXN-20250178"/>
    <x v="145"/>
    <x v="177"/>
    <x v="2"/>
    <n v="1549.03"/>
    <x v="1"/>
    <n v="25"/>
    <s v="Female"/>
    <x v="4"/>
    <x v="1"/>
    <x v="0"/>
  </r>
  <r>
    <s v="TXN-20250179"/>
    <x v="146"/>
    <x v="178"/>
    <x v="2"/>
    <n v="5071.68"/>
    <x v="0"/>
    <n v="32"/>
    <s v="Male"/>
    <x v="4"/>
    <x v="0"/>
    <x v="0"/>
  </r>
  <r>
    <s v="TXN-20250180"/>
    <x v="147"/>
    <x v="179"/>
    <x v="0"/>
    <n v="789.54"/>
    <x v="2"/>
    <n v="28"/>
    <s v="Male"/>
    <x v="4"/>
    <x v="2"/>
    <x v="1"/>
  </r>
  <r>
    <s v="TXN-20250181"/>
    <x v="148"/>
    <x v="180"/>
    <x v="4"/>
    <n v="5000"/>
    <x v="0"/>
    <n v="52"/>
    <s v="Male"/>
    <x v="4"/>
    <x v="0"/>
    <x v="0"/>
  </r>
  <r>
    <s v="TXN-20250182"/>
    <x v="149"/>
    <x v="181"/>
    <x v="1"/>
    <n v="1432.13"/>
    <x v="0"/>
    <n v="35"/>
    <s v="Male"/>
    <x v="4"/>
    <x v="2"/>
    <x v="2"/>
  </r>
  <r>
    <s v="TXN-20250183"/>
    <x v="150"/>
    <x v="182"/>
    <x v="2"/>
    <n v="9325.07"/>
    <x v="0"/>
    <n v="28"/>
    <s v="Female"/>
    <x v="2"/>
    <x v="0"/>
    <x v="0"/>
  </r>
  <r>
    <s v="TXN-20250184"/>
    <x v="151"/>
    <x v="183"/>
    <x v="0"/>
    <n v="1161.7"/>
    <x v="0"/>
    <n v="28"/>
    <s v="Female"/>
    <x v="1"/>
    <x v="0"/>
    <x v="2"/>
  </r>
  <r>
    <s v="TXN-20250185"/>
    <x v="61"/>
    <x v="184"/>
    <x v="1"/>
    <n v="33016.01"/>
    <x v="0"/>
    <n v="31"/>
    <s v="Female"/>
    <x v="3"/>
    <x v="3"/>
    <x v="1"/>
  </r>
  <r>
    <s v="TXN-20250186"/>
    <x v="152"/>
    <x v="185"/>
    <x v="0"/>
    <n v="252.11"/>
    <x v="0"/>
    <n v="39"/>
    <s v="Male"/>
    <x v="5"/>
    <x v="0"/>
    <x v="0"/>
  </r>
  <r>
    <s v="TXN-20250187"/>
    <x v="39"/>
    <x v="186"/>
    <x v="4"/>
    <n v="10000"/>
    <x v="0"/>
    <n v="47"/>
    <s v="Female"/>
    <x v="4"/>
    <x v="0"/>
    <x v="0"/>
  </r>
  <r>
    <s v="TXN-20250188"/>
    <x v="153"/>
    <x v="187"/>
    <x v="1"/>
    <n v="19637.419999999998"/>
    <x v="0"/>
    <n v="32"/>
    <s v="Female"/>
    <x v="4"/>
    <x v="0"/>
    <x v="2"/>
  </r>
  <r>
    <s v="TXN-20250189"/>
    <x v="154"/>
    <x v="188"/>
    <x v="1"/>
    <n v="3949.49"/>
    <x v="0"/>
    <n v="27"/>
    <s v="Male"/>
    <x v="5"/>
    <x v="2"/>
    <x v="0"/>
  </r>
  <r>
    <s v="TXN-20250190"/>
    <x v="155"/>
    <x v="189"/>
    <x v="1"/>
    <n v="23038.79"/>
    <x v="0"/>
    <n v="32"/>
    <s v="Male"/>
    <x v="2"/>
    <x v="0"/>
    <x v="3"/>
  </r>
  <r>
    <s v="TXN-20250191"/>
    <x v="156"/>
    <x v="190"/>
    <x v="3"/>
    <n v="2271.66"/>
    <x v="0"/>
    <n v="26"/>
    <s v="Male"/>
    <x v="2"/>
    <x v="0"/>
    <x v="3"/>
  </r>
  <r>
    <s v="TXN-20250192"/>
    <x v="157"/>
    <x v="191"/>
    <x v="3"/>
    <n v="8900.94"/>
    <x v="0"/>
    <n v="31"/>
    <s v="Male"/>
    <x v="4"/>
    <x v="0"/>
    <x v="0"/>
  </r>
  <r>
    <s v="TXN-20250193"/>
    <x v="158"/>
    <x v="192"/>
    <x v="1"/>
    <n v="7378.34"/>
    <x v="0"/>
    <n v="35"/>
    <s v="Male"/>
    <x v="2"/>
    <x v="0"/>
    <x v="0"/>
  </r>
  <r>
    <s v="TXN-20250194"/>
    <x v="33"/>
    <x v="193"/>
    <x v="1"/>
    <n v="27462.92"/>
    <x v="1"/>
    <n v="42"/>
    <s v="Male"/>
    <x v="4"/>
    <x v="2"/>
    <x v="0"/>
  </r>
  <r>
    <s v="TXN-20250195"/>
    <x v="159"/>
    <x v="194"/>
    <x v="2"/>
    <n v="15768.79"/>
    <x v="1"/>
    <n v="52"/>
    <s v="Female"/>
    <x v="6"/>
    <x v="2"/>
    <x v="2"/>
  </r>
  <r>
    <s v="TXN-20250196"/>
    <x v="160"/>
    <x v="195"/>
    <x v="1"/>
    <n v="24692.799999999999"/>
    <x v="0"/>
    <n v="24"/>
    <s v="Male"/>
    <x v="1"/>
    <x v="0"/>
    <x v="0"/>
  </r>
  <r>
    <s v="TXN-20250197"/>
    <x v="99"/>
    <x v="196"/>
    <x v="1"/>
    <n v="8781.1200000000008"/>
    <x v="0"/>
    <n v="25"/>
    <s v="Female"/>
    <x v="7"/>
    <x v="1"/>
    <x v="0"/>
  </r>
  <r>
    <s v="TXN-20250198"/>
    <x v="28"/>
    <x v="197"/>
    <x v="2"/>
    <n v="2310.34"/>
    <x v="0"/>
    <n v="36"/>
    <s v="Male"/>
    <x v="9"/>
    <x v="0"/>
    <x v="1"/>
  </r>
  <r>
    <s v="TXN-20250199"/>
    <x v="161"/>
    <x v="198"/>
    <x v="1"/>
    <n v="10315.16"/>
    <x v="0"/>
    <n v="53"/>
    <s v="Female"/>
    <x v="4"/>
    <x v="0"/>
    <x v="0"/>
  </r>
  <r>
    <s v="TXN-20250200"/>
    <x v="162"/>
    <x v="199"/>
    <x v="3"/>
    <n v="1979.45"/>
    <x v="0"/>
    <n v="31"/>
    <s v="Male"/>
    <x v="9"/>
    <x v="1"/>
    <x v="0"/>
  </r>
  <r>
    <s v="TXN-20250201"/>
    <x v="163"/>
    <x v="200"/>
    <x v="1"/>
    <n v="10885.91"/>
    <x v="0"/>
    <n v="31"/>
    <s v="Male"/>
    <x v="4"/>
    <x v="3"/>
    <x v="0"/>
  </r>
  <r>
    <s v="TXN-20250202"/>
    <x v="92"/>
    <x v="201"/>
    <x v="2"/>
    <n v="2339.44"/>
    <x v="0"/>
    <n v="27"/>
    <s v="Female"/>
    <x v="4"/>
    <x v="0"/>
    <x v="0"/>
  </r>
  <r>
    <s v="TXN-20250203"/>
    <x v="164"/>
    <x v="202"/>
    <x v="3"/>
    <n v="4799.57"/>
    <x v="0"/>
    <n v="28"/>
    <s v="Male"/>
    <x v="7"/>
    <x v="1"/>
    <x v="0"/>
  </r>
  <r>
    <s v="TXN-20250204"/>
    <x v="165"/>
    <x v="203"/>
    <x v="0"/>
    <n v="876.92"/>
    <x v="0"/>
    <n v="25"/>
    <s v="Male"/>
    <x v="6"/>
    <x v="1"/>
    <x v="0"/>
  </r>
  <r>
    <s v="TXN-20250205"/>
    <x v="129"/>
    <x v="204"/>
    <x v="2"/>
    <n v="26177.5"/>
    <x v="1"/>
    <n v="27"/>
    <s v="Female"/>
    <x v="5"/>
    <x v="0"/>
    <x v="0"/>
  </r>
  <r>
    <s v="TXN-20250206"/>
    <x v="65"/>
    <x v="205"/>
    <x v="1"/>
    <n v="45946.96"/>
    <x v="0"/>
    <n v="24"/>
    <s v="Male"/>
    <x v="3"/>
    <x v="2"/>
    <x v="2"/>
  </r>
  <r>
    <s v="TXN-20250207"/>
    <x v="13"/>
    <x v="206"/>
    <x v="1"/>
    <n v="18264.68"/>
    <x v="0"/>
    <n v="32"/>
    <s v="Female"/>
    <x v="2"/>
    <x v="0"/>
    <x v="0"/>
  </r>
  <r>
    <s v="TXN-20250208"/>
    <x v="97"/>
    <x v="207"/>
    <x v="1"/>
    <n v="4948.8599999999997"/>
    <x v="0"/>
    <n v="35"/>
    <s v="Male"/>
    <x v="2"/>
    <x v="0"/>
    <x v="1"/>
  </r>
  <r>
    <s v="TXN-20250209"/>
    <x v="152"/>
    <x v="208"/>
    <x v="0"/>
    <n v="564.53"/>
    <x v="0"/>
    <n v="39"/>
    <s v="Male"/>
    <x v="5"/>
    <x v="0"/>
    <x v="3"/>
  </r>
  <r>
    <s v="TXN-20250210"/>
    <x v="166"/>
    <x v="209"/>
    <x v="1"/>
    <n v="54620.9"/>
    <x v="0"/>
    <n v="30"/>
    <s v="Female"/>
    <x v="1"/>
    <x v="2"/>
    <x v="0"/>
  </r>
  <r>
    <s v="TXN-20250211"/>
    <x v="167"/>
    <x v="210"/>
    <x v="0"/>
    <n v="468.59"/>
    <x v="0"/>
    <n v="28"/>
    <s v="Male"/>
    <x v="1"/>
    <x v="1"/>
    <x v="3"/>
  </r>
  <r>
    <s v="TXN-20250212"/>
    <x v="114"/>
    <x v="211"/>
    <x v="2"/>
    <n v="2270.59"/>
    <x v="0"/>
    <n v="59"/>
    <s v="Male"/>
    <x v="4"/>
    <x v="0"/>
    <x v="0"/>
  </r>
  <r>
    <s v="TXN-20250213"/>
    <x v="25"/>
    <x v="212"/>
    <x v="1"/>
    <n v="20017.189999999999"/>
    <x v="0"/>
    <n v="25"/>
    <s v="Female"/>
    <x v="4"/>
    <x v="2"/>
    <x v="2"/>
  </r>
  <r>
    <s v="TXN-20250214"/>
    <x v="143"/>
    <x v="213"/>
    <x v="1"/>
    <n v="45743.59"/>
    <x v="0"/>
    <n v="57"/>
    <s v="Male"/>
    <x v="0"/>
    <x v="1"/>
    <x v="0"/>
  </r>
  <r>
    <s v="TXN-20250215"/>
    <x v="85"/>
    <x v="62"/>
    <x v="0"/>
    <n v="2945.68"/>
    <x v="1"/>
    <n v="43"/>
    <s v="Male"/>
    <x v="7"/>
    <x v="2"/>
    <x v="2"/>
  </r>
  <r>
    <s v="TXN-20250216"/>
    <x v="168"/>
    <x v="214"/>
    <x v="4"/>
    <n v="2000"/>
    <x v="0"/>
    <n v="28"/>
    <s v="Female"/>
    <x v="4"/>
    <x v="1"/>
    <x v="3"/>
  </r>
  <r>
    <s v="TXN-20250217"/>
    <x v="36"/>
    <x v="215"/>
    <x v="1"/>
    <n v="46706.91"/>
    <x v="0"/>
    <n v="45"/>
    <s v="Male"/>
    <x v="6"/>
    <x v="0"/>
    <x v="3"/>
  </r>
  <r>
    <s v="TXN-20250218"/>
    <x v="92"/>
    <x v="216"/>
    <x v="2"/>
    <n v="8787.6200000000008"/>
    <x v="0"/>
    <n v="27"/>
    <s v="Female"/>
    <x v="4"/>
    <x v="0"/>
    <x v="3"/>
  </r>
  <r>
    <s v="TXN-20250219"/>
    <x v="169"/>
    <x v="217"/>
    <x v="0"/>
    <n v="1659.54"/>
    <x v="0"/>
    <n v="44"/>
    <s v="Female"/>
    <x v="4"/>
    <x v="0"/>
    <x v="3"/>
  </r>
  <r>
    <s v="TXN-20250220"/>
    <x v="170"/>
    <x v="218"/>
    <x v="1"/>
    <n v="30714.66"/>
    <x v="1"/>
    <n v="31"/>
    <s v="Female"/>
    <x v="2"/>
    <x v="2"/>
    <x v="0"/>
  </r>
  <r>
    <s v="TXN-20250221"/>
    <x v="171"/>
    <x v="219"/>
    <x v="0"/>
    <n v="219.58"/>
    <x v="1"/>
    <n v="51"/>
    <s v="Male"/>
    <x v="1"/>
    <x v="2"/>
    <x v="0"/>
  </r>
  <r>
    <s v="TXN-20250222"/>
    <x v="172"/>
    <x v="220"/>
    <x v="0"/>
    <n v="4666.51"/>
    <x v="0"/>
    <n v="25"/>
    <s v="Male"/>
    <x v="4"/>
    <x v="2"/>
    <x v="3"/>
  </r>
  <r>
    <s v="TXN-20250223"/>
    <x v="173"/>
    <x v="221"/>
    <x v="2"/>
    <n v="3992.79"/>
    <x v="0"/>
    <n v="30"/>
    <s v="Male"/>
    <x v="6"/>
    <x v="1"/>
    <x v="3"/>
  </r>
  <r>
    <s v="TXN-20250224"/>
    <x v="120"/>
    <x v="222"/>
    <x v="1"/>
    <n v="67011.64"/>
    <x v="0"/>
    <n v="27"/>
    <s v="Male"/>
    <x v="4"/>
    <x v="2"/>
    <x v="0"/>
  </r>
  <r>
    <s v="TXN-20250225"/>
    <x v="174"/>
    <x v="223"/>
    <x v="1"/>
    <n v="37327.1"/>
    <x v="0"/>
    <n v="27"/>
    <s v="Male"/>
    <x v="4"/>
    <x v="0"/>
    <x v="0"/>
  </r>
  <r>
    <s v="TXN-20250226"/>
    <x v="175"/>
    <x v="224"/>
    <x v="1"/>
    <n v="5119.47"/>
    <x v="0"/>
    <n v="23"/>
    <s v="Female"/>
    <x v="4"/>
    <x v="2"/>
    <x v="2"/>
  </r>
  <r>
    <s v="TXN-20250227"/>
    <x v="67"/>
    <x v="225"/>
    <x v="1"/>
    <n v="15309.12"/>
    <x v="0"/>
    <n v="38"/>
    <s v="Male"/>
    <x v="4"/>
    <x v="0"/>
    <x v="1"/>
  </r>
  <r>
    <s v="TXN-20250228"/>
    <x v="123"/>
    <x v="226"/>
    <x v="1"/>
    <n v="72741.070000000007"/>
    <x v="0"/>
    <n v="53"/>
    <s v="Female"/>
    <x v="4"/>
    <x v="3"/>
    <x v="0"/>
  </r>
  <r>
    <s v="TXN-20250229"/>
    <x v="98"/>
    <x v="227"/>
    <x v="1"/>
    <n v="79835.44"/>
    <x v="0"/>
    <n v="29"/>
    <s v="Male"/>
    <x v="2"/>
    <x v="0"/>
    <x v="0"/>
  </r>
  <r>
    <s v="TXN-20250230"/>
    <x v="169"/>
    <x v="228"/>
    <x v="0"/>
    <n v="1493.67"/>
    <x v="0"/>
    <n v="44"/>
    <s v="Female"/>
    <x v="4"/>
    <x v="0"/>
    <x v="3"/>
  </r>
  <r>
    <s v="TXN-20250231"/>
    <x v="176"/>
    <x v="229"/>
    <x v="0"/>
    <n v="3962.99"/>
    <x v="0"/>
    <n v="35"/>
    <s v="Male"/>
    <x v="0"/>
    <x v="0"/>
    <x v="3"/>
  </r>
  <r>
    <s v="TXN-20250232"/>
    <x v="92"/>
    <x v="230"/>
    <x v="2"/>
    <n v="15815.68"/>
    <x v="0"/>
    <n v="27"/>
    <s v="Female"/>
    <x v="4"/>
    <x v="0"/>
    <x v="3"/>
  </r>
  <r>
    <s v="TXN-20250233"/>
    <x v="177"/>
    <x v="231"/>
    <x v="2"/>
    <n v="14417.51"/>
    <x v="0"/>
    <n v="44"/>
    <s v="Female"/>
    <x v="4"/>
    <x v="3"/>
    <x v="2"/>
  </r>
  <r>
    <s v="TXN-20250234"/>
    <x v="48"/>
    <x v="232"/>
    <x v="0"/>
    <n v="806.32"/>
    <x v="0"/>
    <n v="59"/>
    <s v="Male"/>
    <x v="0"/>
    <x v="0"/>
    <x v="0"/>
  </r>
  <r>
    <s v="TXN-20250235"/>
    <x v="178"/>
    <x v="233"/>
    <x v="3"/>
    <n v="2289.58"/>
    <x v="0"/>
    <n v="47"/>
    <s v="Male"/>
    <x v="4"/>
    <x v="0"/>
    <x v="0"/>
  </r>
  <r>
    <s v="TXN-20250236"/>
    <x v="179"/>
    <x v="234"/>
    <x v="2"/>
    <n v="1269.8399999999999"/>
    <x v="0"/>
    <n v="35"/>
    <s v="Male"/>
    <x v="1"/>
    <x v="0"/>
    <x v="0"/>
  </r>
  <r>
    <s v="TXN-20250237"/>
    <x v="109"/>
    <x v="235"/>
    <x v="0"/>
    <n v="2782.39"/>
    <x v="0"/>
    <n v="42"/>
    <s v="Female"/>
    <x v="7"/>
    <x v="0"/>
    <x v="3"/>
  </r>
  <r>
    <s v="TXN-20250238"/>
    <x v="124"/>
    <x v="236"/>
    <x v="1"/>
    <n v="23313.08"/>
    <x v="0"/>
    <n v="51"/>
    <s v="Female"/>
    <x v="2"/>
    <x v="2"/>
    <x v="2"/>
  </r>
  <r>
    <s v="TXN-20250239"/>
    <x v="179"/>
    <x v="237"/>
    <x v="1"/>
    <n v="51426.59"/>
    <x v="0"/>
    <n v="35"/>
    <s v="Male"/>
    <x v="1"/>
    <x v="0"/>
    <x v="0"/>
  </r>
  <r>
    <s v="TXN-20250240"/>
    <x v="132"/>
    <x v="238"/>
    <x v="0"/>
    <n v="3870.46"/>
    <x v="0"/>
    <n v="31"/>
    <s v="Male"/>
    <x v="4"/>
    <x v="2"/>
    <x v="0"/>
  </r>
  <r>
    <s v="TXN-20250241"/>
    <x v="90"/>
    <x v="239"/>
    <x v="1"/>
    <n v="23406.55"/>
    <x v="0"/>
    <n v="36"/>
    <s v="Male"/>
    <x v="4"/>
    <x v="1"/>
    <x v="3"/>
  </r>
  <r>
    <s v="TXN-20250242"/>
    <x v="180"/>
    <x v="240"/>
    <x v="3"/>
    <n v="4915.2299999999996"/>
    <x v="0"/>
    <n v="39"/>
    <s v="Female"/>
    <x v="7"/>
    <x v="3"/>
    <x v="0"/>
  </r>
  <r>
    <s v="TXN-20250243"/>
    <x v="131"/>
    <x v="241"/>
    <x v="1"/>
    <n v="23346.97"/>
    <x v="0"/>
    <n v="48"/>
    <s v="Male"/>
    <x v="4"/>
    <x v="0"/>
    <x v="0"/>
  </r>
  <r>
    <s v="TXN-20250244"/>
    <x v="181"/>
    <x v="242"/>
    <x v="1"/>
    <n v="56891.94"/>
    <x v="0"/>
    <n v="35"/>
    <s v="Female"/>
    <x v="4"/>
    <x v="1"/>
    <x v="0"/>
  </r>
  <r>
    <s v="TXN-20250245"/>
    <x v="23"/>
    <x v="243"/>
    <x v="1"/>
    <n v="18839.78"/>
    <x v="0"/>
    <n v="33"/>
    <s v="Male"/>
    <x v="4"/>
    <x v="0"/>
    <x v="2"/>
  </r>
  <r>
    <s v="TXN-20250246"/>
    <x v="15"/>
    <x v="244"/>
    <x v="0"/>
    <n v="209.13"/>
    <x v="0"/>
    <n v="29"/>
    <s v="Male"/>
    <x v="4"/>
    <x v="1"/>
    <x v="0"/>
  </r>
  <r>
    <s v="TXN-20250247"/>
    <x v="182"/>
    <x v="245"/>
    <x v="3"/>
    <n v="1951.04"/>
    <x v="0"/>
    <n v="50"/>
    <s v="Female"/>
    <x v="2"/>
    <x v="0"/>
    <x v="0"/>
  </r>
  <r>
    <s v="TXN-20250248"/>
    <x v="61"/>
    <x v="246"/>
    <x v="2"/>
    <n v="6449.5"/>
    <x v="0"/>
    <n v="31"/>
    <s v="Female"/>
    <x v="3"/>
    <x v="3"/>
    <x v="2"/>
  </r>
  <r>
    <s v="TXN-20250249"/>
    <x v="149"/>
    <x v="247"/>
    <x v="2"/>
    <n v="4262.88"/>
    <x v="0"/>
    <n v="35"/>
    <s v="Male"/>
    <x v="4"/>
    <x v="2"/>
    <x v="3"/>
  </r>
  <r>
    <s v="TXN-20250250"/>
    <x v="63"/>
    <x v="248"/>
    <x v="3"/>
    <n v="5410.64"/>
    <x v="0"/>
    <n v="33"/>
    <s v="Female"/>
    <x v="4"/>
    <x v="0"/>
    <x v="0"/>
  </r>
  <r>
    <s v="TXN-20250251"/>
    <x v="78"/>
    <x v="249"/>
    <x v="3"/>
    <n v="32940.9"/>
    <x v="1"/>
    <n v="33"/>
    <s v="Male"/>
    <x v="4"/>
    <x v="2"/>
    <x v="0"/>
  </r>
  <r>
    <s v="TXN-20250252"/>
    <x v="59"/>
    <x v="250"/>
    <x v="1"/>
    <n v="71032.56"/>
    <x v="0"/>
    <n v="39"/>
    <s v="Male"/>
    <x v="4"/>
    <x v="1"/>
    <x v="0"/>
  </r>
  <r>
    <s v="TXN-20250253"/>
    <x v="83"/>
    <x v="251"/>
    <x v="1"/>
    <n v="21079.72"/>
    <x v="1"/>
    <n v="57"/>
    <s v="Male"/>
    <x v="4"/>
    <x v="1"/>
    <x v="0"/>
  </r>
  <r>
    <s v="TXN-20250254"/>
    <x v="183"/>
    <x v="252"/>
    <x v="1"/>
    <n v="22688.49"/>
    <x v="0"/>
    <n v="27"/>
    <s v="Female"/>
    <x v="1"/>
    <x v="0"/>
    <x v="0"/>
  </r>
  <r>
    <s v="TXN-20250255"/>
    <x v="68"/>
    <x v="253"/>
    <x v="1"/>
    <n v="54716.07"/>
    <x v="0"/>
    <n v="34"/>
    <s v="Male"/>
    <x v="6"/>
    <x v="0"/>
    <x v="2"/>
  </r>
  <r>
    <s v="TXN-20250256"/>
    <x v="171"/>
    <x v="254"/>
    <x v="2"/>
    <n v="645.41"/>
    <x v="0"/>
    <n v="51"/>
    <s v="Male"/>
    <x v="1"/>
    <x v="2"/>
    <x v="2"/>
  </r>
  <r>
    <s v="TXN-20250257"/>
    <x v="107"/>
    <x v="255"/>
    <x v="0"/>
    <n v="2735.62"/>
    <x v="0"/>
    <n v="36"/>
    <s v="Female"/>
    <x v="2"/>
    <x v="0"/>
    <x v="0"/>
  </r>
  <r>
    <s v="TXN-20250258"/>
    <x v="184"/>
    <x v="256"/>
    <x v="0"/>
    <n v="509.87"/>
    <x v="0"/>
    <n v="28"/>
    <s v="Male"/>
    <x v="7"/>
    <x v="0"/>
    <x v="3"/>
  </r>
  <r>
    <s v="TXN-20250259"/>
    <x v="185"/>
    <x v="257"/>
    <x v="1"/>
    <n v="44260.88"/>
    <x v="0"/>
    <n v="26"/>
    <s v="Male"/>
    <x v="0"/>
    <x v="3"/>
    <x v="3"/>
  </r>
  <r>
    <s v="TXN-20250260"/>
    <x v="186"/>
    <x v="258"/>
    <x v="1"/>
    <n v="8410.09"/>
    <x v="0"/>
    <n v="20"/>
    <s v="Male"/>
    <x v="7"/>
    <x v="0"/>
    <x v="0"/>
  </r>
  <r>
    <s v="TXN-20250261"/>
    <x v="173"/>
    <x v="259"/>
    <x v="0"/>
    <n v="651.21"/>
    <x v="0"/>
    <n v="30"/>
    <s v="Male"/>
    <x v="6"/>
    <x v="1"/>
    <x v="0"/>
  </r>
  <r>
    <s v="TXN-20250262"/>
    <x v="45"/>
    <x v="260"/>
    <x v="2"/>
    <n v="1612.59"/>
    <x v="0"/>
    <n v="38"/>
    <s v="Female"/>
    <x v="6"/>
    <x v="0"/>
    <x v="0"/>
  </r>
  <r>
    <s v="TXN-20250263"/>
    <x v="187"/>
    <x v="261"/>
    <x v="1"/>
    <n v="13107.34"/>
    <x v="0"/>
    <n v="28"/>
    <s v="Male"/>
    <x v="3"/>
    <x v="0"/>
    <x v="2"/>
  </r>
  <r>
    <s v="TXN-20250264"/>
    <x v="115"/>
    <x v="262"/>
    <x v="1"/>
    <n v="6750.67"/>
    <x v="0"/>
    <n v="60"/>
    <s v="Female"/>
    <x v="1"/>
    <x v="0"/>
    <x v="0"/>
  </r>
  <r>
    <s v="TXN-20250265"/>
    <x v="188"/>
    <x v="263"/>
    <x v="2"/>
    <n v="1004.79"/>
    <x v="0"/>
    <n v="41"/>
    <s v="Female"/>
    <x v="6"/>
    <x v="0"/>
    <x v="0"/>
  </r>
  <r>
    <s v="TXN-20250266"/>
    <x v="189"/>
    <x v="264"/>
    <x v="1"/>
    <n v="106330.44"/>
    <x v="0"/>
    <n v="42"/>
    <s v="Female"/>
    <x v="4"/>
    <x v="0"/>
    <x v="2"/>
  </r>
  <r>
    <s v="TXN-20250267"/>
    <x v="108"/>
    <x v="265"/>
    <x v="0"/>
    <n v="1791.85"/>
    <x v="1"/>
    <n v="50"/>
    <s v="Female"/>
    <x v="9"/>
    <x v="2"/>
    <x v="2"/>
  </r>
  <r>
    <s v="TXN-20250268"/>
    <x v="190"/>
    <x v="266"/>
    <x v="1"/>
    <n v="29981.759999999998"/>
    <x v="0"/>
    <n v="34"/>
    <s v="Male"/>
    <x v="1"/>
    <x v="0"/>
    <x v="0"/>
  </r>
  <r>
    <s v="TXN-20250269"/>
    <x v="106"/>
    <x v="267"/>
    <x v="1"/>
    <n v="59984.69"/>
    <x v="1"/>
    <n v="47"/>
    <s v="Female"/>
    <x v="9"/>
    <x v="1"/>
    <x v="0"/>
  </r>
  <r>
    <s v="TXN-20250270"/>
    <x v="191"/>
    <x v="268"/>
    <x v="1"/>
    <n v="7573.27"/>
    <x v="0"/>
    <n v="27"/>
    <s v="Male"/>
    <x v="7"/>
    <x v="1"/>
    <x v="0"/>
  </r>
  <r>
    <s v="TXN-20250271"/>
    <x v="192"/>
    <x v="269"/>
    <x v="0"/>
    <n v="469.76"/>
    <x v="0"/>
    <n v="26"/>
    <s v="Female"/>
    <x v="9"/>
    <x v="0"/>
    <x v="0"/>
  </r>
  <r>
    <s v="TXN-20250272"/>
    <x v="131"/>
    <x v="270"/>
    <x v="0"/>
    <n v="2944.92"/>
    <x v="0"/>
    <n v="48"/>
    <s v="Male"/>
    <x v="4"/>
    <x v="0"/>
    <x v="1"/>
  </r>
  <r>
    <s v="TXN-20250273"/>
    <x v="193"/>
    <x v="271"/>
    <x v="2"/>
    <n v="15655.52"/>
    <x v="0"/>
    <n v="26"/>
    <s v="Male"/>
    <x v="4"/>
    <x v="0"/>
    <x v="3"/>
  </r>
  <r>
    <s v="TXN-20250274"/>
    <x v="85"/>
    <x v="272"/>
    <x v="0"/>
    <n v="207.04"/>
    <x v="1"/>
    <n v="43"/>
    <s v="Male"/>
    <x v="7"/>
    <x v="2"/>
    <x v="3"/>
  </r>
  <r>
    <s v="TXN-20250275"/>
    <x v="45"/>
    <x v="273"/>
    <x v="3"/>
    <n v="690.49"/>
    <x v="0"/>
    <n v="38"/>
    <s v="Female"/>
    <x v="6"/>
    <x v="0"/>
    <x v="3"/>
  </r>
  <r>
    <s v="TXN-20250276"/>
    <x v="194"/>
    <x v="274"/>
    <x v="3"/>
    <n v="4247.3999999999996"/>
    <x v="0"/>
    <n v="29"/>
    <s v="Male"/>
    <x v="4"/>
    <x v="2"/>
    <x v="3"/>
  </r>
  <r>
    <s v="TXN-20250277"/>
    <x v="195"/>
    <x v="275"/>
    <x v="1"/>
    <n v="19542.169999999998"/>
    <x v="0"/>
    <n v="23"/>
    <s v="Female"/>
    <x v="0"/>
    <x v="2"/>
    <x v="0"/>
  </r>
  <r>
    <s v="TXN-20250278"/>
    <x v="196"/>
    <x v="276"/>
    <x v="0"/>
    <n v="923.52"/>
    <x v="1"/>
    <n v="42"/>
    <s v="Female"/>
    <x v="9"/>
    <x v="1"/>
    <x v="3"/>
  </r>
  <r>
    <s v="TXN-20250279"/>
    <x v="159"/>
    <x v="277"/>
    <x v="0"/>
    <n v="4312.3500000000004"/>
    <x v="0"/>
    <n v="52"/>
    <s v="Female"/>
    <x v="6"/>
    <x v="2"/>
    <x v="0"/>
  </r>
  <r>
    <s v="TXN-20250280"/>
    <x v="9"/>
    <x v="278"/>
    <x v="0"/>
    <n v="900.67"/>
    <x v="0"/>
    <n v="30"/>
    <s v="Female"/>
    <x v="6"/>
    <x v="3"/>
    <x v="3"/>
  </r>
  <r>
    <s v="TXN-20250281"/>
    <x v="197"/>
    <x v="279"/>
    <x v="4"/>
    <n v="10000"/>
    <x v="0"/>
    <n v="34"/>
    <s v="Male"/>
    <x v="6"/>
    <x v="0"/>
    <x v="3"/>
  </r>
  <r>
    <s v="TXN-20250282"/>
    <x v="16"/>
    <x v="280"/>
    <x v="1"/>
    <n v="5370.82"/>
    <x v="0"/>
    <n v="42"/>
    <s v="Male"/>
    <x v="4"/>
    <x v="1"/>
    <x v="0"/>
  </r>
  <r>
    <s v="TXN-20250283"/>
    <x v="33"/>
    <x v="281"/>
    <x v="1"/>
    <n v="1755.85"/>
    <x v="0"/>
    <n v="42"/>
    <s v="Male"/>
    <x v="4"/>
    <x v="2"/>
    <x v="0"/>
  </r>
  <r>
    <s v="TXN-20250284"/>
    <x v="198"/>
    <x v="282"/>
    <x v="0"/>
    <n v="3172.74"/>
    <x v="1"/>
    <n v="30"/>
    <s v="Female"/>
    <x v="7"/>
    <x v="1"/>
    <x v="0"/>
  </r>
  <r>
    <s v="TXN-20250285"/>
    <x v="46"/>
    <x v="283"/>
    <x v="2"/>
    <n v="13421.33"/>
    <x v="0"/>
    <n v="20"/>
    <s v="Male"/>
    <x v="5"/>
    <x v="0"/>
    <x v="3"/>
  </r>
  <r>
    <s v="TXN-20250286"/>
    <x v="199"/>
    <x v="284"/>
    <x v="0"/>
    <n v="1396.08"/>
    <x v="0"/>
    <n v="42"/>
    <s v="Male"/>
    <x v="4"/>
    <x v="3"/>
    <x v="3"/>
  </r>
  <r>
    <s v="TXN-20250287"/>
    <x v="74"/>
    <x v="285"/>
    <x v="1"/>
    <n v="9183.07"/>
    <x v="0"/>
    <n v="31"/>
    <s v="Female"/>
    <x v="0"/>
    <x v="0"/>
    <x v="0"/>
  </r>
  <r>
    <s v="TXN-20250288"/>
    <x v="200"/>
    <x v="286"/>
    <x v="0"/>
    <n v="3200.14"/>
    <x v="0"/>
    <n v="31"/>
    <s v="Male"/>
    <x v="7"/>
    <x v="0"/>
    <x v="0"/>
  </r>
  <r>
    <s v="TXN-20250289"/>
    <x v="201"/>
    <x v="287"/>
    <x v="2"/>
    <n v="8359.36"/>
    <x v="1"/>
    <n v="28"/>
    <s v="Female"/>
    <x v="4"/>
    <x v="0"/>
    <x v="0"/>
  </r>
  <r>
    <s v="TXN-20250290"/>
    <x v="118"/>
    <x v="288"/>
    <x v="0"/>
    <n v="229.84"/>
    <x v="1"/>
    <n v="36"/>
    <s v="Male"/>
    <x v="4"/>
    <x v="0"/>
    <x v="0"/>
  </r>
  <r>
    <s v="TXN-20250291"/>
    <x v="202"/>
    <x v="289"/>
    <x v="2"/>
    <n v="3431.52"/>
    <x v="0"/>
    <n v="37"/>
    <s v="Male"/>
    <x v="4"/>
    <x v="2"/>
    <x v="1"/>
  </r>
  <r>
    <s v="TXN-20250292"/>
    <x v="118"/>
    <x v="290"/>
    <x v="1"/>
    <n v="10180.23"/>
    <x v="0"/>
    <n v="36"/>
    <s v="Male"/>
    <x v="4"/>
    <x v="0"/>
    <x v="3"/>
  </r>
  <r>
    <s v="TXN-20250293"/>
    <x v="203"/>
    <x v="291"/>
    <x v="2"/>
    <n v="5137.4799999999996"/>
    <x v="0"/>
    <n v="28"/>
    <s v="Male"/>
    <x v="4"/>
    <x v="2"/>
    <x v="0"/>
  </r>
  <r>
    <s v="TXN-20250294"/>
    <x v="172"/>
    <x v="292"/>
    <x v="2"/>
    <n v="7367.2"/>
    <x v="0"/>
    <n v="25"/>
    <s v="Male"/>
    <x v="4"/>
    <x v="2"/>
    <x v="1"/>
  </r>
  <r>
    <s v="TXN-20250295"/>
    <x v="204"/>
    <x v="293"/>
    <x v="1"/>
    <n v="23544.97"/>
    <x v="0"/>
    <n v="46"/>
    <s v="Male"/>
    <x v="5"/>
    <x v="0"/>
    <x v="0"/>
  </r>
  <r>
    <s v="TXN-20250296"/>
    <x v="9"/>
    <x v="294"/>
    <x v="0"/>
    <n v="8606.2000000000007"/>
    <x v="0"/>
    <n v="30"/>
    <s v="Female"/>
    <x v="6"/>
    <x v="3"/>
    <x v="1"/>
  </r>
  <r>
    <s v="TXN-20250297"/>
    <x v="205"/>
    <x v="295"/>
    <x v="1"/>
    <n v="62470.239999999998"/>
    <x v="1"/>
    <n v="57"/>
    <s v="Male"/>
    <x v="4"/>
    <x v="1"/>
    <x v="0"/>
  </r>
  <r>
    <s v="TXN-20250298"/>
    <x v="206"/>
    <x v="296"/>
    <x v="4"/>
    <n v="20000"/>
    <x v="0"/>
    <n v="41"/>
    <s v="Male"/>
    <x v="4"/>
    <x v="1"/>
    <x v="0"/>
  </r>
  <r>
    <s v="TXN-20250299"/>
    <x v="207"/>
    <x v="297"/>
    <x v="1"/>
    <n v="89239.2"/>
    <x v="0"/>
    <n v="36"/>
    <s v="Female"/>
    <x v="1"/>
    <x v="0"/>
    <x v="3"/>
  </r>
  <r>
    <s v="TXN-20250300"/>
    <x v="208"/>
    <x v="298"/>
    <x v="2"/>
    <n v="9428.82"/>
    <x v="0"/>
    <n v="39"/>
    <s v="Female"/>
    <x v="4"/>
    <x v="0"/>
    <x v="3"/>
  </r>
  <r>
    <s v="TXN-20250301"/>
    <x v="209"/>
    <x v="299"/>
    <x v="1"/>
    <n v="65332.15"/>
    <x v="0"/>
    <n v="53"/>
    <s v="Female"/>
    <x v="1"/>
    <x v="0"/>
    <x v="2"/>
  </r>
  <r>
    <s v="TXN-20250302"/>
    <x v="210"/>
    <x v="300"/>
    <x v="2"/>
    <n v="4260.07"/>
    <x v="0"/>
    <n v="32"/>
    <s v="Male"/>
    <x v="4"/>
    <x v="1"/>
    <x v="0"/>
  </r>
  <r>
    <s v="TXN-20250303"/>
    <x v="180"/>
    <x v="301"/>
    <x v="1"/>
    <n v="32934.160000000003"/>
    <x v="0"/>
    <n v="39"/>
    <s v="Female"/>
    <x v="7"/>
    <x v="3"/>
    <x v="0"/>
  </r>
  <r>
    <s v="TXN-20250304"/>
    <x v="119"/>
    <x v="302"/>
    <x v="3"/>
    <n v="13654.74"/>
    <x v="2"/>
    <n v="31"/>
    <s v="Male"/>
    <x v="4"/>
    <x v="3"/>
    <x v="3"/>
  </r>
  <r>
    <s v="TXN-20250305"/>
    <x v="172"/>
    <x v="303"/>
    <x v="1"/>
    <n v="2452.42"/>
    <x v="0"/>
    <n v="25"/>
    <s v="Male"/>
    <x v="4"/>
    <x v="2"/>
    <x v="3"/>
  </r>
  <r>
    <s v="TXN-20250306"/>
    <x v="108"/>
    <x v="304"/>
    <x v="2"/>
    <n v="4968.25"/>
    <x v="0"/>
    <n v="50"/>
    <s v="Female"/>
    <x v="9"/>
    <x v="2"/>
    <x v="0"/>
  </r>
  <r>
    <s v="TXN-20250307"/>
    <x v="22"/>
    <x v="305"/>
    <x v="1"/>
    <n v="13230.41"/>
    <x v="0"/>
    <n v="20"/>
    <s v="Female"/>
    <x v="1"/>
    <x v="0"/>
    <x v="3"/>
  </r>
  <r>
    <s v="TXN-20250308"/>
    <x v="174"/>
    <x v="306"/>
    <x v="1"/>
    <n v="15672.96"/>
    <x v="0"/>
    <n v="27"/>
    <s v="Male"/>
    <x v="4"/>
    <x v="0"/>
    <x v="3"/>
  </r>
  <r>
    <s v="TXN-20250309"/>
    <x v="164"/>
    <x v="307"/>
    <x v="0"/>
    <n v="2718.24"/>
    <x v="0"/>
    <n v="28"/>
    <s v="Male"/>
    <x v="7"/>
    <x v="1"/>
    <x v="1"/>
  </r>
  <r>
    <s v="TXN-20250310"/>
    <x v="211"/>
    <x v="308"/>
    <x v="1"/>
    <n v="8368.65"/>
    <x v="0"/>
    <n v="23"/>
    <s v="Male"/>
    <x v="2"/>
    <x v="0"/>
    <x v="2"/>
  </r>
  <r>
    <s v="TXN-20250311"/>
    <x v="212"/>
    <x v="309"/>
    <x v="1"/>
    <n v="41363.42"/>
    <x v="0"/>
    <n v="47"/>
    <s v="Male"/>
    <x v="4"/>
    <x v="0"/>
    <x v="0"/>
  </r>
  <r>
    <s v="TXN-20250312"/>
    <x v="213"/>
    <x v="310"/>
    <x v="1"/>
    <n v="1891.49"/>
    <x v="1"/>
    <n v="46"/>
    <s v="Male"/>
    <x v="2"/>
    <x v="1"/>
    <x v="3"/>
  </r>
  <r>
    <s v="TXN-20250313"/>
    <x v="53"/>
    <x v="311"/>
    <x v="2"/>
    <n v="2161.19"/>
    <x v="0"/>
    <n v="24"/>
    <s v="Male"/>
    <x v="7"/>
    <x v="0"/>
    <x v="3"/>
  </r>
  <r>
    <s v="TXN-20250314"/>
    <x v="214"/>
    <x v="312"/>
    <x v="1"/>
    <n v="23303.52"/>
    <x v="0"/>
    <n v="39"/>
    <s v="Male"/>
    <x v="6"/>
    <x v="0"/>
    <x v="0"/>
  </r>
  <r>
    <s v="TXN-20250315"/>
    <x v="153"/>
    <x v="313"/>
    <x v="0"/>
    <n v="1025.3"/>
    <x v="0"/>
    <n v="32"/>
    <s v="Female"/>
    <x v="4"/>
    <x v="0"/>
    <x v="3"/>
  </r>
  <r>
    <s v="TXN-20250316"/>
    <x v="157"/>
    <x v="314"/>
    <x v="1"/>
    <n v="3341.31"/>
    <x v="0"/>
    <n v="31"/>
    <s v="Male"/>
    <x v="4"/>
    <x v="0"/>
    <x v="0"/>
  </r>
  <r>
    <s v="TXN-20250317"/>
    <x v="77"/>
    <x v="315"/>
    <x v="1"/>
    <n v="24901.95"/>
    <x v="0"/>
    <n v="37"/>
    <s v="Female"/>
    <x v="6"/>
    <x v="1"/>
    <x v="0"/>
  </r>
  <r>
    <s v="TXN-20250318"/>
    <x v="215"/>
    <x v="316"/>
    <x v="1"/>
    <n v="32725.24"/>
    <x v="0"/>
    <n v="57"/>
    <s v="Male"/>
    <x v="9"/>
    <x v="0"/>
    <x v="3"/>
  </r>
  <r>
    <s v="TXN-20250319"/>
    <x v="67"/>
    <x v="317"/>
    <x v="1"/>
    <n v="4220.71"/>
    <x v="0"/>
    <n v="38"/>
    <s v="Male"/>
    <x v="4"/>
    <x v="0"/>
    <x v="0"/>
  </r>
  <r>
    <s v="TXN-20250320"/>
    <x v="216"/>
    <x v="318"/>
    <x v="0"/>
    <n v="1941.26"/>
    <x v="0"/>
    <n v="48"/>
    <s v="Female"/>
    <x v="4"/>
    <x v="0"/>
    <x v="0"/>
  </r>
  <r>
    <s v="TXN-20250321"/>
    <x v="127"/>
    <x v="319"/>
    <x v="0"/>
    <n v="413.37"/>
    <x v="0"/>
    <n v="40"/>
    <s v="Male"/>
    <x v="4"/>
    <x v="0"/>
    <x v="0"/>
  </r>
  <r>
    <s v="TXN-20250322"/>
    <x v="131"/>
    <x v="320"/>
    <x v="1"/>
    <n v="5316.15"/>
    <x v="0"/>
    <n v="48"/>
    <s v="Male"/>
    <x v="4"/>
    <x v="0"/>
    <x v="3"/>
  </r>
  <r>
    <s v="TXN-20250323"/>
    <x v="152"/>
    <x v="321"/>
    <x v="0"/>
    <n v="3654.39"/>
    <x v="0"/>
    <n v="39"/>
    <s v="Male"/>
    <x v="5"/>
    <x v="0"/>
    <x v="3"/>
  </r>
  <r>
    <s v="TXN-20250324"/>
    <x v="66"/>
    <x v="322"/>
    <x v="1"/>
    <n v="6028.56"/>
    <x v="0"/>
    <n v="32"/>
    <s v="Male"/>
    <x v="4"/>
    <x v="2"/>
    <x v="0"/>
  </r>
  <r>
    <s v="TXN-20250325"/>
    <x v="217"/>
    <x v="323"/>
    <x v="1"/>
    <n v="22403.07"/>
    <x v="0"/>
    <n v="42"/>
    <s v="Male"/>
    <x v="1"/>
    <x v="0"/>
    <x v="0"/>
  </r>
  <r>
    <s v="TXN-20250326"/>
    <x v="60"/>
    <x v="324"/>
    <x v="1"/>
    <n v="11453.55"/>
    <x v="0"/>
    <n v="31"/>
    <s v="Female"/>
    <x v="2"/>
    <x v="2"/>
    <x v="3"/>
  </r>
  <r>
    <s v="TXN-20250327"/>
    <x v="177"/>
    <x v="325"/>
    <x v="1"/>
    <n v="39914.5"/>
    <x v="0"/>
    <n v="44"/>
    <s v="Female"/>
    <x v="4"/>
    <x v="3"/>
    <x v="2"/>
  </r>
  <r>
    <s v="TXN-20250328"/>
    <x v="218"/>
    <x v="326"/>
    <x v="0"/>
    <n v="584.23"/>
    <x v="0"/>
    <n v="25"/>
    <s v="Male"/>
    <x v="9"/>
    <x v="2"/>
    <x v="3"/>
  </r>
  <r>
    <s v="TXN-20250329"/>
    <x v="219"/>
    <x v="327"/>
    <x v="0"/>
    <n v="1425.79"/>
    <x v="0"/>
    <n v="47"/>
    <s v="Female"/>
    <x v="4"/>
    <x v="2"/>
    <x v="0"/>
  </r>
  <r>
    <s v="TXN-20250330"/>
    <x v="194"/>
    <x v="328"/>
    <x v="0"/>
    <n v="715.39"/>
    <x v="0"/>
    <n v="29"/>
    <s v="Male"/>
    <x v="4"/>
    <x v="2"/>
    <x v="1"/>
  </r>
  <r>
    <s v="TXN-20250331"/>
    <x v="156"/>
    <x v="329"/>
    <x v="1"/>
    <n v="33681.26"/>
    <x v="0"/>
    <n v="26"/>
    <s v="Male"/>
    <x v="2"/>
    <x v="0"/>
    <x v="3"/>
  </r>
  <r>
    <s v="TXN-20250332"/>
    <x v="130"/>
    <x v="330"/>
    <x v="1"/>
    <n v="27183.01"/>
    <x v="0"/>
    <n v="48"/>
    <s v="Male"/>
    <x v="4"/>
    <x v="0"/>
    <x v="1"/>
  </r>
  <r>
    <s v="TXN-20250333"/>
    <x v="170"/>
    <x v="331"/>
    <x v="2"/>
    <n v="13976.99"/>
    <x v="0"/>
    <n v="31"/>
    <s v="Female"/>
    <x v="2"/>
    <x v="2"/>
    <x v="2"/>
  </r>
  <r>
    <s v="TXN-20250334"/>
    <x v="220"/>
    <x v="332"/>
    <x v="0"/>
    <n v="523.4"/>
    <x v="1"/>
    <n v="33"/>
    <s v="Male"/>
    <x v="5"/>
    <x v="0"/>
    <x v="3"/>
  </r>
  <r>
    <s v="TXN-20250335"/>
    <x v="221"/>
    <x v="333"/>
    <x v="0"/>
    <n v="2800.62"/>
    <x v="0"/>
    <n v="33"/>
    <s v="Female"/>
    <x v="3"/>
    <x v="3"/>
    <x v="2"/>
  </r>
  <r>
    <s v="TXN-20250336"/>
    <x v="222"/>
    <x v="334"/>
    <x v="1"/>
    <n v="146251.88"/>
    <x v="0"/>
    <n v="43"/>
    <s v="Male"/>
    <x v="6"/>
    <x v="2"/>
    <x v="3"/>
  </r>
  <r>
    <s v="TXN-20250337"/>
    <x v="140"/>
    <x v="335"/>
    <x v="2"/>
    <n v="15986.83"/>
    <x v="0"/>
    <n v="39"/>
    <s v="Female"/>
    <x v="0"/>
    <x v="1"/>
    <x v="3"/>
  </r>
  <r>
    <s v="TXN-20250338"/>
    <x v="114"/>
    <x v="336"/>
    <x v="0"/>
    <n v="1731.91"/>
    <x v="0"/>
    <n v="59"/>
    <s v="Male"/>
    <x v="4"/>
    <x v="0"/>
    <x v="0"/>
  </r>
  <r>
    <s v="TXN-20250339"/>
    <x v="141"/>
    <x v="337"/>
    <x v="1"/>
    <n v="6056.1"/>
    <x v="0"/>
    <n v="51"/>
    <s v="Male"/>
    <x v="1"/>
    <x v="0"/>
    <x v="3"/>
  </r>
  <r>
    <s v="TXN-20250340"/>
    <x v="96"/>
    <x v="338"/>
    <x v="0"/>
    <n v="2129.2399999999998"/>
    <x v="0"/>
    <n v="30"/>
    <s v="Male"/>
    <x v="7"/>
    <x v="2"/>
    <x v="0"/>
  </r>
  <r>
    <s v="TXN-20250341"/>
    <x v="223"/>
    <x v="339"/>
    <x v="0"/>
    <n v="848.54"/>
    <x v="0"/>
    <n v="49"/>
    <s v="Male"/>
    <x v="4"/>
    <x v="0"/>
    <x v="3"/>
  </r>
  <r>
    <s v="TXN-20250342"/>
    <x v="224"/>
    <x v="340"/>
    <x v="1"/>
    <n v="23145.33"/>
    <x v="0"/>
    <n v="29"/>
    <s v="Female"/>
    <x v="7"/>
    <x v="0"/>
    <x v="2"/>
  </r>
  <r>
    <s v="TXN-20250343"/>
    <x v="225"/>
    <x v="341"/>
    <x v="1"/>
    <n v="26101.11"/>
    <x v="0"/>
    <n v="20"/>
    <s v="Female"/>
    <x v="4"/>
    <x v="3"/>
    <x v="0"/>
  </r>
  <r>
    <s v="TXN-20250344"/>
    <x v="73"/>
    <x v="342"/>
    <x v="1"/>
    <n v="15513.79"/>
    <x v="0"/>
    <n v="48"/>
    <s v="Female"/>
    <x v="7"/>
    <x v="2"/>
    <x v="0"/>
  </r>
  <r>
    <s v="TXN-20250345"/>
    <x v="187"/>
    <x v="343"/>
    <x v="2"/>
    <n v="6482"/>
    <x v="0"/>
    <n v="28"/>
    <s v="Male"/>
    <x v="3"/>
    <x v="0"/>
    <x v="0"/>
  </r>
  <r>
    <s v="TXN-20250346"/>
    <x v="75"/>
    <x v="344"/>
    <x v="0"/>
    <n v="2204.64"/>
    <x v="1"/>
    <n v="40"/>
    <s v="Female"/>
    <x v="4"/>
    <x v="2"/>
    <x v="0"/>
  </r>
  <r>
    <s v="TXN-20250347"/>
    <x v="17"/>
    <x v="345"/>
    <x v="1"/>
    <n v="1927.05"/>
    <x v="0"/>
    <n v="42"/>
    <s v="Male"/>
    <x v="7"/>
    <x v="0"/>
    <x v="0"/>
  </r>
  <r>
    <s v="TXN-20250348"/>
    <x v="200"/>
    <x v="346"/>
    <x v="0"/>
    <n v="3985.12"/>
    <x v="1"/>
    <n v="31"/>
    <s v="Male"/>
    <x v="7"/>
    <x v="0"/>
    <x v="0"/>
  </r>
  <r>
    <s v="TXN-20250349"/>
    <x v="74"/>
    <x v="347"/>
    <x v="4"/>
    <n v="40000"/>
    <x v="0"/>
    <n v="31"/>
    <s v="Female"/>
    <x v="0"/>
    <x v="0"/>
    <x v="0"/>
  </r>
  <r>
    <s v="TXN-20250350"/>
    <x v="20"/>
    <x v="348"/>
    <x v="2"/>
    <n v="8126.79"/>
    <x v="1"/>
    <n v="34"/>
    <s v="Female"/>
    <x v="8"/>
    <x v="0"/>
    <x v="3"/>
  </r>
  <r>
    <s v="TXN-20250351"/>
    <x v="47"/>
    <x v="349"/>
    <x v="3"/>
    <n v="1728.22"/>
    <x v="0"/>
    <n v="26"/>
    <s v="Male"/>
    <x v="2"/>
    <x v="2"/>
    <x v="3"/>
  </r>
  <r>
    <s v="TXN-20250352"/>
    <x v="226"/>
    <x v="350"/>
    <x v="1"/>
    <n v="17810.27"/>
    <x v="0"/>
    <n v="22"/>
    <s v="Male"/>
    <x v="4"/>
    <x v="1"/>
    <x v="2"/>
  </r>
  <r>
    <s v="TXN-20250353"/>
    <x v="227"/>
    <x v="351"/>
    <x v="0"/>
    <n v="2987.54"/>
    <x v="0"/>
    <n v="51"/>
    <s v="Male"/>
    <x v="4"/>
    <x v="0"/>
    <x v="2"/>
  </r>
  <r>
    <s v="TXN-20250354"/>
    <x v="8"/>
    <x v="352"/>
    <x v="1"/>
    <n v="26460.84"/>
    <x v="0"/>
    <n v="53"/>
    <s v="Male"/>
    <x v="6"/>
    <x v="2"/>
    <x v="0"/>
  </r>
  <r>
    <s v="TXN-20250355"/>
    <x v="20"/>
    <x v="353"/>
    <x v="4"/>
    <n v="20000"/>
    <x v="0"/>
    <n v="34"/>
    <s v="Female"/>
    <x v="8"/>
    <x v="0"/>
    <x v="2"/>
  </r>
  <r>
    <s v="TXN-20250356"/>
    <x v="228"/>
    <x v="354"/>
    <x v="1"/>
    <n v="35243.24"/>
    <x v="0"/>
    <n v="47"/>
    <s v="Male"/>
    <x v="6"/>
    <x v="2"/>
    <x v="3"/>
  </r>
  <r>
    <s v="TXN-20250357"/>
    <x v="164"/>
    <x v="355"/>
    <x v="3"/>
    <n v="958.91"/>
    <x v="0"/>
    <n v="28"/>
    <s v="Male"/>
    <x v="7"/>
    <x v="1"/>
    <x v="3"/>
  </r>
  <r>
    <s v="TXN-20250358"/>
    <x v="44"/>
    <x v="356"/>
    <x v="2"/>
    <n v="30207.39"/>
    <x v="0"/>
    <n v="26"/>
    <s v="Male"/>
    <x v="9"/>
    <x v="1"/>
    <x v="0"/>
  </r>
  <r>
    <s v="TXN-20250359"/>
    <x v="19"/>
    <x v="357"/>
    <x v="1"/>
    <n v="6932.84"/>
    <x v="0"/>
    <n v="31"/>
    <s v="Female"/>
    <x v="2"/>
    <x v="0"/>
    <x v="0"/>
  </r>
  <r>
    <s v="TXN-20250360"/>
    <x v="131"/>
    <x v="358"/>
    <x v="1"/>
    <n v="21151.18"/>
    <x v="0"/>
    <n v="48"/>
    <s v="Male"/>
    <x v="4"/>
    <x v="0"/>
    <x v="1"/>
  </r>
  <r>
    <s v="TXN-20250361"/>
    <x v="229"/>
    <x v="359"/>
    <x v="2"/>
    <n v="14536.71"/>
    <x v="0"/>
    <n v="22"/>
    <s v="Male"/>
    <x v="1"/>
    <x v="2"/>
    <x v="2"/>
  </r>
  <r>
    <s v="TXN-20250362"/>
    <x v="230"/>
    <x v="360"/>
    <x v="0"/>
    <n v="423.27"/>
    <x v="0"/>
    <n v="27"/>
    <s v="Female"/>
    <x v="4"/>
    <x v="0"/>
    <x v="3"/>
  </r>
  <r>
    <s v="TXN-20250363"/>
    <x v="124"/>
    <x v="361"/>
    <x v="1"/>
    <n v="30015.4"/>
    <x v="0"/>
    <n v="51"/>
    <s v="Female"/>
    <x v="2"/>
    <x v="2"/>
    <x v="1"/>
  </r>
  <r>
    <s v="TXN-20250364"/>
    <x v="231"/>
    <x v="362"/>
    <x v="3"/>
    <n v="3965.42"/>
    <x v="0"/>
    <n v="56"/>
    <s v="Female"/>
    <x v="2"/>
    <x v="0"/>
    <x v="3"/>
  </r>
  <r>
    <s v="TXN-20250365"/>
    <x v="153"/>
    <x v="363"/>
    <x v="4"/>
    <n v="10000"/>
    <x v="0"/>
    <n v="32"/>
    <s v="Female"/>
    <x v="4"/>
    <x v="0"/>
    <x v="0"/>
  </r>
  <r>
    <s v="TXN-20250366"/>
    <x v="194"/>
    <x v="364"/>
    <x v="1"/>
    <n v="20928.650000000001"/>
    <x v="0"/>
    <n v="29"/>
    <s v="Male"/>
    <x v="4"/>
    <x v="2"/>
    <x v="0"/>
  </r>
  <r>
    <s v="TXN-20250367"/>
    <x v="18"/>
    <x v="365"/>
    <x v="4"/>
    <n v="10000"/>
    <x v="0"/>
    <n v="33"/>
    <s v="Male"/>
    <x v="1"/>
    <x v="2"/>
    <x v="0"/>
  </r>
  <r>
    <s v="TXN-20250368"/>
    <x v="130"/>
    <x v="366"/>
    <x v="2"/>
    <n v="7140.58"/>
    <x v="0"/>
    <n v="48"/>
    <s v="Male"/>
    <x v="4"/>
    <x v="0"/>
    <x v="2"/>
  </r>
  <r>
    <s v="TXN-20250369"/>
    <x v="25"/>
    <x v="367"/>
    <x v="0"/>
    <n v="619.79"/>
    <x v="0"/>
    <n v="25"/>
    <s v="Female"/>
    <x v="4"/>
    <x v="2"/>
    <x v="3"/>
  </r>
  <r>
    <s v="TXN-20250370"/>
    <x v="64"/>
    <x v="368"/>
    <x v="4"/>
    <n v="5000"/>
    <x v="0"/>
    <n v="51"/>
    <s v="Female"/>
    <x v="2"/>
    <x v="0"/>
    <x v="3"/>
  </r>
  <r>
    <s v="TXN-20250371"/>
    <x v="232"/>
    <x v="369"/>
    <x v="4"/>
    <n v="5000"/>
    <x v="0"/>
    <n v="23"/>
    <s v="Female"/>
    <x v="0"/>
    <x v="1"/>
    <x v="2"/>
  </r>
  <r>
    <s v="TXN-20250372"/>
    <x v="18"/>
    <x v="370"/>
    <x v="0"/>
    <n v="1291.8499999999999"/>
    <x v="0"/>
    <n v="33"/>
    <s v="Male"/>
    <x v="1"/>
    <x v="2"/>
    <x v="3"/>
  </r>
  <r>
    <s v="TXN-20250373"/>
    <x v="78"/>
    <x v="371"/>
    <x v="3"/>
    <n v="3212.35"/>
    <x v="0"/>
    <n v="33"/>
    <s v="Male"/>
    <x v="4"/>
    <x v="2"/>
    <x v="0"/>
  </r>
  <r>
    <s v="TXN-20250374"/>
    <x v="96"/>
    <x v="372"/>
    <x v="0"/>
    <n v="3562.31"/>
    <x v="0"/>
    <n v="30"/>
    <s v="Male"/>
    <x v="7"/>
    <x v="2"/>
    <x v="0"/>
  </r>
  <r>
    <s v="TXN-20250375"/>
    <x v="220"/>
    <x v="373"/>
    <x v="4"/>
    <n v="2000"/>
    <x v="1"/>
    <n v="33"/>
    <s v="Male"/>
    <x v="5"/>
    <x v="0"/>
    <x v="1"/>
  </r>
  <r>
    <s v="TXN-20250376"/>
    <x v="226"/>
    <x v="374"/>
    <x v="1"/>
    <n v="12465.56"/>
    <x v="0"/>
    <n v="22"/>
    <s v="Male"/>
    <x v="4"/>
    <x v="1"/>
    <x v="0"/>
  </r>
  <r>
    <s v="TXN-20250377"/>
    <x v="233"/>
    <x v="375"/>
    <x v="2"/>
    <n v="28173.41"/>
    <x v="0"/>
    <n v="24"/>
    <s v="Female"/>
    <x v="6"/>
    <x v="0"/>
    <x v="0"/>
  </r>
  <r>
    <s v="TXN-20250378"/>
    <x v="108"/>
    <x v="376"/>
    <x v="1"/>
    <n v="3682.5"/>
    <x v="0"/>
    <n v="50"/>
    <s v="Female"/>
    <x v="9"/>
    <x v="2"/>
    <x v="0"/>
  </r>
  <r>
    <s v="TXN-20250379"/>
    <x v="104"/>
    <x v="377"/>
    <x v="1"/>
    <n v="5105.43"/>
    <x v="0"/>
    <n v="50"/>
    <s v="Female"/>
    <x v="7"/>
    <x v="2"/>
    <x v="0"/>
  </r>
  <r>
    <s v="TXN-20250380"/>
    <x v="38"/>
    <x v="378"/>
    <x v="1"/>
    <n v="5936.3"/>
    <x v="0"/>
    <n v="42"/>
    <s v="Female"/>
    <x v="4"/>
    <x v="1"/>
    <x v="1"/>
  </r>
  <r>
    <s v="TXN-20250381"/>
    <x v="234"/>
    <x v="379"/>
    <x v="1"/>
    <n v="34963.81"/>
    <x v="1"/>
    <n v="55"/>
    <s v="Male"/>
    <x v="3"/>
    <x v="1"/>
    <x v="3"/>
  </r>
  <r>
    <s v="TXN-20250382"/>
    <x v="43"/>
    <x v="380"/>
    <x v="1"/>
    <n v="67136.5"/>
    <x v="1"/>
    <n v="49"/>
    <s v="Female"/>
    <x v="0"/>
    <x v="0"/>
    <x v="0"/>
  </r>
  <r>
    <s v="TXN-20250383"/>
    <x v="68"/>
    <x v="381"/>
    <x v="0"/>
    <n v="848.57"/>
    <x v="0"/>
    <n v="34"/>
    <s v="Male"/>
    <x v="6"/>
    <x v="0"/>
    <x v="0"/>
  </r>
  <r>
    <s v="TXN-20250384"/>
    <x v="69"/>
    <x v="382"/>
    <x v="0"/>
    <n v="2398.6999999999998"/>
    <x v="0"/>
    <n v="19"/>
    <s v="Female"/>
    <x v="8"/>
    <x v="1"/>
    <x v="0"/>
  </r>
  <r>
    <s v="TXN-20250385"/>
    <x v="133"/>
    <x v="383"/>
    <x v="2"/>
    <n v="8558.66"/>
    <x v="0"/>
    <n v="36"/>
    <s v="Female"/>
    <x v="2"/>
    <x v="1"/>
    <x v="0"/>
  </r>
  <r>
    <s v="TXN-20250386"/>
    <x v="235"/>
    <x v="384"/>
    <x v="0"/>
    <n v="1897.09"/>
    <x v="0"/>
    <n v="50"/>
    <s v="Male"/>
    <x v="4"/>
    <x v="2"/>
    <x v="0"/>
  </r>
  <r>
    <s v="TXN-20250387"/>
    <x v="236"/>
    <x v="385"/>
    <x v="3"/>
    <n v="535.66"/>
    <x v="1"/>
    <n v="45"/>
    <s v="Male"/>
    <x v="4"/>
    <x v="3"/>
    <x v="0"/>
  </r>
  <r>
    <s v="TXN-20250388"/>
    <x v="172"/>
    <x v="386"/>
    <x v="2"/>
    <n v="2197.69"/>
    <x v="0"/>
    <n v="25"/>
    <s v="Male"/>
    <x v="4"/>
    <x v="2"/>
    <x v="0"/>
  </r>
  <r>
    <s v="TXN-20250389"/>
    <x v="148"/>
    <x v="387"/>
    <x v="1"/>
    <n v="50650.93"/>
    <x v="0"/>
    <n v="52"/>
    <s v="Male"/>
    <x v="4"/>
    <x v="0"/>
    <x v="2"/>
  </r>
  <r>
    <s v="TXN-20250390"/>
    <x v="200"/>
    <x v="388"/>
    <x v="1"/>
    <n v="6062.19"/>
    <x v="0"/>
    <n v="31"/>
    <s v="Male"/>
    <x v="7"/>
    <x v="0"/>
    <x v="0"/>
  </r>
  <r>
    <s v="TXN-20250391"/>
    <x v="120"/>
    <x v="389"/>
    <x v="1"/>
    <n v="34462.07"/>
    <x v="0"/>
    <n v="27"/>
    <s v="Male"/>
    <x v="4"/>
    <x v="2"/>
    <x v="0"/>
  </r>
  <r>
    <s v="TXN-20250392"/>
    <x v="182"/>
    <x v="390"/>
    <x v="4"/>
    <n v="5000"/>
    <x v="0"/>
    <n v="50"/>
    <s v="Female"/>
    <x v="2"/>
    <x v="0"/>
    <x v="3"/>
  </r>
  <r>
    <s v="TXN-20250393"/>
    <x v="78"/>
    <x v="391"/>
    <x v="0"/>
    <n v="727.82"/>
    <x v="0"/>
    <n v="33"/>
    <s v="Male"/>
    <x v="4"/>
    <x v="2"/>
    <x v="2"/>
  </r>
  <r>
    <s v="TXN-20250394"/>
    <x v="194"/>
    <x v="392"/>
    <x v="0"/>
    <n v="1971.18"/>
    <x v="0"/>
    <n v="29"/>
    <s v="Male"/>
    <x v="4"/>
    <x v="2"/>
    <x v="1"/>
  </r>
  <r>
    <s v="TXN-20250395"/>
    <x v="90"/>
    <x v="393"/>
    <x v="1"/>
    <n v="57564.160000000003"/>
    <x v="0"/>
    <n v="36"/>
    <s v="Male"/>
    <x v="4"/>
    <x v="1"/>
    <x v="0"/>
  </r>
  <r>
    <s v="TXN-20250396"/>
    <x v="192"/>
    <x v="394"/>
    <x v="0"/>
    <n v="1296.02"/>
    <x v="0"/>
    <n v="26"/>
    <s v="Female"/>
    <x v="9"/>
    <x v="0"/>
    <x v="0"/>
  </r>
  <r>
    <s v="TXN-20250397"/>
    <x v="104"/>
    <x v="395"/>
    <x v="3"/>
    <n v="1954.74"/>
    <x v="0"/>
    <n v="50"/>
    <s v="Female"/>
    <x v="7"/>
    <x v="2"/>
    <x v="0"/>
  </r>
  <r>
    <s v="TXN-20250398"/>
    <x v="146"/>
    <x v="396"/>
    <x v="1"/>
    <n v="73061.17"/>
    <x v="0"/>
    <n v="32"/>
    <s v="Male"/>
    <x v="4"/>
    <x v="0"/>
    <x v="3"/>
  </r>
  <r>
    <s v="TXN-20250399"/>
    <x v="207"/>
    <x v="397"/>
    <x v="3"/>
    <n v="24605.56"/>
    <x v="0"/>
    <n v="36"/>
    <s v="Female"/>
    <x v="1"/>
    <x v="0"/>
    <x v="2"/>
  </r>
  <r>
    <s v="TXN-20250400"/>
    <x v="15"/>
    <x v="398"/>
    <x v="3"/>
    <n v="5324.16"/>
    <x v="0"/>
    <n v="29"/>
    <s v="Male"/>
    <x v="4"/>
    <x v="1"/>
    <x v="0"/>
  </r>
  <r>
    <s v="TXN-20250401"/>
    <x v="101"/>
    <x v="399"/>
    <x v="0"/>
    <n v="559.95000000000005"/>
    <x v="0"/>
    <n v="26"/>
    <s v="Female"/>
    <x v="8"/>
    <x v="0"/>
    <x v="0"/>
  </r>
  <r>
    <s v="TXN-20250402"/>
    <x v="167"/>
    <x v="400"/>
    <x v="1"/>
    <n v="49676.22"/>
    <x v="1"/>
    <n v="28"/>
    <s v="Male"/>
    <x v="1"/>
    <x v="1"/>
    <x v="2"/>
  </r>
  <r>
    <s v="TXN-20250403"/>
    <x v="127"/>
    <x v="401"/>
    <x v="2"/>
    <n v="6196.63"/>
    <x v="1"/>
    <n v="40"/>
    <s v="Male"/>
    <x v="4"/>
    <x v="0"/>
    <x v="0"/>
  </r>
  <r>
    <s v="TXN-20250404"/>
    <x v="198"/>
    <x v="402"/>
    <x v="3"/>
    <n v="9897.76"/>
    <x v="0"/>
    <n v="30"/>
    <s v="Female"/>
    <x v="7"/>
    <x v="1"/>
    <x v="0"/>
  </r>
  <r>
    <s v="TXN-20250405"/>
    <x v="62"/>
    <x v="403"/>
    <x v="1"/>
    <n v="26996.41"/>
    <x v="0"/>
    <n v="24"/>
    <s v="Female"/>
    <x v="4"/>
    <x v="1"/>
    <x v="0"/>
  </r>
  <r>
    <s v="TXN-20250406"/>
    <x v="210"/>
    <x v="404"/>
    <x v="1"/>
    <n v="38536.04"/>
    <x v="0"/>
    <n v="32"/>
    <s v="Male"/>
    <x v="4"/>
    <x v="1"/>
    <x v="0"/>
  </r>
  <r>
    <s v="TXN-20250407"/>
    <x v="214"/>
    <x v="405"/>
    <x v="1"/>
    <n v="25607.86"/>
    <x v="0"/>
    <n v="39"/>
    <s v="Male"/>
    <x v="6"/>
    <x v="0"/>
    <x v="0"/>
  </r>
  <r>
    <s v="TXN-20250408"/>
    <x v="215"/>
    <x v="406"/>
    <x v="0"/>
    <n v="292.62"/>
    <x v="0"/>
    <n v="57"/>
    <s v="Male"/>
    <x v="9"/>
    <x v="0"/>
    <x v="0"/>
  </r>
  <r>
    <s v="TXN-20250409"/>
    <x v="102"/>
    <x v="407"/>
    <x v="0"/>
    <n v="1957.83"/>
    <x v="0"/>
    <n v="58"/>
    <s v="Female"/>
    <x v="3"/>
    <x v="2"/>
    <x v="2"/>
  </r>
  <r>
    <s v="TXN-20250410"/>
    <x v="90"/>
    <x v="408"/>
    <x v="1"/>
    <n v="8321.36"/>
    <x v="0"/>
    <n v="36"/>
    <s v="Male"/>
    <x v="4"/>
    <x v="1"/>
    <x v="0"/>
  </r>
  <r>
    <s v="TXN-20250411"/>
    <x v="190"/>
    <x v="409"/>
    <x v="4"/>
    <n v="10000"/>
    <x v="0"/>
    <n v="34"/>
    <s v="Male"/>
    <x v="1"/>
    <x v="0"/>
    <x v="0"/>
  </r>
  <r>
    <s v="TXN-20250412"/>
    <x v="237"/>
    <x v="410"/>
    <x v="4"/>
    <n v="40000"/>
    <x v="0"/>
    <n v="24"/>
    <s v="Female"/>
    <x v="4"/>
    <x v="1"/>
    <x v="0"/>
  </r>
  <r>
    <s v="TXN-20250413"/>
    <x v="238"/>
    <x v="411"/>
    <x v="1"/>
    <n v="22638.27"/>
    <x v="1"/>
    <n v="33"/>
    <s v="Male"/>
    <x v="5"/>
    <x v="0"/>
    <x v="0"/>
  </r>
  <r>
    <s v="TXN-20250414"/>
    <x v="239"/>
    <x v="412"/>
    <x v="3"/>
    <n v="14368.21"/>
    <x v="0"/>
    <n v="41"/>
    <s v="Male"/>
    <x v="2"/>
    <x v="0"/>
    <x v="1"/>
  </r>
  <r>
    <s v="TXN-20250415"/>
    <x v="55"/>
    <x v="413"/>
    <x v="3"/>
    <n v="1576.99"/>
    <x v="0"/>
    <n v="52"/>
    <s v="Male"/>
    <x v="4"/>
    <x v="0"/>
    <x v="3"/>
  </r>
  <r>
    <s v="TXN-20250416"/>
    <x v="203"/>
    <x v="414"/>
    <x v="0"/>
    <n v="1866.94"/>
    <x v="0"/>
    <n v="28"/>
    <s v="Male"/>
    <x v="4"/>
    <x v="2"/>
    <x v="2"/>
  </r>
  <r>
    <s v="TXN-20250417"/>
    <x v="66"/>
    <x v="415"/>
    <x v="1"/>
    <n v="3178.79"/>
    <x v="0"/>
    <n v="32"/>
    <s v="Male"/>
    <x v="4"/>
    <x v="2"/>
    <x v="0"/>
  </r>
  <r>
    <s v="TXN-20250418"/>
    <x v="35"/>
    <x v="416"/>
    <x v="1"/>
    <n v="5611.66"/>
    <x v="0"/>
    <n v="38"/>
    <s v="Male"/>
    <x v="1"/>
    <x v="0"/>
    <x v="0"/>
  </r>
  <r>
    <s v="TXN-20250419"/>
    <x v="187"/>
    <x v="417"/>
    <x v="1"/>
    <n v="29598.3"/>
    <x v="0"/>
    <n v="28"/>
    <s v="Male"/>
    <x v="3"/>
    <x v="0"/>
    <x v="3"/>
  </r>
  <r>
    <s v="TXN-20250420"/>
    <x v="215"/>
    <x v="418"/>
    <x v="4"/>
    <n v="40000"/>
    <x v="0"/>
    <n v="57"/>
    <s v="Male"/>
    <x v="9"/>
    <x v="0"/>
    <x v="2"/>
  </r>
  <r>
    <s v="TXN-20250421"/>
    <x v="166"/>
    <x v="419"/>
    <x v="2"/>
    <n v="1627.29"/>
    <x v="0"/>
    <n v="30"/>
    <s v="Female"/>
    <x v="1"/>
    <x v="2"/>
    <x v="0"/>
  </r>
  <r>
    <s v="TXN-20250422"/>
    <x v="203"/>
    <x v="420"/>
    <x v="3"/>
    <n v="10929.55"/>
    <x v="0"/>
    <n v="28"/>
    <s v="Male"/>
    <x v="4"/>
    <x v="2"/>
    <x v="0"/>
  </r>
  <r>
    <s v="TXN-20250423"/>
    <x v="111"/>
    <x v="421"/>
    <x v="1"/>
    <n v="5346.92"/>
    <x v="0"/>
    <n v="50"/>
    <s v="Male"/>
    <x v="1"/>
    <x v="1"/>
    <x v="0"/>
  </r>
  <r>
    <s v="TXN-20250424"/>
    <x v="156"/>
    <x v="422"/>
    <x v="1"/>
    <n v="9405.49"/>
    <x v="0"/>
    <n v="26"/>
    <s v="Male"/>
    <x v="2"/>
    <x v="0"/>
    <x v="0"/>
  </r>
  <r>
    <s v="TXN-20250425"/>
    <x v="61"/>
    <x v="423"/>
    <x v="3"/>
    <n v="740.02"/>
    <x v="0"/>
    <n v="31"/>
    <s v="Female"/>
    <x v="3"/>
    <x v="3"/>
    <x v="0"/>
  </r>
  <r>
    <s v="TXN-20250426"/>
    <x v="33"/>
    <x v="424"/>
    <x v="0"/>
    <n v="683.71"/>
    <x v="0"/>
    <n v="42"/>
    <s v="Male"/>
    <x v="4"/>
    <x v="2"/>
    <x v="0"/>
  </r>
  <r>
    <s v="TXN-20250427"/>
    <x v="57"/>
    <x v="425"/>
    <x v="3"/>
    <n v="2209.2399999999998"/>
    <x v="0"/>
    <n v="22"/>
    <s v="Female"/>
    <x v="4"/>
    <x v="3"/>
    <x v="1"/>
  </r>
  <r>
    <s v="TXN-20250428"/>
    <x v="240"/>
    <x v="426"/>
    <x v="0"/>
    <n v="657.5"/>
    <x v="0"/>
    <n v="35"/>
    <s v="Male"/>
    <x v="2"/>
    <x v="0"/>
    <x v="0"/>
  </r>
  <r>
    <s v="TXN-20250429"/>
    <x v="241"/>
    <x v="427"/>
    <x v="1"/>
    <n v="9718.7000000000007"/>
    <x v="0"/>
    <n v="44"/>
    <s v="Male"/>
    <x v="4"/>
    <x v="1"/>
    <x v="0"/>
  </r>
  <r>
    <s v="TXN-20250430"/>
    <x v="178"/>
    <x v="428"/>
    <x v="2"/>
    <n v="1360.92"/>
    <x v="0"/>
    <n v="47"/>
    <s v="Male"/>
    <x v="4"/>
    <x v="0"/>
    <x v="1"/>
  </r>
  <r>
    <s v="TXN-20250431"/>
    <x v="179"/>
    <x v="429"/>
    <x v="1"/>
    <n v="7208.68"/>
    <x v="0"/>
    <n v="35"/>
    <s v="Male"/>
    <x v="1"/>
    <x v="0"/>
    <x v="3"/>
  </r>
  <r>
    <s v="TXN-20250432"/>
    <x v="75"/>
    <x v="430"/>
    <x v="1"/>
    <n v="60259.360000000001"/>
    <x v="0"/>
    <n v="40"/>
    <s v="Female"/>
    <x v="4"/>
    <x v="2"/>
    <x v="2"/>
  </r>
  <r>
    <s v="TXN-20250433"/>
    <x v="69"/>
    <x v="431"/>
    <x v="1"/>
    <n v="15782.87"/>
    <x v="0"/>
    <n v="19"/>
    <s v="Female"/>
    <x v="8"/>
    <x v="1"/>
    <x v="0"/>
  </r>
  <r>
    <s v="TXN-20250434"/>
    <x v="223"/>
    <x v="432"/>
    <x v="1"/>
    <n v="38766.01"/>
    <x v="0"/>
    <n v="49"/>
    <s v="Male"/>
    <x v="4"/>
    <x v="0"/>
    <x v="0"/>
  </r>
  <r>
    <s v="TXN-20250435"/>
    <x v="242"/>
    <x v="433"/>
    <x v="0"/>
    <n v="1466.77"/>
    <x v="0"/>
    <n v="33"/>
    <s v="Male"/>
    <x v="4"/>
    <x v="2"/>
    <x v="0"/>
  </r>
  <r>
    <s v="TXN-20250436"/>
    <x v="243"/>
    <x v="434"/>
    <x v="0"/>
    <n v="3864"/>
    <x v="0"/>
    <n v="23"/>
    <s v="Female"/>
    <x v="4"/>
    <x v="0"/>
    <x v="0"/>
  </r>
  <r>
    <s v="TXN-20250437"/>
    <x v="97"/>
    <x v="435"/>
    <x v="0"/>
    <n v="642.51"/>
    <x v="0"/>
    <n v="35"/>
    <s v="Male"/>
    <x v="2"/>
    <x v="0"/>
    <x v="3"/>
  </r>
  <r>
    <s v="TXN-20250438"/>
    <x v="209"/>
    <x v="436"/>
    <x v="1"/>
    <n v="43246.19"/>
    <x v="0"/>
    <n v="53"/>
    <s v="Female"/>
    <x v="1"/>
    <x v="0"/>
    <x v="1"/>
  </r>
  <r>
    <s v="TXN-20250439"/>
    <x v="244"/>
    <x v="437"/>
    <x v="1"/>
    <n v="21151.759999999998"/>
    <x v="0"/>
    <n v="42"/>
    <s v="Female"/>
    <x v="2"/>
    <x v="1"/>
    <x v="0"/>
  </r>
  <r>
    <s v="TXN-20250440"/>
    <x v="245"/>
    <x v="438"/>
    <x v="1"/>
    <n v="7132.49"/>
    <x v="0"/>
    <n v="21"/>
    <s v="Female"/>
    <x v="2"/>
    <x v="0"/>
    <x v="3"/>
  </r>
  <r>
    <s v="TXN-20250441"/>
    <x v="218"/>
    <x v="439"/>
    <x v="4"/>
    <n v="10000"/>
    <x v="0"/>
    <n v="25"/>
    <s v="Male"/>
    <x v="9"/>
    <x v="2"/>
    <x v="3"/>
  </r>
  <r>
    <s v="TXN-20250442"/>
    <x v="217"/>
    <x v="440"/>
    <x v="3"/>
    <n v="1633.59"/>
    <x v="0"/>
    <n v="42"/>
    <s v="Male"/>
    <x v="1"/>
    <x v="0"/>
    <x v="3"/>
  </r>
  <r>
    <s v="TXN-20250443"/>
    <x v="119"/>
    <x v="441"/>
    <x v="0"/>
    <n v="1954.73"/>
    <x v="0"/>
    <n v="31"/>
    <s v="Male"/>
    <x v="4"/>
    <x v="3"/>
    <x v="0"/>
  </r>
  <r>
    <s v="TXN-20250444"/>
    <x v="102"/>
    <x v="442"/>
    <x v="0"/>
    <n v="1143.6199999999999"/>
    <x v="0"/>
    <n v="58"/>
    <s v="Female"/>
    <x v="3"/>
    <x v="2"/>
    <x v="0"/>
  </r>
  <r>
    <s v="TXN-20250445"/>
    <x v="246"/>
    <x v="443"/>
    <x v="2"/>
    <n v="22502.94"/>
    <x v="0"/>
    <n v="40"/>
    <s v="Male"/>
    <x v="4"/>
    <x v="0"/>
    <x v="1"/>
  </r>
  <r>
    <s v="TXN-20250446"/>
    <x v="247"/>
    <x v="444"/>
    <x v="0"/>
    <n v="332.79"/>
    <x v="0"/>
    <n v="36"/>
    <s v="Female"/>
    <x v="5"/>
    <x v="2"/>
    <x v="2"/>
  </r>
  <r>
    <s v="TXN-20250447"/>
    <x v="248"/>
    <x v="445"/>
    <x v="2"/>
    <n v="22160.19"/>
    <x v="0"/>
    <n v="45"/>
    <s v="Male"/>
    <x v="9"/>
    <x v="1"/>
    <x v="2"/>
  </r>
  <r>
    <s v="TXN-20250448"/>
    <x v="76"/>
    <x v="446"/>
    <x v="1"/>
    <n v="9854.3700000000008"/>
    <x v="0"/>
    <n v="38"/>
    <s v="Female"/>
    <x v="4"/>
    <x v="1"/>
    <x v="0"/>
  </r>
  <r>
    <s v="TXN-20250449"/>
    <x v="45"/>
    <x v="447"/>
    <x v="1"/>
    <n v="2511.4299999999998"/>
    <x v="0"/>
    <n v="38"/>
    <s v="Female"/>
    <x v="6"/>
    <x v="0"/>
    <x v="3"/>
  </r>
  <r>
    <s v="TXN-20250450"/>
    <x v="216"/>
    <x v="448"/>
    <x v="0"/>
    <n v="1090.22"/>
    <x v="0"/>
    <n v="48"/>
    <s v="Female"/>
    <x v="4"/>
    <x v="0"/>
    <x v="1"/>
  </r>
  <r>
    <s v="TXN-20250451"/>
    <x v="50"/>
    <x v="449"/>
    <x v="1"/>
    <n v="22023.72"/>
    <x v="0"/>
    <n v="49"/>
    <s v="Male"/>
    <x v="1"/>
    <x v="1"/>
    <x v="1"/>
  </r>
  <r>
    <s v="TXN-20250452"/>
    <x v="249"/>
    <x v="450"/>
    <x v="4"/>
    <n v="10000"/>
    <x v="0"/>
    <n v="44"/>
    <s v="Female"/>
    <x v="9"/>
    <x v="1"/>
    <x v="0"/>
  </r>
  <r>
    <s v="TXN-20250453"/>
    <x v="154"/>
    <x v="451"/>
    <x v="1"/>
    <n v="4724.6000000000004"/>
    <x v="0"/>
    <n v="27"/>
    <s v="Male"/>
    <x v="5"/>
    <x v="2"/>
    <x v="0"/>
  </r>
  <r>
    <s v="TXN-20250454"/>
    <x v="250"/>
    <x v="452"/>
    <x v="4"/>
    <n v="10000"/>
    <x v="0"/>
    <n v="38"/>
    <s v="Female"/>
    <x v="9"/>
    <x v="0"/>
    <x v="3"/>
  </r>
  <r>
    <s v="TXN-20250455"/>
    <x v="147"/>
    <x v="453"/>
    <x v="1"/>
    <n v="2297.7199999999998"/>
    <x v="0"/>
    <n v="28"/>
    <s v="Male"/>
    <x v="4"/>
    <x v="2"/>
    <x v="3"/>
  </r>
  <r>
    <s v="TXN-20250456"/>
    <x v="251"/>
    <x v="454"/>
    <x v="1"/>
    <n v="4547.13"/>
    <x v="0"/>
    <n v="44"/>
    <s v="Male"/>
    <x v="1"/>
    <x v="0"/>
    <x v="3"/>
  </r>
  <r>
    <s v="TXN-20250457"/>
    <x v="182"/>
    <x v="455"/>
    <x v="0"/>
    <n v="1874.64"/>
    <x v="0"/>
    <n v="50"/>
    <s v="Female"/>
    <x v="2"/>
    <x v="0"/>
    <x v="2"/>
  </r>
  <r>
    <s v="TXN-20250458"/>
    <x v="81"/>
    <x v="456"/>
    <x v="0"/>
    <n v="1795.67"/>
    <x v="0"/>
    <n v="50"/>
    <s v="Female"/>
    <x v="2"/>
    <x v="2"/>
    <x v="0"/>
  </r>
  <r>
    <s v="TXN-20250459"/>
    <x v="159"/>
    <x v="457"/>
    <x v="2"/>
    <n v="7974.26"/>
    <x v="0"/>
    <n v="52"/>
    <s v="Female"/>
    <x v="6"/>
    <x v="2"/>
    <x v="1"/>
  </r>
  <r>
    <s v="TXN-20250460"/>
    <x v="131"/>
    <x v="458"/>
    <x v="1"/>
    <n v="15435.78"/>
    <x v="0"/>
    <n v="48"/>
    <s v="Male"/>
    <x v="4"/>
    <x v="0"/>
    <x v="3"/>
  </r>
  <r>
    <s v="TXN-20250461"/>
    <x v="252"/>
    <x v="459"/>
    <x v="1"/>
    <n v="21555.67"/>
    <x v="0"/>
    <n v="20"/>
    <s v="Male"/>
    <x v="6"/>
    <x v="0"/>
    <x v="1"/>
  </r>
  <r>
    <s v="TXN-20250462"/>
    <x v="166"/>
    <x v="460"/>
    <x v="1"/>
    <n v="11634.35"/>
    <x v="0"/>
    <n v="30"/>
    <s v="Female"/>
    <x v="1"/>
    <x v="2"/>
    <x v="2"/>
  </r>
  <r>
    <s v="TXN-20250463"/>
    <x v="246"/>
    <x v="461"/>
    <x v="0"/>
    <n v="3806.63"/>
    <x v="0"/>
    <n v="40"/>
    <s v="Male"/>
    <x v="4"/>
    <x v="0"/>
    <x v="0"/>
  </r>
  <r>
    <s v="TXN-20250464"/>
    <x v="253"/>
    <x v="462"/>
    <x v="0"/>
    <n v="588.45000000000005"/>
    <x v="0"/>
    <n v="40"/>
    <s v="Male"/>
    <x v="0"/>
    <x v="0"/>
    <x v="3"/>
  </r>
  <r>
    <s v="TXN-20250465"/>
    <x v="35"/>
    <x v="463"/>
    <x v="3"/>
    <n v="11297.12"/>
    <x v="0"/>
    <n v="38"/>
    <s v="Male"/>
    <x v="1"/>
    <x v="0"/>
    <x v="0"/>
  </r>
  <r>
    <s v="TXN-20250466"/>
    <x v="254"/>
    <x v="464"/>
    <x v="1"/>
    <n v="5144.91"/>
    <x v="0"/>
    <n v="28"/>
    <s v="Female"/>
    <x v="7"/>
    <x v="0"/>
    <x v="0"/>
  </r>
  <r>
    <s v="TXN-20250467"/>
    <x v="78"/>
    <x v="465"/>
    <x v="1"/>
    <n v="3359.54"/>
    <x v="0"/>
    <n v="33"/>
    <s v="Male"/>
    <x v="4"/>
    <x v="2"/>
    <x v="2"/>
  </r>
  <r>
    <s v="TXN-20250468"/>
    <x v="58"/>
    <x v="466"/>
    <x v="1"/>
    <n v="6050.27"/>
    <x v="0"/>
    <n v="30"/>
    <s v="Female"/>
    <x v="4"/>
    <x v="1"/>
    <x v="0"/>
  </r>
  <r>
    <s v="TXN-20250469"/>
    <x v="6"/>
    <x v="467"/>
    <x v="0"/>
    <n v="2234.66"/>
    <x v="0"/>
    <n v="36"/>
    <s v="Female"/>
    <x v="4"/>
    <x v="0"/>
    <x v="0"/>
  </r>
  <r>
    <s v="TXN-20250470"/>
    <x v="237"/>
    <x v="468"/>
    <x v="3"/>
    <n v="4918.75"/>
    <x v="0"/>
    <n v="24"/>
    <s v="Female"/>
    <x v="4"/>
    <x v="1"/>
    <x v="0"/>
  </r>
  <r>
    <s v="TXN-20250471"/>
    <x v="255"/>
    <x v="469"/>
    <x v="3"/>
    <n v="3097.54"/>
    <x v="0"/>
    <n v="30"/>
    <s v="Male"/>
    <x v="4"/>
    <x v="2"/>
    <x v="0"/>
  </r>
  <r>
    <s v="TXN-20250472"/>
    <x v="256"/>
    <x v="470"/>
    <x v="1"/>
    <n v="11864.69"/>
    <x v="0"/>
    <n v="33"/>
    <s v="Female"/>
    <x v="1"/>
    <x v="0"/>
    <x v="0"/>
  </r>
  <r>
    <s v="TXN-20250473"/>
    <x v="257"/>
    <x v="471"/>
    <x v="1"/>
    <n v="18051.62"/>
    <x v="0"/>
    <n v="38"/>
    <s v="Male"/>
    <x v="4"/>
    <x v="0"/>
    <x v="0"/>
  </r>
  <r>
    <s v="TXN-20250474"/>
    <x v="140"/>
    <x v="472"/>
    <x v="1"/>
    <n v="12748.8"/>
    <x v="0"/>
    <n v="39"/>
    <s v="Female"/>
    <x v="0"/>
    <x v="1"/>
    <x v="0"/>
  </r>
  <r>
    <s v="TXN-20250475"/>
    <x v="258"/>
    <x v="473"/>
    <x v="2"/>
    <n v="2158.6999999999998"/>
    <x v="0"/>
    <n v="31"/>
    <s v="Male"/>
    <x v="4"/>
    <x v="3"/>
    <x v="0"/>
  </r>
  <r>
    <s v="TXN-20250476"/>
    <x v="259"/>
    <x v="474"/>
    <x v="1"/>
    <n v="67267.11"/>
    <x v="0"/>
    <n v="42"/>
    <s v="Male"/>
    <x v="9"/>
    <x v="0"/>
    <x v="0"/>
  </r>
  <r>
    <s v="TXN-20250477"/>
    <x v="111"/>
    <x v="475"/>
    <x v="2"/>
    <n v="18911.36"/>
    <x v="0"/>
    <n v="50"/>
    <s v="Male"/>
    <x v="1"/>
    <x v="1"/>
    <x v="0"/>
  </r>
  <r>
    <s v="TXN-20250478"/>
    <x v="230"/>
    <x v="476"/>
    <x v="1"/>
    <n v="1246.6199999999999"/>
    <x v="0"/>
    <n v="27"/>
    <s v="Female"/>
    <x v="4"/>
    <x v="0"/>
    <x v="0"/>
  </r>
  <r>
    <s v="TXN-20250479"/>
    <x v="225"/>
    <x v="477"/>
    <x v="1"/>
    <n v="13227.45"/>
    <x v="1"/>
    <n v="20"/>
    <s v="Female"/>
    <x v="4"/>
    <x v="3"/>
    <x v="2"/>
  </r>
  <r>
    <s v="TXN-20250480"/>
    <x v="81"/>
    <x v="478"/>
    <x v="0"/>
    <n v="304.74"/>
    <x v="0"/>
    <n v="50"/>
    <s v="Female"/>
    <x v="2"/>
    <x v="2"/>
    <x v="0"/>
  </r>
  <r>
    <s v="TXN-20250481"/>
    <x v="23"/>
    <x v="479"/>
    <x v="2"/>
    <n v="17481.84"/>
    <x v="1"/>
    <n v="33"/>
    <s v="Male"/>
    <x v="4"/>
    <x v="0"/>
    <x v="1"/>
  </r>
  <r>
    <s v="TXN-20250482"/>
    <x v="260"/>
    <x v="480"/>
    <x v="0"/>
    <n v="451.21"/>
    <x v="0"/>
    <n v="45"/>
    <s v="Female"/>
    <x v="8"/>
    <x v="0"/>
    <x v="0"/>
  </r>
  <r>
    <s v="TXN-20250483"/>
    <x v="44"/>
    <x v="481"/>
    <x v="2"/>
    <n v="3482.09"/>
    <x v="0"/>
    <n v="26"/>
    <s v="Male"/>
    <x v="9"/>
    <x v="1"/>
    <x v="0"/>
  </r>
  <r>
    <s v="TXN-20250484"/>
    <x v="261"/>
    <x v="482"/>
    <x v="1"/>
    <n v="6404.18"/>
    <x v="0"/>
    <n v="24"/>
    <s v="Male"/>
    <x v="4"/>
    <x v="0"/>
    <x v="3"/>
  </r>
  <r>
    <s v="TXN-20250485"/>
    <x v="262"/>
    <x v="483"/>
    <x v="2"/>
    <n v="19648.18"/>
    <x v="0"/>
    <n v="33"/>
    <s v="Male"/>
    <x v="4"/>
    <x v="1"/>
    <x v="0"/>
  </r>
  <r>
    <s v="TXN-20250486"/>
    <x v="131"/>
    <x v="484"/>
    <x v="3"/>
    <n v="30711.79"/>
    <x v="0"/>
    <n v="48"/>
    <s v="Male"/>
    <x v="4"/>
    <x v="0"/>
    <x v="1"/>
  </r>
  <r>
    <s v="TXN-20250487"/>
    <x v="181"/>
    <x v="485"/>
    <x v="1"/>
    <n v="33381.19"/>
    <x v="0"/>
    <n v="35"/>
    <s v="Female"/>
    <x v="4"/>
    <x v="1"/>
    <x v="3"/>
  </r>
  <r>
    <s v="TXN-20250488"/>
    <x v="72"/>
    <x v="486"/>
    <x v="2"/>
    <n v="16635.580000000002"/>
    <x v="0"/>
    <n v="25"/>
    <s v="Male"/>
    <x v="4"/>
    <x v="0"/>
    <x v="3"/>
  </r>
  <r>
    <s v="TXN-20250489"/>
    <x v="54"/>
    <x v="487"/>
    <x v="4"/>
    <n v="2000"/>
    <x v="0"/>
    <n v="56"/>
    <s v="Female"/>
    <x v="5"/>
    <x v="0"/>
    <x v="0"/>
  </r>
  <r>
    <s v="TXN-20250490"/>
    <x v="263"/>
    <x v="488"/>
    <x v="1"/>
    <n v="21804.7"/>
    <x v="0"/>
    <n v="28"/>
    <s v="Female"/>
    <x v="4"/>
    <x v="0"/>
    <x v="3"/>
  </r>
  <r>
    <s v="TXN-20250491"/>
    <x v="63"/>
    <x v="489"/>
    <x v="1"/>
    <n v="42732.47"/>
    <x v="0"/>
    <n v="33"/>
    <s v="Female"/>
    <x v="4"/>
    <x v="0"/>
    <x v="0"/>
  </r>
  <r>
    <s v="TXN-20250492"/>
    <x v="155"/>
    <x v="490"/>
    <x v="0"/>
    <n v="1947.83"/>
    <x v="0"/>
    <n v="32"/>
    <s v="Male"/>
    <x v="2"/>
    <x v="0"/>
    <x v="0"/>
  </r>
  <r>
    <s v="TXN-20250493"/>
    <x v="60"/>
    <x v="491"/>
    <x v="1"/>
    <n v="4703.37"/>
    <x v="0"/>
    <n v="31"/>
    <s v="Female"/>
    <x v="2"/>
    <x v="2"/>
    <x v="0"/>
  </r>
  <r>
    <s v="TXN-20250494"/>
    <x v="248"/>
    <x v="492"/>
    <x v="0"/>
    <n v="4598.8"/>
    <x v="0"/>
    <n v="45"/>
    <s v="Male"/>
    <x v="9"/>
    <x v="1"/>
    <x v="3"/>
  </r>
  <r>
    <s v="TXN-20250495"/>
    <x v="264"/>
    <x v="493"/>
    <x v="1"/>
    <n v="57370.75"/>
    <x v="0"/>
    <n v="22"/>
    <s v="Female"/>
    <x v="2"/>
    <x v="2"/>
    <x v="0"/>
  </r>
  <r>
    <s v="TXN-20250496"/>
    <x v="121"/>
    <x v="494"/>
    <x v="3"/>
    <n v="868.3"/>
    <x v="0"/>
    <n v="49"/>
    <s v="Male"/>
    <x v="7"/>
    <x v="0"/>
    <x v="1"/>
  </r>
  <r>
    <s v="TXN-20250497"/>
    <x v="265"/>
    <x v="495"/>
    <x v="3"/>
    <n v="1814.8"/>
    <x v="0"/>
    <n v="26"/>
    <s v="Female"/>
    <x v="4"/>
    <x v="1"/>
    <x v="0"/>
  </r>
  <r>
    <s v="TXN-20250498"/>
    <x v="14"/>
    <x v="496"/>
    <x v="0"/>
    <n v="596.53"/>
    <x v="0"/>
    <n v="51"/>
    <s v="Female"/>
    <x v="2"/>
    <x v="1"/>
    <x v="3"/>
  </r>
  <r>
    <s v="TXN-20250499"/>
    <x v="246"/>
    <x v="497"/>
    <x v="0"/>
    <n v="1125.74"/>
    <x v="0"/>
    <n v="40"/>
    <s v="Male"/>
    <x v="4"/>
    <x v="0"/>
    <x v="1"/>
  </r>
  <r>
    <s v="TXN-20250500"/>
    <x v="165"/>
    <x v="498"/>
    <x v="1"/>
    <n v="8211.7000000000007"/>
    <x v="1"/>
    <n v="25"/>
    <s v="Male"/>
    <x v="6"/>
    <x v="1"/>
    <x v="0"/>
  </r>
  <r>
    <s v="TXN-20250501"/>
    <x v="266"/>
    <x v="499"/>
    <x v="1"/>
    <n v="48072.31"/>
    <x v="0"/>
    <n v="35"/>
    <s v="Female"/>
    <x v="1"/>
    <x v="3"/>
    <x v="3"/>
  </r>
  <r>
    <s v="TXN-20250502"/>
    <x v="267"/>
    <x v="500"/>
    <x v="1"/>
    <n v="32153.22"/>
    <x v="0"/>
    <n v="26"/>
    <s v="Male"/>
    <x v="4"/>
    <x v="0"/>
    <x v="3"/>
  </r>
  <r>
    <s v="TXN-20250503"/>
    <x v="268"/>
    <x v="501"/>
    <x v="1"/>
    <n v="34612.89"/>
    <x v="0"/>
    <n v="54"/>
    <s v="Male"/>
    <x v="4"/>
    <x v="0"/>
    <x v="0"/>
  </r>
  <r>
    <s v="TXN-20250504"/>
    <x v="5"/>
    <x v="502"/>
    <x v="0"/>
    <n v="3664.22"/>
    <x v="0"/>
    <n v="29"/>
    <s v="Male"/>
    <x v="2"/>
    <x v="0"/>
    <x v="0"/>
  </r>
  <r>
    <s v="TXN-20250505"/>
    <x v="261"/>
    <x v="503"/>
    <x v="0"/>
    <n v="1797.23"/>
    <x v="0"/>
    <n v="24"/>
    <s v="Male"/>
    <x v="4"/>
    <x v="0"/>
    <x v="3"/>
  </r>
  <r>
    <s v="TXN-20250506"/>
    <x v="202"/>
    <x v="504"/>
    <x v="3"/>
    <n v="2249.4899999999998"/>
    <x v="0"/>
    <n v="37"/>
    <s v="Male"/>
    <x v="4"/>
    <x v="2"/>
    <x v="1"/>
  </r>
  <r>
    <s v="TXN-20250507"/>
    <x v="108"/>
    <x v="505"/>
    <x v="1"/>
    <n v="20778.259999999998"/>
    <x v="0"/>
    <n v="50"/>
    <s v="Female"/>
    <x v="9"/>
    <x v="2"/>
    <x v="0"/>
  </r>
  <r>
    <s v="TXN-20250508"/>
    <x v="269"/>
    <x v="506"/>
    <x v="0"/>
    <n v="490.07"/>
    <x v="0"/>
    <n v="37"/>
    <s v="Male"/>
    <x v="7"/>
    <x v="1"/>
    <x v="0"/>
  </r>
  <r>
    <s v="TXN-20250509"/>
    <x v="27"/>
    <x v="507"/>
    <x v="1"/>
    <n v="8553.9599999999991"/>
    <x v="0"/>
    <n v="31"/>
    <s v="Female"/>
    <x v="7"/>
    <x v="1"/>
    <x v="0"/>
  </r>
  <r>
    <s v="TXN-20250510"/>
    <x v="224"/>
    <x v="508"/>
    <x v="1"/>
    <n v="53779.01"/>
    <x v="0"/>
    <n v="29"/>
    <s v="Female"/>
    <x v="7"/>
    <x v="0"/>
    <x v="3"/>
  </r>
  <r>
    <s v="TXN-20250511"/>
    <x v="264"/>
    <x v="509"/>
    <x v="4"/>
    <n v="20000"/>
    <x v="0"/>
    <n v="22"/>
    <s v="Female"/>
    <x v="2"/>
    <x v="2"/>
    <x v="0"/>
  </r>
  <r>
    <s v="TXN-20250512"/>
    <x v="204"/>
    <x v="510"/>
    <x v="0"/>
    <n v="4442.7"/>
    <x v="0"/>
    <n v="46"/>
    <s v="Male"/>
    <x v="5"/>
    <x v="0"/>
    <x v="0"/>
  </r>
  <r>
    <s v="TXN-20250513"/>
    <x v="245"/>
    <x v="511"/>
    <x v="3"/>
    <n v="5423.13"/>
    <x v="1"/>
    <n v="21"/>
    <s v="Female"/>
    <x v="2"/>
    <x v="0"/>
    <x v="0"/>
  </r>
  <r>
    <s v="TXN-20250514"/>
    <x v="43"/>
    <x v="512"/>
    <x v="0"/>
    <n v="2918.35"/>
    <x v="0"/>
    <n v="49"/>
    <s v="Female"/>
    <x v="0"/>
    <x v="0"/>
    <x v="0"/>
  </r>
  <r>
    <s v="TXN-20250515"/>
    <x v="81"/>
    <x v="513"/>
    <x v="1"/>
    <n v="18199.169999999998"/>
    <x v="0"/>
    <n v="50"/>
    <s v="Female"/>
    <x v="2"/>
    <x v="2"/>
    <x v="0"/>
  </r>
  <r>
    <s v="TXN-20250516"/>
    <x v="36"/>
    <x v="514"/>
    <x v="1"/>
    <n v="28014.31"/>
    <x v="0"/>
    <n v="45"/>
    <s v="Male"/>
    <x v="6"/>
    <x v="0"/>
    <x v="2"/>
  </r>
  <r>
    <s v="TXN-20250517"/>
    <x v="203"/>
    <x v="515"/>
    <x v="0"/>
    <n v="259.82"/>
    <x v="0"/>
    <n v="28"/>
    <s v="Male"/>
    <x v="4"/>
    <x v="2"/>
    <x v="0"/>
  </r>
  <r>
    <s v="TXN-20250518"/>
    <x v="183"/>
    <x v="516"/>
    <x v="0"/>
    <n v="865.32"/>
    <x v="1"/>
    <n v="27"/>
    <s v="Female"/>
    <x v="1"/>
    <x v="0"/>
    <x v="3"/>
  </r>
  <r>
    <s v="TXN-20250519"/>
    <x v="18"/>
    <x v="517"/>
    <x v="1"/>
    <n v="25100.02"/>
    <x v="0"/>
    <n v="33"/>
    <s v="Male"/>
    <x v="1"/>
    <x v="2"/>
    <x v="1"/>
  </r>
  <r>
    <s v="TXN-20250520"/>
    <x v="270"/>
    <x v="518"/>
    <x v="1"/>
    <n v="11064.5"/>
    <x v="0"/>
    <n v="43"/>
    <s v="Male"/>
    <x v="2"/>
    <x v="3"/>
    <x v="0"/>
  </r>
  <r>
    <s v="TXN-20250521"/>
    <x v="249"/>
    <x v="519"/>
    <x v="2"/>
    <n v="1183.81"/>
    <x v="0"/>
    <n v="44"/>
    <s v="Female"/>
    <x v="9"/>
    <x v="1"/>
    <x v="0"/>
  </r>
  <r>
    <s v="TXN-20250522"/>
    <x v="158"/>
    <x v="520"/>
    <x v="1"/>
    <n v="6150.99"/>
    <x v="1"/>
    <n v="35"/>
    <s v="Male"/>
    <x v="2"/>
    <x v="0"/>
    <x v="3"/>
  </r>
  <r>
    <s v="TXN-20250523"/>
    <x v="251"/>
    <x v="521"/>
    <x v="0"/>
    <n v="773.8"/>
    <x v="0"/>
    <n v="44"/>
    <s v="Male"/>
    <x v="1"/>
    <x v="0"/>
    <x v="3"/>
  </r>
  <r>
    <s v="TXN-20250524"/>
    <x v="271"/>
    <x v="522"/>
    <x v="0"/>
    <n v="229.45"/>
    <x v="0"/>
    <n v="28"/>
    <s v="Female"/>
    <x v="4"/>
    <x v="0"/>
    <x v="3"/>
  </r>
  <r>
    <s v="TXN-20250525"/>
    <x v="235"/>
    <x v="523"/>
    <x v="1"/>
    <n v="54458.559999999998"/>
    <x v="0"/>
    <n v="50"/>
    <s v="Male"/>
    <x v="4"/>
    <x v="2"/>
    <x v="0"/>
  </r>
  <r>
    <s v="TXN-20250526"/>
    <x v="272"/>
    <x v="524"/>
    <x v="1"/>
    <n v="6972.24"/>
    <x v="1"/>
    <n v="37"/>
    <s v="Male"/>
    <x v="8"/>
    <x v="0"/>
    <x v="3"/>
  </r>
  <r>
    <s v="TXN-20250527"/>
    <x v="273"/>
    <x v="525"/>
    <x v="1"/>
    <n v="3829.79"/>
    <x v="2"/>
    <n v="26"/>
    <s v="Female"/>
    <x v="8"/>
    <x v="0"/>
    <x v="0"/>
  </r>
  <r>
    <s v="TXN-20250528"/>
    <x v="191"/>
    <x v="526"/>
    <x v="3"/>
    <n v="3912.27"/>
    <x v="0"/>
    <n v="27"/>
    <s v="Male"/>
    <x v="7"/>
    <x v="1"/>
    <x v="0"/>
  </r>
  <r>
    <s v="TXN-20250529"/>
    <x v="237"/>
    <x v="527"/>
    <x v="4"/>
    <n v="10000"/>
    <x v="0"/>
    <n v="24"/>
    <s v="Female"/>
    <x v="4"/>
    <x v="1"/>
    <x v="0"/>
  </r>
  <r>
    <s v="TXN-20250530"/>
    <x v="222"/>
    <x v="528"/>
    <x v="0"/>
    <n v="698.31"/>
    <x v="1"/>
    <n v="43"/>
    <s v="Male"/>
    <x v="6"/>
    <x v="2"/>
    <x v="2"/>
  </r>
  <r>
    <s v="TXN-20250531"/>
    <x v="55"/>
    <x v="529"/>
    <x v="1"/>
    <n v="6673.11"/>
    <x v="0"/>
    <n v="52"/>
    <s v="Male"/>
    <x v="4"/>
    <x v="0"/>
    <x v="3"/>
  </r>
  <r>
    <s v="TXN-20250532"/>
    <x v="274"/>
    <x v="530"/>
    <x v="3"/>
    <n v="3094.83"/>
    <x v="0"/>
    <n v="46"/>
    <s v="Female"/>
    <x v="5"/>
    <x v="0"/>
    <x v="3"/>
  </r>
  <r>
    <s v="TXN-20250533"/>
    <x v="275"/>
    <x v="531"/>
    <x v="1"/>
    <n v="26307.94"/>
    <x v="0"/>
    <n v="39"/>
    <s v="Male"/>
    <x v="7"/>
    <x v="0"/>
    <x v="0"/>
  </r>
  <r>
    <s v="TXN-20250534"/>
    <x v="205"/>
    <x v="532"/>
    <x v="1"/>
    <n v="1687.4"/>
    <x v="0"/>
    <n v="57"/>
    <s v="Male"/>
    <x v="4"/>
    <x v="1"/>
    <x v="3"/>
  </r>
  <r>
    <s v="TXN-20250535"/>
    <x v="37"/>
    <x v="533"/>
    <x v="1"/>
    <n v="65222.77"/>
    <x v="0"/>
    <n v="60"/>
    <s v="Female"/>
    <x v="8"/>
    <x v="0"/>
    <x v="0"/>
  </r>
  <r>
    <s v="TXN-20250536"/>
    <x v="43"/>
    <x v="534"/>
    <x v="1"/>
    <n v="17106.759999999998"/>
    <x v="1"/>
    <n v="49"/>
    <s v="Female"/>
    <x v="0"/>
    <x v="0"/>
    <x v="0"/>
  </r>
  <r>
    <s v="TXN-20250537"/>
    <x v="122"/>
    <x v="535"/>
    <x v="1"/>
    <n v="39482.870000000003"/>
    <x v="0"/>
    <n v="45"/>
    <s v="Female"/>
    <x v="6"/>
    <x v="0"/>
    <x v="1"/>
  </r>
  <r>
    <s v="TXN-20250538"/>
    <x v="276"/>
    <x v="536"/>
    <x v="2"/>
    <n v="9111.8700000000008"/>
    <x v="0"/>
    <n v="45"/>
    <s v="Female"/>
    <x v="4"/>
    <x v="2"/>
    <x v="3"/>
  </r>
  <r>
    <s v="TXN-20250539"/>
    <x v="275"/>
    <x v="537"/>
    <x v="3"/>
    <n v="1085"/>
    <x v="0"/>
    <n v="39"/>
    <s v="Male"/>
    <x v="7"/>
    <x v="0"/>
    <x v="0"/>
  </r>
  <r>
    <s v="TXN-20250540"/>
    <x v="15"/>
    <x v="538"/>
    <x v="1"/>
    <n v="21404.61"/>
    <x v="0"/>
    <n v="29"/>
    <s v="Male"/>
    <x v="4"/>
    <x v="1"/>
    <x v="0"/>
  </r>
  <r>
    <s v="TXN-20250541"/>
    <x v="74"/>
    <x v="539"/>
    <x v="1"/>
    <n v="25199.200000000001"/>
    <x v="0"/>
    <n v="31"/>
    <s v="Female"/>
    <x v="0"/>
    <x v="0"/>
    <x v="0"/>
  </r>
  <r>
    <s v="TXN-20250542"/>
    <x v="168"/>
    <x v="540"/>
    <x v="0"/>
    <n v="4151.42"/>
    <x v="0"/>
    <n v="28"/>
    <s v="Female"/>
    <x v="4"/>
    <x v="1"/>
    <x v="2"/>
  </r>
  <r>
    <s v="TXN-20250543"/>
    <x v="67"/>
    <x v="541"/>
    <x v="0"/>
    <n v="4232.1499999999996"/>
    <x v="1"/>
    <n v="38"/>
    <s v="Male"/>
    <x v="4"/>
    <x v="0"/>
    <x v="1"/>
  </r>
  <r>
    <s v="TXN-20250544"/>
    <x v="277"/>
    <x v="542"/>
    <x v="0"/>
    <n v="340.73"/>
    <x v="0"/>
    <n v="29"/>
    <s v="Male"/>
    <x v="1"/>
    <x v="3"/>
    <x v="3"/>
  </r>
  <r>
    <s v="TXN-20250545"/>
    <x v="73"/>
    <x v="543"/>
    <x v="0"/>
    <n v="2082.65"/>
    <x v="0"/>
    <n v="48"/>
    <s v="Female"/>
    <x v="7"/>
    <x v="2"/>
    <x v="0"/>
  </r>
  <r>
    <s v="TXN-20250546"/>
    <x v="277"/>
    <x v="544"/>
    <x v="4"/>
    <n v="2000"/>
    <x v="0"/>
    <n v="29"/>
    <s v="Male"/>
    <x v="1"/>
    <x v="3"/>
    <x v="0"/>
  </r>
  <r>
    <s v="TXN-20250547"/>
    <x v="157"/>
    <x v="545"/>
    <x v="1"/>
    <n v="6746.73"/>
    <x v="0"/>
    <n v="31"/>
    <s v="Male"/>
    <x v="4"/>
    <x v="0"/>
    <x v="0"/>
  </r>
  <r>
    <s v="TXN-20250548"/>
    <x v="2"/>
    <x v="546"/>
    <x v="0"/>
    <n v="2103.19"/>
    <x v="0"/>
    <n v="35"/>
    <s v="Male"/>
    <x v="2"/>
    <x v="0"/>
    <x v="0"/>
  </r>
  <r>
    <s v="TXN-20250549"/>
    <x v="46"/>
    <x v="547"/>
    <x v="0"/>
    <n v="2156.4899999999998"/>
    <x v="0"/>
    <n v="20"/>
    <s v="Male"/>
    <x v="5"/>
    <x v="0"/>
    <x v="0"/>
  </r>
  <r>
    <s v="TXN-20250550"/>
    <x v="240"/>
    <x v="548"/>
    <x v="1"/>
    <n v="2304.46"/>
    <x v="0"/>
    <n v="35"/>
    <s v="Male"/>
    <x v="2"/>
    <x v="0"/>
    <x v="3"/>
  </r>
  <r>
    <s v="TXN-20250551"/>
    <x v="278"/>
    <x v="549"/>
    <x v="1"/>
    <n v="5155.67"/>
    <x v="0"/>
    <n v="32"/>
    <s v="Male"/>
    <x v="4"/>
    <x v="0"/>
    <x v="3"/>
  </r>
  <r>
    <s v="TXN-20250552"/>
    <x v="132"/>
    <x v="550"/>
    <x v="1"/>
    <n v="44750.1"/>
    <x v="1"/>
    <n v="31"/>
    <s v="Male"/>
    <x v="4"/>
    <x v="2"/>
    <x v="0"/>
  </r>
  <r>
    <s v="TXN-20250553"/>
    <x v="40"/>
    <x v="551"/>
    <x v="1"/>
    <n v="113975.13"/>
    <x v="0"/>
    <n v="33"/>
    <s v="Female"/>
    <x v="7"/>
    <x v="3"/>
    <x v="0"/>
  </r>
  <r>
    <s v="TXN-20250554"/>
    <x v="279"/>
    <x v="552"/>
    <x v="1"/>
    <n v="6929.82"/>
    <x v="1"/>
    <n v="28"/>
    <s v="Male"/>
    <x v="4"/>
    <x v="0"/>
    <x v="3"/>
  </r>
  <r>
    <s v="TXN-20250555"/>
    <x v="280"/>
    <x v="553"/>
    <x v="1"/>
    <n v="5178"/>
    <x v="0"/>
    <n v="39"/>
    <s v="Male"/>
    <x v="1"/>
    <x v="0"/>
    <x v="2"/>
  </r>
  <r>
    <s v="TXN-20250556"/>
    <x v="236"/>
    <x v="554"/>
    <x v="2"/>
    <n v="4709.9799999999996"/>
    <x v="0"/>
    <n v="45"/>
    <s v="Male"/>
    <x v="4"/>
    <x v="3"/>
    <x v="0"/>
  </r>
  <r>
    <s v="TXN-20250557"/>
    <x v="42"/>
    <x v="555"/>
    <x v="0"/>
    <n v="1514.4"/>
    <x v="1"/>
    <n v="39"/>
    <s v="Male"/>
    <x v="0"/>
    <x v="3"/>
    <x v="0"/>
  </r>
  <r>
    <s v="TXN-20250558"/>
    <x v="139"/>
    <x v="556"/>
    <x v="4"/>
    <n v="2000"/>
    <x v="0"/>
    <n v="55"/>
    <s v="Female"/>
    <x v="9"/>
    <x v="2"/>
    <x v="2"/>
  </r>
  <r>
    <s v="TXN-20250559"/>
    <x v="163"/>
    <x v="557"/>
    <x v="2"/>
    <n v="11412.24"/>
    <x v="0"/>
    <n v="31"/>
    <s v="Male"/>
    <x v="4"/>
    <x v="3"/>
    <x v="0"/>
  </r>
  <r>
    <s v="TXN-20250560"/>
    <x v="262"/>
    <x v="558"/>
    <x v="3"/>
    <n v="6190.9"/>
    <x v="1"/>
    <n v="33"/>
    <s v="Male"/>
    <x v="4"/>
    <x v="1"/>
    <x v="3"/>
  </r>
  <r>
    <s v="TXN-20250561"/>
    <x v="234"/>
    <x v="559"/>
    <x v="2"/>
    <n v="2403.88"/>
    <x v="0"/>
    <n v="55"/>
    <s v="Male"/>
    <x v="3"/>
    <x v="1"/>
    <x v="2"/>
  </r>
  <r>
    <s v="TXN-20250562"/>
    <x v="137"/>
    <x v="560"/>
    <x v="1"/>
    <n v="6949.12"/>
    <x v="0"/>
    <n v="25"/>
    <s v="Male"/>
    <x v="7"/>
    <x v="2"/>
    <x v="1"/>
  </r>
  <r>
    <s v="TXN-20250563"/>
    <x v="185"/>
    <x v="561"/>
    <x v="1"/>
    <n v="6689.15"/>
    <x v="1"/>
    <n v="26"/>
    <s v="Male"/>
    <x v="0"/>
    <x v="3"/>
    <x v="1"/>
  </r>
  <r>
    <s v="TXN-20250564"/>
    <x v="179"/>
    <x v="562"/>
    <x v="1"/>
    <n v="8555.82"/>
    <x v="0"/>
    <n v="35"/>
    <s v="Male"/>
    <x v="1"/>
    <x v="0"/>
    <x v="0"/>
  </r>
  <r>
    <s v="TXN-20250565"/>
    <x v="184"/>
    <x v="563"/>
    <x v="0"/>
    <n v="10234.58"/>
    <x v="0"/>
    <n v="28"/>
    <s v="Male"/>
    <x v="7"/>
    <x v="0"/>
    <x v="0"/>
  </r>
  <r>
    <s v="TXN-20250566"/>
    <x v="115"/>
    <x v="564"/>
    <x v="0"/>
    <n v="4415.17"/>
    <x v="1"/>
    <n v="60"/>
    <s v="Female"/>
    <x v="1"/>
    <x v="0"/>
    <x v="2"/>
  </r>
  <r>
    <s v="TXN-20250567"/>
    <x v="281"/>
    <x v="565"/>
    <x v="1"/>
    <n v="7621.27"/>
    <x v="0"/>
    <n v="30"/>
    <s v="Male"/>
    <x v="4"/>
    <x v="1"/>
    <x v="0"/>
  </r>
  <r>
    <s v="TXN-20250568"/>
    <x v="194"/>
    <x v="566"/>
    <x v="1"/>
    <n v="31701.759999999998"/>
    <x v="0"/>
    <n v="29"/>
    <s v="Male"/>
    <x v="4"/>
    <x v="2"/>
    <x v="0"/>
  </r>
  <r>
    <s v="TXN-20250569"/>
    <x v="28"/>
    <x v="567"/>
    <x v="1"/>
    <n v="1830.22"/>
    <x v="0"/>
    <n v="36"/>
    <s v="Male"/>
    <x v="9"/>
    <x v="0"/>
    <x v="2"/>
  </r>
  <r>
    <s v="TXN-20250570"/>
    <x v="179"/>
    <x v="568"/>
    <x v="1"/>
    <n v="40406.400000000001"/>
    <x v="0"/>
    <n v="35"/>
    <s v="Male"/>
    <x v="1"/>
    <x v="0"/>
    <x v="3"/>
  </r>
  <r>
    <s v="TXN-20250571"/>
    <x v="239"/>
    <x v="569"/>
    <x v="3"/>
    <n v="3916.43"/>
    <x v="0"/>
    <n v="41"/>
    <s v="Male"/>
    <x v="2"/>
    <x v="0"/>
    <x v="3"/>
  </r>
  <r>
    <s v="TXN-20250572"/>
    <x v="282"/>
    <x v="570"/>
    <x v="2"/>
    <n v="32954.18"/>
    <x v="0"/>
    <n v="26"/>
    <s v="Male"/>
    <x v="4"/>
    <x v="0"/>
    <x v="0"/>
  </r>
  <r>
    <s v="TXN-20250573"/>
    <x v="127"/>
    <x v="571"/>
    <x v="1"/>
    <n v="24403.51"/>
    <x v="0"/>
    <n v="40"/>
    <s v="Male"/>
    <x v="4"/>
    <x v="0"/>
    <x v="2"/>
  </r>
  <r>
    <s v="TXN-20250574"/>
    <x v="283"/>
    <x v="572"/>
    <x v="3"/>
    <n v="4783.09"/>
    <x v="0"/>
    <n v="50"/>
    <s v="Male"/>
    <x v="8"/>
    <x v="2"/>
    <x v="2"/>
  </r>
  <r>
    <s v="TXN-20250575"/>
    <x v="284"/>
    <x v="573"/>
    <x v="1"/>
    <n v="58997.75"/>
    <x v="0"/>
    <n v="56"/>
    <s v="Female"/>
    <x v="4"/>
    <x v="0"/>
    <x v="3"/>
  </r>
  <r>
    <s v="TXN-20250576"/>
    <x v="249"/>
    <x v="574"/>
    <x v="1"/>
    <n v="198970.79"/>
    <x v="0"/>
    <n v="44"/>
    <s v="Female"/>
    <x v="9"/>
    <x v="1"/>
    <x v="0"/>
  </r>
  <r>
    <s v="TXN-20250577"/>
    <x v="207"/>
    <x v="575"/>
    <x v="1"/>
    <n v="7111.86"/>
    <x v="0"/>
    <n v="36"/>
    <s v="Female"/>
    <x v="1"/>
    <x v="0"/>
    <x v="0"/>
  </r>
  <r>
    <s v="TXN-20250578"/>
    <x v="264"/>
    <x v="576"/>
    <x v="4"/>
    <n v="2000"/>
    <x v="0"/>
    <n v="22"/>
    <s v="Female"/>
    <x v="2"/>
    <x v="2"/>
    <x v="3"/>
  </r>
  <r>
    <s v="TXN-20250579"/>
    <x v="285"/>
    <x v="577"/>
    <x v="1"/>
    <n v="7748.66"/>
    <x v="0"/>
    <n v="28"/>
    <s v="Male"/>
    <x v="4"/>
    <x v="0"/>
    <x v="2"/>
  </r>
  <r>
    <s v="TXN-20250580"/>
    <x v="177"/>
    <x v="578"/>
    <x v="1"/>
    <n v="32578.23"/>
    <x v="0"/>
    <n v="44"/>
    <s v="Female"/>
    <x v="4"/>
    <x v="3"/>
    <x v="3"/>
  </r>
  <r>
    <s v="TXN-20250581"/>
    <x v="22"/>
    <x v="579"/>
    <x v="1"/>
    <n v="28791.88"/>
    <x v="0"/>
    <n v="20"/>
    <s v="Female"/>
    <x v="1"/>
    <x v="0"/>
    <x v="0"/>
  </r>
  <r>
    <s v="TXN-20250582"/>
    <x v="12"/>
    <x v="580"/>
    <x v="0"/>
    <n v="655.91"/>
    <x v="0"/>
    <n v="27"/>
    <s v="Male"/>
    <x v="7"/>
    <x v="0"/>
    <x v="3"/>
  </r>
  <r>
    <s v="TXN-20250583"/>
    <x v="149"/>
    <x v="581"/>
    <x v="0"/>
    <n v="798.55"/>
    <x v="0"/>
    <n v="35"/>
    <s v="Male"/>
    <x v="4"/>
    <x v="2"/>
    <x v="0"/>
  </r>
  <r>
    <s v="TXN-20250584"/>
    <x v="286"/>
    <x v="582"/>
    <x v="3"/>
    <n v="14753.36"/>
    <x v="1"/>
    <n v="39"/>
    <s v="Female"/>
    <x v="6"/>
    <x v="1"/>
    <x v="1"/>
  </r>
  <r>
    <s v="TXN-20250585"/>
    <x v="99"/>
    <x v="583"/>
    <x v="2"/>
    <n v="7707.73"/>
    <x v="0"/>
    <n v="25"/>
    <s v="Female"/>
    <x v="7"/>
    <x v="1"/>
    <x v="3"/>
  </r>
  <r>
    <s v="TXN-20250586"/>
    <x v="198"/>
    <x v="584"/>
    <x v="1"/>
    <n v="6564.07"/>
    <x v="0"/>
    <n v="30"/>
    <s v="Female"/>
    <x v="7"/>
    <x v="1"/>
    <x v="2"/>
  </r>
  <r>
    <s v="TXN-20250587"/>
    <x v="212"/>
    <x v="585"/>
    <x v="4"/>
    <n v="10000"/>
    <x v="0"/>
    <n v="47"/>
    <s v="Male"/>
    <x v="4"/>
    <x v="0"/>
    <x v="0"/>
  </r>
  <r>
    <s v="TXN-20250588"/>
    <x v="75"/>
    <x v="586"/>
    <x v="1"/>
    <n v="11429.57"/>
    <x v="0"/>
    <n v="40"/>
    <s v="Female"/>
    <x v="4"/>
    <x v="2"/>
    <x v="3"/>
  </r>
  <r>
    <s v="TXN-20250589"/>
    <x v="218"/>
    <x v="587"/>
    <x v="1"/>
    <n v="29627.759999999998"/>
    <x v="0"/>
    <n v="25"/>
    <s v="Male"/>
    <x v="9"/>
    <x v="2"/>
    <x v="3"/>
  </r>
  <r>
    <s v="TXN-20250590"/>
    <x v="134"/>
    <x v="588"/>
    <x v="3"/>
    <n v="3221.04"/>
    <x v="0"/>
    <n v="34"/>
    <s v="Male"/>
    <x v="7"/>
    <x v="3"/>
    <x v="1"/>
  </r>
  <r>
    <s v="TXN-20250591"/>
    <x v="287"/>
    <x v="589"/>
    <x v="4"/>
    <n v="2000"/>
    <x v="0"/>
    <n v="38"/>
    <s v="Female"/>
    <x v="9"/>
    <x v="2"/>
    <x v="0"/>
  </r>
  <r>
    <s v="TXN-20250592"/>
    <x v="200"/>
    <x v="590"/>
    <x v="1"/>
    <n v="50121.15"/>
    <x v="0"/>
    <n v="31"/>
    <s v="Male"/>
    <x v="7"/>
    <x v="0"/>
    <x v="1"/>
  </r>
  <r>
    <s v="TXN-20250593"/>
    <x v="95"/>
    <x v="591"/>
    <x v="1"/>
    <n v="81355.839999999997"/>
    <x v="0"/>
    <n v="49"/>
    <s v="Female"/>
    <x v="0"/>
    <x v="0"/>
    <x v="3"/>
  </r>
  <r>
    <s v="TXN-20250594"/>
    <x v="176"/>
    <x v="592"/>
    <x v="1"/>
    <n v="106756.19"/>
    <x v="0"/>
    <n v="35"/>
    <s v="Male"/>
    <x v="0"/>
    <x v="0"/>
    <x v="3"/>
  </r>
  <r>
    <s v="TXN-20250595"/>
    <x v="95"/>
    <x v="593"/>
    <x v="3"/>
    <n v="4404.28"/>
    <x v="0"/>
    <n v="49"/>
    <s v="Female"/>
    <x v="0"/>
    <x v="0"/>
    <x v="3"/>
  </r>
  <r>
    <s v="TXN-20250596"/>
    <x v="196"/>
    <x v="594"/>
    <x v="1"/>
    <n v="2103.0100000000002"/>
    <x v="0"/>
    <n v="42"/>
    <s v="Female"/>
    <x v="9"/>
    <x v="1"/>
    <x v="0"/>
  </r>
  <r>
    <s v="TXN-20250597"/>
    <x v="53"/>
    <x v="595"/>
    <x v="0"/>
    <n v="438.34"/>
    <x v="0"/>
    <n v="24"/>
    <s v="Male"/>
    <x v="7"/>
    <x v="0"/>
    <x v="0"/>
  </r>
  <r>
    <s v="TXN-20250598"/>
    <x v="74"/>
    <x v="596"/>
    <x v="0"/>
    <n v="477.02"/>
    <x v="0"/>
    <n v="31"/>
    <s v="Female"/>
    <x v="0"/>
    <x v="0"/>
    <x v="3"/>
  </r>
  <r>
    <s v="TXN-20250599"/>
    <x v="288"/>
    <x v="597"/>
    <x v="2"/>
    <n v="3687.17"/>
    <x v="0"/>
    <n v="27"/>
    <s v="Female"/>
    <x v="4"/>
    <x v="0"/>
    <x v="3"/>
  </r>
  <r>
    <s v="TXN-20250600"/>
    <x v="43"/>
    <x v="598"/>
    <x v="1"/>
    <n v="16885.52"/>
    <x v="0"/>
    <n v="49"/>
    <s v="Female"/>
    <x v="0"/>
    <x v="0"/>
    <x v="2"/>
  </r>
  <r>
    <s v="TXN-20250601"/>
    <x v="138"/>
    <x v="599"/>
    <x v="1"/>
    <n v="7213.68"/>
    <x v="1"/>
    <n v="38"/>
    <s v="Male"/>
    <x v="4"/>
    <x v="0"/>
    <x v="0"/>
  </r>
  <r>
    <s v="TXN-20250602"/>
    <x v="289"/>
    <x v="600"/>
    <x v="1"/>
    <n v="26063.93"/>
    <x v="0"/>
    <n v="27"/>
    <s v="Female"/>
    <x v="0"/>
    <x v="3"/>
    <x v="3"/>
  </r>
  <r>
    <s v="TXN-20250603"/>
    <x v="39"/>
    <x v="601"/>
    <x v="0"/>
    <n v="785.31"/>
    <x v="0"/>
    <n v="47"/>
    <s v="Female"/>
    <x v="4"/>
    <x v="0"/>
    <x v="3"/>
  </r>
  <r>
    <s v="TXN-20250604"/>
    <x v="81"/>
    <x v="602"/>
    <x v="1"/>
    <n v="14340.97"/>
    <x v="0"/>
    <n v="50"/>
    <s v="Female"/>
    <x v="2"/>
    <x v="2"/>
    <x v="3"/>
  </r>
  <r>
    <s v="TXN-20250605"/>
    <x v="152"/>
    <x v="603"/>
    <x v="0"/>
    <n v="1335.29"/>
    <x v="1"/>
    <n v="39"/>
    <s v="Male"/>
    <x v="5"/>
    <x v="0"/>
    <x v="3"/>
  </r>
  <r>
    <s v="TXN-20250606"/>
    <x v="237"/>
    <x v="604"/>
    <x v="0"/>
    <n v="1027.49"/>
    <x v="0"/>
    <n v="24"/>
    <s v="Female"/>
    <x v="4"/>
    <x v="1"/>
    <x v="0"/>
  </r>
  <r>
    <s v="TXN-20250607"/>
    <x v="121"/>
    <x v="605"/>
    <x v="1"/>
    <n v="1267"/>
    <x v="0"/>
    <n v="49"/>
    <s v="Male"/>
    <x v="7"/>
    <x v="0"/>
    <x v="0"/>
  </r>
  <r>
    <s v="TXN-20250608"/>
    <x v="259"/>
    <x v="606"/>
    <x v="1"/>
    <n v="31149.7"/>
    <x v="0"/>
    <n v="42"/>
    <s v="Male"/>
    <x v="9"/>
    <x v="0"/>
    <x v="1"/>
  </r>
  <r>
    <s v="TXN-20250609"/>
    <x v="174"/>
    <x v="607"/>
    <x v="3"/>
    <n v="13400.65"/>
    <x v="0"/>
    <n v="27"/>
    <s v="Male"/>
    <x v="4"/>
    <x v="0"/>
    <x v="0"/>
  </r>
  <r>
    <s v="TXN-20250610"/>
    <x v="290"/>
    <x v="608"/>
    <x v="1"/>
    <n v="4748.67"/>
    <x v="0"/>
    <n v="29"/>
    <s v="Male"/>
    <x v="1"/>
    <x v="0"/>
    <x v="3"/>
  </r>
  <r>
    <s v="TXN-20250611"/>
    <x v="61"/>
    <x v="609"/>
    <x v="1"/>
    <n v="33598.5"/>
    <x v="0"/>
    <n v="31"/>
    <s v="Female"/>
    <x v="3"/>
    <x v="3"/>
    <x v="0"/>
  </r>
  <r>
    <s v="TXN-20250612"/>
    <x v="266"/>
    <x v="610"/>
    <x v="1"/>
    <n v="6134.39"/>
    <x v="0"/>
    <n v="35"/>
    <s v="Female"/>
    <x v="1"/>
    <x v="3"/>
    <x v="3"/>
  </r>
  <r>
    <s v="TXN-20250613"/>
    <x v="291"/>
    <x v="611"/>
    <x v="0"/>
    <n v="3054.79"/>
    <x v="1"/>
    <n v="32"/>
    <s v="Male"/>
    <x v="9"/>
    <x v="1"/>
    <x v="3"/>
  </r>
  <r>
    <s v="TXN-20250614"/>
    <x v="172"/>
    <x v="612"/>
    <x v="0"/>
    <n v="395.51"/>
    <x v="0"/>
    <n v="25"/>
    <s v="Male"/>
    <x v="4"/>
    <x v="2"/>
    <x v="2"/>
  </r>
  <r>
    <s v="TXN-20250615"/>
    <x v="184"/>
    <x v="613"/>
    <x v="2"/>
    <n v="2908.29"/>
    <x v="0"/>
    <n v="28"/>
    <s v="Male"/>
    <x v="7"/>
    <x v="0"/>
    <x v="0"/>
  </r>
  <r>
    <s v="TXN-20250616"/>
    <x v="292"/>
    <x v="614"/>
    <x v="1"/>
    <n v="35795.43"/>
    <x v="0"/>
    <n v="25"/>
    <s v="Female"/>
    <x v="4"/>
    <x v="0"/>
    <x v="0"/>
  </r>
  <r>
    <s v="TXN-20250617"/>
    <x v="293"/>
    <x v="615"/>
    <x v="1"/>
    <n v="103051.93"/>
    <x v="0"/>
    <n v="45"/>
    <s v="Female"/>
    <x v="4"/>
    <x v="0"/>
    <x v="0"/>
  </r>
  <r>
    <s v="TXN-20250618"/>
    <x v="76"/>
    <x v="616"/>
    <x v="2"/>
    <n v="1148.3"/>
    <x v="0"/>
    <n v="38"/>
    <s v="Female"/>
    <x v="4"/>
    <x v="1"/>
    <x v="0"/>
  </r>
  <r>
    <s v="TXN-20250619"/>
    <x v="279"/>
    <x v="617"/>
    <x v="0"/>
    <n v="1362"/>
    <x v="0"/>
    <n v="28"/>
    <s v="Male"/>
    <x v="4"/>
    <x v="0"/>
    <x v="0"/>
  </r>
  <r>
    <s v="TXN-20250620"/>
    <x v="58"/>
    <x v="618"/>
    <x v="3"/>
    <n v="7943.84"/>
    <x v="0"/>
    <n v="30"/>
    <s v="Female"/>
    <x v="4"/>
    <x v="1"/>
    <x v="0"/>
  </r>
  <r>
    <s v="TXN-20250621"/>
    <x v="294"/>
    <x v="619"/>
    <x v="1"/>
    <n v="12833.31"/>
    <x v="0"/>
    <n v="39"/>
    <s v="Female"/>
    <x v="1"/>
    <x v="0"/>
    <x v="0"/>
  </r>
  <r>
    <s v="TXN-20250622"/>
    <x v="131"/>
    <x v="620"/>
    <x v="3"/>
    <n v="1383.62"/>
    <x v="0"/>
    <n v="48"/>
    <s v="Male"/>
    <x v="4"/>
    <x v="0"/>
    <x v="2"/>
  </r>
  <r>
    <s v="TXN-20250623"/>
    <x v="201"/>
    <x v="621"/>
    <x v="2"/>
    <n v="1472.45"/>
    <x v="0"/>
    <n v="28"/>
    <s v="Female"/>
    <x v="4"/>
    <x v="0"/>
    <x v="0"/>
  </r>
  <r>
    <s v="TXN-20250624"/>
    <x v="295"/>
    <x v="622"/>
    <x v="1"/>
    <n v="3028.74"/>
    <x v="0"/>
    <n v="37"/>
    <s v="Female"/>
    <x v="4"/>
    <x v="2"/>
    <x v="0"/>
  </r>
  <r>
    <s v="TXN-20250625"/>
    <x v="41"/>
    <x v="623"/>
    <x v="0"/>
    <n v="753.64"/>
    <x v="0"/>
    <n v="21"/>
    <s v="Female"/>
    <x v="0"/>
    <x v="0"/>
    <x v="2"/>
  </r>
  <r>
    <s v="TXN-20250626"/>
    <x v="180"/>
    <x v="624"/>
    <x v="1"/>
    <n v="76758.97"/>
    <x v="1"/>
    <n v="39"/>
    <s v="Female"/>
    <x v="7"/>
    <x v="3"/>
    <x v="0"/>
  </r>
  <r>
    <s v="TXN-20250627"/>
    <x v="78"/>
    <x v="625"/>
    <x v="1"/>
    <n v="27055.63"/>
    <x v="0"/>
    <n v="33"/>
    <s v="Male"/>
    <x v="4"/>
    <x v="2"/>
    <x v="1"/>
  </r>
  <r>
    <s v="TXN-20250628"/>
    <x v="296"/>
    <x v="626"/>
    <x v="1"/>
    <n v="10215.67"/>
    <x v="0"/>
    <n v="51"/>
    <s v="Female"/>
    <x v="6"/>
    <x v="2"/>
    <x v="3"/>
  </r>
  <r>
    <s v="TXN-20250629"/>
    <x v="244"/>
    <x v="627"/>
    <x v="3"/>
    <n v="1067.01"/>
    <x v="0"/>
    <n v="42"/>
    <s v="Female"/>
    <x v="2"/>
    <x v="1"/>
    <x v="0"/>
  </r>
  <r>
    <s v="TXN-20250630"/>
    <x v="128"/>
    <x v="628"/>
    <x v="2"/>
    <n v="12395.44"/>
    <x v="0"/>
    <n v="55"/>
    <s v="Male"/>
    <x v="4"/>
    <x v="2"/>
    <x v="3"/>
  </r>
  <r>
    <s v="TXN-20250631"/>
    <x v="235"/>
    <x v="629"/>
    <x v="1"/>
    <n v="93412.62"/>
    <x v="1"/>
    <n v="50"/>
    <s v="Male"/>
    <x v="4"/>
    <x v="2"/>
    <x v="2"/>
  </r>
  <r>
    <s v="TXN-20250632"/>
    <x v="157"/>
    <x v="630"/>
    <x v="4"/>
    <n v="20000"/>
    <x v="0"/>
    <n v="31"/>
    <s v="Male"/>
    <x v="4"/>
    <x v="0"/>
    <x v="3"/>
  </r>
  <r>
    <s v="TXN-20250633"/>
    <x v="297"/>
    <x v="631"/>
    <x v="3"/>
    <n v="928.99"/>
    <x v="0"/>
    <n v="60"/>
    <s v="Male"/>
    <x v="1"/>
    <x v="0"/>
    <x v="3"/>
  </r>
  <r>
    <s v="TXN-20250634"/>
    <x v="28"/>
    <x v="632"/>
    <x v="0"/>
    <n v="606.54999999999995"/>
    <x v="0"/>
    <n v="36"/>
    <s v="Male"/>
    <x v="9"/>
    <x v="0"/>
    <x v="0"/>
  </r>
  <r>
    <s v="TXN-20250635"/>
    <x v="218"/>
    <x v="633"/>
    <x v="1"/>
    <n v="163575.35999999999"/>
    <x v="0"/>
    <n v="25"/>
    <s v="Male"/>
    <x v="9"/>
    <x v="2"/>
    <x v="0"/>
  </r>
  <r>
    <s v="TXN-20250636"/>
    <x v="141"/>
    <x v="634"/>
    <x v="1"/>
    <n v="23174.66"/>
    <x v="0"/>
    <n v="51"/>
    <s v="Male"/>
    <x v="1"/>
    <x v="0"/>
    <x v="0"/>
  </r>
  <r>
    <s v="TXN-20250637"/>
    <x v="44"/>
    <x v="635"/>
    <x v="1"/>
    <n v="21885.16"/>
    <x v="0"/>
    <n v="26"/>
    <s v="Male"/>
    <x v="9"/>
    <x v="1"/>
    <x v="3"/>
  </r>
  <r>
    <s v="TXN-20250638"/>
    <x v="122"/>
    <x v="636"/>
    <x v="1"/>
    <n v="14434.11"/>
    <x v="0"/>
    <n v="45"/>
    <s v="Female"/>
    <x v="6"/>
    <x v="0"/>
    <x v="3"/>
  </r>
  <r>
    <s v="TXN-20250639"/>
    <x v="229"/>
    <x v="637"/>
    <x v="0"/>
    <n v="2083.23"/>
    <x v="1"/>
    <n v="22"/>
    <s v="Male"/>
    <x v="1"/>
    <x v="2"/>
    <x v="0"/>
  </r>
  <r>
    <s v="TXN-20250640"/>
    <x v="298"/>
    <x v="638"/>
    <x v="4"/>
    <n v="20000"/>
    <x v="1"/>
    <n v="38"/>
    <s v="Female"/>
    <x v="1"/>
    <x v="0"/>
    <x v="0"/>
  </r>
  <r>
    <s v="TXN-20250641"/>
    <x v="10"/>
    <x v="639"/>
    <x v="3"/>
    <n v="10180.4"/>
    <x v="0"/>
    <n v="60"/>
    <s v="Female"/>
    <x v="4"/>
    <x v="2"/>
    <x v="0"/>
  </r>
  <r>
    <s v="TXN-20250642"/>
    <x v="299"/>
    <x v="640"/>
    <x v="3"/>
    <n v="8234.57"/>
    <x v="0"/>
    <n v="43"/>
    <s v="Male"/>
    <x v="8"/>
    <x v="0"/>
    <x v="0"/>
  </r>
  <r>
    <s v="TXN-20250643"/>
    <x v="136"/>
    <x v="641"/>
    <x v="1"/>
    <n v="25059.25"/>
    <x v="0"/>
    <n v="31"/>
    <s v="Male"/>
    <x v="3"/>
    <x v="2"/>
    <x v="0"/>
  </r>
  <r>
    <s v="TXN-20250644"/>
    <x v="119"/>
    <x v="642"/>
    <x v="0"/>
    <n v="577.87"/>
    <x v="1"/>
    <n v="31"/>
    <s v="Male"/>
    <x v="4"/>
    <x v="3"/>
    <x v="2"/>
  </r>
  <r>
    <s v="TXN-20250645"/>
    <x v="208"/>
    <x v="643"/>
    <x v="1"/>
    <n v="24384.959999999999"/>
    <x v="0"/>
    <n v="39"/>
    <s v="Female"/>
    <x v="4"/>
    <x v="0"/>
    <x v="2"/>
  </r>
  <r>
    <s v="TXN-20250646"/>
    <x v="56"/>
    <x v="644"/>
    <x v="0"/>
    <n v="2717.77"/>
    <x v="0"/>
    <n v="31"/>
    <s v="Male"/>
    <x v="4"/>
    <x v="2"/>
    <x v="0"/>
  </r>
  <r>
    <s v="TXN-20250647"/>
    <x v="84"/>
    <x v="645"/>
    <x v="0"/>
    <n v="3147.41"/>
    <x v="0"/>
    <n v="21"/>
    <s v="Male"/>
    <x v="3"/>
    <x v="1"/>
    <x v="0"/>
  </r>
  <r>
    <s v="TXN-20250648"/>
    <x v="122"/>
    <x v="646"/>
    <x v="0"/>
    <n v="851.66"/>
    <x v="0"/>
    <n v="45"/>
    <s v="Female"/>
    <x v="6"/>
    <x v="0"/>
    <x v="2"/>
  </r>
  <r>
    <s v="TXN-20250649"/>
    <x v="300"/>
    <x v="647"/>
    <x v="0"/>
    <n v="201.62"/>
    <x v="0"/>
    <n v="35"/>
    <s v="Female"/>
    <x v="4"/>
    <x v="2"/>
    <x v="3"/>
  </r>
  <r>
    <s v="TXN-20250650"/>
    <x v="87"/>
    <x v="648"/>
    <x v="0"/>
    <n v="4030.59"/>
    <x v="0"/>
    <n v="35"/>
    <s v="Female"/>
    <x v="8"/>
    <x v="0"/>
    <x v="0"/>
  </r>
  <r>
    <s v="TXN-20250651"/>
    <x v="141"/>
    <x v="649"/>
    <x v="1"/>
    <n v="5690.23"/>
    <x v="0"/>
    <n v="51"/>
    <s v="Male"/>
    <x v="1"/>
    <x v="0"/>
    <x v="0"/>
  </r>
  <r>
    <s v="TXN-20250652"/>
    <x v="112"/>
    <x v="650"/>
    <x v="2"/>
    <n v="3039.95"/>
    <x v="0"/>
    <n v="52"/>
    <s v="Female"/>
    <x v="4"/>
    <x v="0"/>
    <x v="0"/>
  </r>
  <r>
    <s v="TXN-20250653"/>
    <x v="215"/>
    <x v="651"/>
    <x v="1"/>
    <n v="14365.24"/>
    <x v="0"/>
    <n v="57"/>
    <s v="Male"/>
    <x v="9"/>
    <x v="0"/>
    <x v="0"/>
  </r>
  <r>
    <s v="TXN-20250654"/>
    <x v="118"/>
    <x v="652"/>
    <x v="1"/>
    <n v="7425.19"/>
    <x v="0"/>
    <n v="36"/>
    <s v="Male"/>
    <x v="4"/>
    <x v="0"/>
    <x v="3"/>
  </r>
  <r>
    <s v="TXN-20250655"/>
    <x v="156"/>
    <x v="653"/>
    <x v="0"/>
    <n v="3531.81"/>
    <x v="0"/>
    <n v="26"/>
    <s v="Male"/>
    <x v="2"/>
    <x v="0"/>
    <x v="2"/>
  </r>
  <r>
    <s v="TXN-20250656"/>
    <x v="205"/>
    <x v="654"/>
    <x v="2"/>
    <n v="6004.19"/>
    <x v="0"/>
    <n v="57"/>
    <s v="Male"/>
    <x v="4"/>
    <x v="1"/>
    <x v="0"/>
  </r>
  <r>
    <s v="TXN-20250657"/>
    <x v="301"/>
    <x v="655"/>
    <x v="1"/>
    <n v="18258.400000000001"/>
    <x v="0"/>
    <n v="39"/>
    <s v="Female"/>
    <x v="4"/>
    <x v="0"/>
    <x v="0"/>
  </r>
  <r>
    <s v="TXN-20250658"/>
    <x v="226"/>
    <x v="656"/>
    <x v="0"/>
    <n v="646.26"/>
    <x v="0"/>
    <n v="22"/>
    <s v="Male"/>
    <x v="4"/>
    <x v="1"/>
    <x v="0"/>
  </r>
  <r>
    <s v="TXN-20250659"/>
    <x v="277"/>
    <x v="657"/>
    <x v="4"/>
    <n v="40000"/>
    <x v="0"/>
    <n v="29"/>
    <s v="Male"/>
    <x v="1"/>
    <x v="3"/>
    <x v="1"/>
  </r>
  <r>
    <s v="TXN-20250660"/>
    <x v="145"/>
    <x v="658"/>
    <x v="2"/>
    <n v="20661.3"/>
    <x v="0"/>
    <n v="25"/>
    <s v="Female"/>
    <x v="4"/>
    <x v="1"/>
    <x v="0"/>
  </r>
  <r>
    <s v="TXN-20250661"/>
    <x v="24"/>
    <x v="659"/>
    <x v="0"/>
    <n v="1567.61"/>
    <x v="0"/>
    <n v="41"/>
    <s v="Female"/>
    <x v="7"/>
    <x v="0"/>
    <x v="0"/>
  </r>
  <r>
    <s v="TXN-20250662"/>
    <x v="122"/>
    <x v="660"/>
    <x v="3"/>
    <n v="6300.85"/>
    <x v="1"/>
    <n v="45"/>
    <s v="Female"/>
    <x v="6"/>
    <x v="0"/>
    <x v="0"/>
  </r>
  <r>
    <s v="TXN-20250663"/>
    <x v="147"/>
    <x v="661"/>
    <x v="0"/>
    <n v="1642.56"/>
    <x v="0"/>
    <n v="28"/>
    <s v="Male"/>
    <x v="4"/>
    <x v="2"/>
    <x v="0"/>
  </r>
  <r>
    <s v="TXN-20250664"/>
    <x v="11"/>
    <x v="662"/>
    <x v="4"/>
    <n v="5000"/>
    <x v="0"/>
    <n v="64"/>
    <s v="Female"/>
    <x v="3"/>
    <x v="2"/>
    <x v="0"/>
  </r>
  <r>
    <s v="TXN-20250665"/>
    <x v="234"/>
    <x v="663"/>
    <x v="0"/>
    <n v="660.65"/>
    <x v="0"/>
    <n v="55"/>
    <s v="Male"/>
    <x v="3"/>
    <x v="1"/>
    <x v="2"/>
  </r>
  <r>
    <s v="TXN-20250666"/>
    <x v="236"/>
    <x v="664"/>
    <x v="0"/>
    <n v="511.64"/>
    <x v="0"/>
    <n v="45"/>
    <s v="Male"/>
    <x v="4"/>
    <x v="3"/>
    <x v="3"/>
  </r>
  <r>
    <s v="TXN-20250667"/>
    <x v="152"/>
    <x v="665"/>
    <x v="1"/>
    <n v="30658.97"/>
    <x v="1"/>
    <n v="39"/>
    <s v="Male"/>
    <x v="5"/>
    <x v="0"/>
    <x v="0"/>
  </r>
  <r>
    <s v="TXN-20250668"/>
    <x v="99"/>
    <x v="666"/>
    <x v="1"/>
    <n v="9386.4699999999993"/>
    <x v="0"/>
    <n v="25"/>
    <s v="Female"/>
    <x v="7"/>
    <x v="1"/>
    <x v="0"/>
  </r>
  <r>
    <s v="TXN-20250669"/>
    <x v="99"/>
    <x v="667"/>
    <x v="3"/>
    <n v="15306.47"/>
    <x v="0"/>
    <n v="25"/>
    <s v="Female"/>
    <x v="7"/>
    <x v="1"/>
    <x v="0"/>
  </r>
  <r>
    <s v="TXN-20250670"/>
    <x v="252"/>
    <x v="668"/>
    <x v="4"/>
    <n v="10000"/>
    <x v="0"/>
    <n v="20"/>
    <s v="Male"/>
    <x v="6"/>
    <x v="0"/>
    <x v="0"/>
  </r>
  <r>
    <s v="TXN-20250671"/>
    <x v="72"/>
    <x v="669"/>
    <x v="1"/>
    <n v="50207.9"/>
    <x v="1"/>
    <n v="25"/>
    <s v="Male"/>
    <x v="4"/>
    <x v="0"/>
    <x v="0"/>
  </r>
  <r>
    <s v="TXN-20250672"/>
    <x v="302"/>
    <x v="670"/>
    <x v="0"/>
    <n v="2764.24"/>
    <x v="0"/>
    <n v="39"/>
    <s v="Male"/>
    <x v="1"/>
    <x v="2"/>
    <x v="0"/>
  </r>
  <r>
    <s v="TXN-20250673"/>
    <x v="241"/>
    <x v="671"/>
    <x v="1"/>
    <n v="11946.17"/>
    <x v="0"/>
    <n v="44"/>
    <s v="Male"/>
    <x v="4"/>
    <x v="1"/>
    <x v="0"/>
  </r>
  <r>
    <s v="TXN-20250674"/>
    <x v="193"/>
    <x v="672"/>
    <x v="0"/>
    <n v="1151.01"/>
    <x v="1"/>
    <n v="26"/>
    <s v="Male"/>
    <x v="4"/>
    <x v="0"/>
    <x v="0"/>
  </r>
  <r>
    <s v="TXN-20250675"/>
    <x v="53"/>
    <x v="673"/>
    <x v="1"/>
    <n v="8421.1299999999992"/>
    <x v="1"/>
    <n v="24"/>
    <s v="Male"/>
    <x v="7"/>
    <x v="0"/>
    <x v="2"/>
  </r>
  <r>
    <s v="TXN-20250676"/>
    <x v="259"/>
    <x v="674"/>
    <x v="1"/>
    <n v="32351.86"/>
    <x v="0"/>
    <n v="42"/>
    <s v="Male"/>
    <x v="9"/>
    <x v="0"/>
    <x v="3"/>
  </r>
  <r>
    <s v="TXN-20250677"/>
    <x v="215"/>
    <x v="675"/>
    <x v="3"/>
    <n v="606.30999999999995"/>
    <x v="0"/>
    <n v="57"/>
    <s v="Male"/>
    <x v="9"/>
    <x v="0"/>
    <x v="0"/>
  </r>
  <r>
    <s v="TXN-20250678"/>
    <x v="71"/>
    <x v="676"/>
    <x v="1"/>
    <n v="5110.0600000000004"/>
    <x v="0"/>
    <n v="27"/>
    <s v="Male"/>
    <x v="1"/>
    <x v="0"/>
    <x v="2"/>
  </r>
  <r>
    <s v="TXN-20250679"/>
    <x v="303"/>
    <x v="677"/>
    <x v="3"/>
    <n v="13430.17"/>
    <x v="0"/>
    <n v="46"/>
    <s v="Male"/>
    <x v="4"/>
    <x v="0"/>
    <x v="3"/>
  </r>
  <r>
    <s v="TXN-20250680"/>
    <x v="104"/>
    <x v="678"/>
    <x v="2"/>
    <n v="4787.37"/>
    <x v="0"/>
    <n v="50"/>
    <s v="Female"/>
    <x v="7"/>
    <x v="2"/>
    <x v="3"/>
  </r>
  <r>
    <s v="TXN-20250681"/>
    <x v="202"/>
    <x v="679"/>
    <x v="2"/>
    <n v="16960.400000000001"/>
    <x v="0"/>
    <n v="37"/>
    <s v="Male"/>
    <x v="4"/>
    <x v="2"/>
    <x v="3"/>
  </r>
  <r>
    <s v="TXN-20250682"/>
    <x v="88"/>
    <x v="680"/>
    <x v="2"/>
    <n v="4186.2299999999996"/>
    <x v="0"/>
    <n v="45"/>
    <s v="Male"/>
    <x v="6"/>
    <x v="1"/>
    <x v="2"/>
  </r>
  <r>
    <s v="TXN-20250683"/>
    <x v="304"/>
    <x v="681"/>
    <x v="1"/>
    <n v="34892.39"/>
    <x v="0"/>
    <n v="43"/>
    <s v="Male"/>
    <x v="8"/>
    <x v="0"/>
    <x v="0"/>
  </r>
  <r>
    <s v="TXN-20250684"/>
    <x v="305"/>
    <x v="682"/>
    <x v="1"/>
    <n v="43280.29"/>
    <x v="0"/>
    <n v="24"/>
    <s v="Male"/>
    <x v="2"/>
    <x v="0"/>
    <x v="2"/>
  </r>
  <r>
    <s v="TXN-20250685"/>
    <x v="151"/>
    <x v="683"/>
    <x v="2"/>
    <n v="2326.98"/>
    <x v="0"/>
    <n v="28"/>
    <s v="Female"/>
    <x v="1"/>
    <x v="0"/>
    <x v="0"/>
  </r>
  <r>
    <s v="TXN-20250686"/>
    <x v="89"/>
    <x v="684"/>
    <x v="0"/>
    <n v="2366.1999999999998"/>
    <x v="0"/>
    <n v="35"/>
    <s v="Male"/>
    <x v="4"/>
    <x v="0"/>
    <x v="3"/>
  </r>
  <r>
    <s v="TXN-20250687"/>
    <x v="194"/>
    <x v="685"/>
    <x v="1"/>
    <n v="4360.46"/>
    <x v="0"/>
    <n v="29"/>
    <s v="Male"/>
    <x v="4"/>
    <x v="2"/>
    <x v="3"/>
  </r>
  <r>
    <s v="TXN-20250688"/>
    <x v="89"/>
    <x v="686"/>
    <x v="2"/>
    <n v="2917.9"/>
    <x v="0"/>
    <n v="35"/>
    <s v="Male"/>
    <x v="4"/>
    <x v="0"/>
    <x v="0"/>
  </r>
  <r>
    <s v="TXN-20250689"/>
    <x v="152"/>
    <x v="687"/>
    <x v="1"/>
    <n v="116693.85"/>
    <x v="0"/>
    <n v="39"/>
    <s v="Male"/>
    <x v="5"/>
    <x v="0"/>
    <x v="0"/>
  </r>
  <r>
    <s v="TXN-20250690"/>
    <x v="147"/>
    <x v="688"/>
    <x v="3"/>
    <n v="5166.04"/>
    <x v="0"/>
    <n v="28"/>
    <s v="Male"/>
    <x v="4"/>
    <x v="2"/>
    <x v="3"/>
  </r>
  <r>
    <s v="TXN-20250691"/>
    <x v="241"/>
    <x v="689"/>
    <x v="2"/>
    <n v="49054.14"/>
    <x v="0"/>
    <n v="44"/>
    <s v="Male"/>
    <x v="4"/>
    <x v="1"/>
    <x v="0"/>
  </r>
  <r>
    <s v="TXN-20250692"/>
    <x v="44"/>
    <x v="690"/>
    <x v="3"/>
    <n v="2711.63"/>
    <x v="0"/>
    <n v="26"/>
    <s v="Male"/>
    <x v="9"/>
    <x v="1"/>
    <x v="0"/>
  </r>
  <r>
    <s v="TXN-20250693"/>
    <x v="118"/>
    <x v="691"/>
    <x v="1"/>
    <n v="44387.040000000001"/>
    <x v="0"/>
    <n v="36"/>
    <s v="Male"/>
    <x v="4"/>
    <x v="0"/>
    <x v="0"/>
  </r>
  <r>
    <s v="TXN-20250694"/>
    <x v="72"/>
    <x v="692"/>
    <x v="3"/>
    <n v="9502.19"/>
    <x v="1"/>
    <n v="25"/>
    <s v="Male"/>
    <x v="4"/>
    <x v="0"/>
    <x v="3"/>
  </r>
  <r>
    <s v="TXN-20250695"/>
    <x v="306"/>
    <x v="693"/>
    <x v="3"/>
    <n v="4693.9799999999996"/>
    <x v="0"/>
    <n v="43"/>
    <s v="Male"/>
    <x v="2"/>
    <x v="1"/>
    <x v="2"/>
  </r>
  <r>
    <s v="TXN-20250696"/>
    <x v="55"/>
    <x v="694"/>
    <x v="1"/>
    <n v="5941.93"/>
    <x v="0"/>
    <n v="52"/>
    <s v="Male"/>
    <x v="4"/>
    <x v="0"/>
    <x v="0"/>
  </r>
  <r>
    <s v="TXN-20250697"/>
    <x v="257"/>
    <x v="695"/>
    <x v="1"/>
    <n v="12914.47"/>
    <x v="0"/>
    <n v="38"/>
    <s v="Male"/>
    <x v="4"/>
    <x v="0"/>
    <x v="2"/>
  </r>
  <r>
    <s v="TXN-20250698"/>
    <x v="1"/>
    <x v="696"/>
    <x v="1"/>
    <n v="44827.44"/>
    <x v="0"/>
    <n v="43"/>
    <s v="Male"/>
    <x v="1"/>
    <x v="0"/>
    <x v="0"/>
  </r>
  <r>
    <s v="TXN-20250699"/>
    <x v="27"/>
    <x v="697"/>
    <x v="0"/>
    <n v="1277.22"/>
    <x v="0"/>
    <n v="31"/>
    <s v="Female"/>
    <x v="7"/>
    <x v="1"/>
    <x v="0"/>
  </r>
  <r>
    <s v="TXN-20250700"/>
    <x v="230"/>
    <x v="698"/>
    <x v="1"/>
    <n v="18850.759999999998"/>
    <x v="0"/>
    <n v="27"/>
    <s v="Female"/>
    <x v="4"/>
    <x v="0"/>
    <x v="0"/>
  </r>
  <r>
    <s v="TXN-20250701"/>
    <x v="151"/>
    <x v="699"/>
    <x v="3"/>
    <n v="1589.47"/>
    <x v="0"/>
    <n v="28"/>
    <s v="Female"/>
    <x v="1"/>
    <x v="0"/>
    <x v="0"/>
  </r>
  <r>
    <s v="TXN-20250702"/>
    <x v="192"/>
    <x v="700"/>
    <x v="1"/>
    <n v="16532.509999999998"/>
    <x v="0"/>
    <n v="26"/>
    <s v="Female"/>
    <x v="9"/>
    <x v="0"/>
    <x v="2"/>
  </r>
  <r>
    <s v="TXN-20250703"/>
    <x v="307"/>
    <x v="701"/>
    <x v="3"/>
    <n v="20892.84"/>
    <x v="0"/>
    <n v="40"/>
    <s v="Male"/>
    <x v="4"/>
    <x v="3"/>
    <x v="0"/>
  </r>
  <r>
    <s v="TXN-20250704"/>
    <x v="229"/>
    <x v="702"/>
    <x v="1"/>
    <n v="18380.009999999998"/>
    <x v="0"/>
    <n v="22"/>
    <s v="Male"/>
    <x v="1"/>
    <x v="2"/>
    <x v="3"/>
  </r>
  <r>
    <s v="TXN-20250705"/>
    <x v="179"/>
    <x v="703"/>
    <x v="0"/>
    <n v="3186.83"/>
    <x v="0"/>
    <n v="35"/>
    <s v="Male"/>
    <x v="1"/>
    <x v="0"/>
    <x v="2"/>
  </r>
  <r>
    <s v="TXN-20250706"/>
    <x v="25"/>
    <x v="704"/>
    <x v="1"/>
    <n v="9787.59"/>
    <x v="0"/>
    <n v="25"/>
    <s v="Female"/>
    <x v="4"/>
    <x v="2"/>
    <x v="0"/>
  </r>
  <r>
    <s v="TXN-20250707"/>
    <x v="257"/>
    <x v="705"/>
    <x v="1"/>
    <n v="30914.17"/>
    <x v="0"/>
    <n v="38"/>
    <s v="Male"/>
    <x v="4"/>
    <x v="0"/>
    <x v="0"/>
  </r>
  <r>
    <s v="TXN-20250708"/>
    <x v="270"/>
    <x v="706"/>
    <x v="3"/>
    <n v="2794.75"/>
    <x v="0"/>
    <n v="43"/>
    <s v="Male"/>
    <x v="2"/>
    <x v="3"/>
    <x v="2"/>
  </r>
  <r>
    <s v="TXN-20250709"/>
    <x v="82"/>
    <x v="707"/>
    <x v="1"/>
    <n v="52273.5"/>
    <x v="0"/>
    <n v="28"/>
    <s v="Male"/>
    <x v="3"/>
    <x v="0"/>
    <x v="2"/>
  </r>
  <r>
    <s v="TXN-20250710"/>
    <x v="69"/>
    <x v="708"/>
    <x v="1"/>
    <n v="2589.5500000000002"/>
    <x v="1"/>
    <n v="19"/>
    <s v="Female"/>
    <x v="8"/>
    <x v="1"/>
    <x v="0"/>
  </r>
  <r>
    <s v="TXN-20250711"/>
    <x v="8"/>
    <x v="709"/>
    <x v="2"/>
    <n v="30777.71"/>
    <x v="0"/>
    <n v="53"/>
    <s v="Male"/>
    <x v="6"/>
    <x v="2"/>
    <x v="3"/>
  </r>
  <r>
    <s v="TXN-20250712"/>
    <x v="144"/>
    <x v="710"/>
    <x v="3"/>
    <n v="3792.13"/>
    <x v="0"/>
    <n v="40"/>
    <s v="Male"/>
    <x v="4"/>
    <x v="0"/>
    <x v="0"/>
  </r>
  <r>
    <s v="TXN-20250713"/>
    <x v="106"/>
    <x v="711"/>
    <x v="0"/>
    <n v="1106.27"/>
    <x v="0"/>
    <n v="47"/>
    <s v="Female"/>
    <x v="9"/>
    <x v="1"/>
    <x v="2"/>
  </r>
  <r>
    <s v="TXN-20250714"/>
    <x v="127"/>
    <x v="712"/>
    <x v="0"/>
    <n v="802.73"/>
    <x v="0"/>
    <n v="40"/>
    <s v="Male"/>
    <x v="4"/>
    <x v="0"/>
    <x v="3"/>
  </r>
  <r>
    <s v="TXN-20250715"/>
    <x v="153"/>
    <x v="713"/>
    <x v="1"/>
    <n v="26855.5"/>
    <x v="0"/>
    <n v="32"/>
    <s v="Female"/>
    <x v="4"/>
    <x v="0"/>
    <x v="1"/>
  </r>
  <r>
    <s v="TXN-20250716"/>
    <x v="79"/>
    <x v="714"/>
    <x v="1"/>
    <n v="4429.6499999999996"/>
    <x v="0"/>
    <n v="50"/>
    <s v="Male"/>
    <x v="7"/>
    <x v="1"/>
    <x v="2"/>
  </r>
  <r>
    <s v="TXN-20250717"/>
    <x v="115"/>
    <x v="715"/>
    <x v="1"/>
    <n v="6399.82"/>
    <x v="2"/>
    <n v="60"/>
    <s v="Female"/>
    <x v="1"/>
    <x v="0"/>
    <x v="0"/>
  </r>
  <r>
    <s v="TXN-20250718"/>
    <x v="45"/>
    <x v="716"/>
    <x v="0"/>
    <n v="3788.16"/>
    <x v="2"/>
    <n v="38"/>
    <s v="Female"/>
    <x v="6"/>
    <x v="0"/>
    <x v="0"/>
  </r>
  <r>
    <s v="TXN-20250719"/>
    <x v="308"/>
    <x v="717"/>
    <x v="3"/>
    <n v="1527.36"/>
    <x v="1"/>
    <n v="28"/>
    <s v="Female"/>
    <x v="5"/>
    <x v="0"/>
    <x v="0"/>
  </r>
  <r>
    <s v="TXN-20250720"/>
    <x v="309"/>
    <x v="718"/>
    <x v="2"/>
    <n v="6525.12"/>
    <x v="0"/>
    <n v="40"/>
    <s v="Female"/>
    <x v="7"/>
    <x v="1"/>
    <x v="0"/>
  </r>
  <r>
    <s v="TXN-20250721"/>
    <x v="150"/>
    <x v="719"/>
    <x v="0"/>
    <n v="935.31"/>
    <x v="0"/>
    <n v="28"/>
    <s v="Female"/>
    <x v="2"/>
    <x v="0"/>
    <x v="1"/>
  </r>
  <r>
    <s v="TXN-20250722"/>
    <x v="30"/>
    <x v="720"/>
    <x v="0"/>
    <n v="1895.26"/>
    <x v="0"/>
    <n v="36"/>
    <s v="Male"/>
    <x v="3"/>
    <x v="0"/>
    <x v="3"/>
  </r>
  <r>
    <s v="TXN-20250723"/>
    <x v="270"/>
    <x v="721"/>
    <x v="0"/>
    <n v="1978.81"/>
    <x v="0"/>
    <n v="43"/>
    <s v="Male"/>
    <x v="2"/>
    <x v="3"/>
    <x v="3"/>
  </r>
  <r>
    <s v="TXN-20250724"/>
    <x v="83"/>
    <x v="722"/>
    <x v="1"/>
    <n v="24432.92"/>
    <x v="0"/>
    <n v="57"/>
    <s v="Male"/>
    <x v="4"/>
    <x v="1"/>
    <x v="0"/>
  </r>
  <r>
    <s v="TXN-20250725"/>
    <x v="152"/>
    <x v="723"/>
    <x v="0"/>
    <n v="236.96"/>
    <x v="0"/>
    <n v="39"/>
    <s v="Male"/>
    <x v="5"/>
    <x v="0"/>
    <x v="3"/>
  </r>
  <r>
    <s v="TXN-20250726"/>
    <x v="18"/>
    <x v="724"/>
    <x v="1"/>
    <n v="57543.23"/>
    <x v="0"/>
    <n v="33"/>
    <s v="Male"/>
    <x v="1"/>
    <x v="2"/>
    <x v="3"/>
  </r>
  <r>
    <s v="TXN-20250727"/>
    <x v="200"/>
    <x v="725"/>
    <x v="1"/>
    <n v="1014.67"/>
    <x v="0"/>
    <n v="31"/>
    <s v="Male"/>
    <x v="7"/>
    <x v="0"/>
    <x v="0"/>
  </r>
  <r>
    <s v="TXN-20250728"/>
    <x v="310"/>
    <x v="726"/>
    <x v="0"/>
    <n v="1680.82"/>
    <x v="0"/>
    <n v="30"/>
    <s v="Female"/>
    <x v="7"/>
    <x v="2"/>
    <x v="1"/>
  </r>
  <r>
    <s v="TXN-20250729"/>
    <x v="24"/>
    <x v="727"/>
    <x v="3"/>
    <n v="1198.3699999999999"/>
    <x v="0"/>
    <n v="41"/>
    <s v="Female"/>
    <x v="7"/>
    <x v="0"/>
    <x v="2"/>
  </r>
  <r>
    <s v="TXN-20250730"/>
    <x v="53"/>
    <x v="728"/>
    <x v="0"/>
    <n v="3258.45"/>
    <x v="0"/>
    <n v="24"/>
    <s v="Male"/>
    <x v="7"/>
    <x v="0"/>
    <x v="0"/>
  </r>
  <r>
    <s v="TXN-20250731"/>
    <x v="251"/>
    <x v="729"/>
    <x v="1"/>
    <n v="2566.44"/>
    <x v="0"/>
    <n v="44"/>
    <s v="Male"/>
    <x v="1"/>
    <x v="0"/>
    <x v="0"/>
  </r>
  <r>
    <s v="TXN-20250732"/>
    <x v="76"/>
    <x v="730"/>
    <x v="0"/>
    <n v="2051.8200000000002"/>
    <x v="0"/>
    <n v="38"/>
    <s v="Female"/>
    <x v="4"/>
    <x v="1"/>
    <x v="3"/>
  </r>
  <r>
    <s v="TXN-20250733"/>
    <x v="278"/>
    <x v="731"/>
    <x v="3"/>
    <n v="3054.35"/>
    <x v="0"/>
    <n v="32"/>
    <s v="Male"/>
    <x v="4"/>
    <x v="0"/>
    <x v="1"/>
  </r>
  <r>
    <s v="TXN-20250734"/>
    <x v="277"/>
    <x v="732"/>
    <x v="2"/>
    <n v="1921.57"/>
    <x v="0"/>
    <n v="29"/>
    <s v="Male"/>
    <x v="1"/>
    <x v="3"/>
    <x v="0"/>
  </r>
  <r>
    <s v="TXN-20250735"/>
    <x v="144"/>
    <x v="733"/>
    <x v="2"/>
    <n v="8210.27"/>
    <x v="0"/>
    <n v="40"/>
    <s v="Male"/>
    <x v="4"/>
    <x v="0"/>
    <x v="0"/>
  </r>
  <r>
    <s v="TXN-20250736"/>
    <x v="311"/>
    <x v="734"/>
    <x v="1"/>
    <n v="34422.629999999997"/>
    <x v="0"/>
    <n v="60"/>
    <s v="Male"/>
    <x v="4"/>
    <x v="1"/>
    <x v="3"/>
  </r>
  <r>
    <s v="TXN-20250737"/>
    <x v="33"/>
    <x v="735"/>
    <x v="1"/>
    <n v="25748.12"/>
    <x v="0"/>
    <n v="42"/>
    <s v="Male"/>
    <x v="4"/>
    <x v="2"/>
    <x v="0"/>
  </r>
  <r>
    <s v="TXN-20250738"/>
    <x v="269"/>
    <x v="736"/>
    <x v="1"/>
    <n v="21164.17"/>
    <x v="0"/>
    <n v="37"/>
    <s v="Male"/>
    <x v="7"/>
    <x v="1"/>
    <x v="1"/>
  </r>
  <r>
    <s v="TXN-20250739"/>
    <x v="294"/>
    <x v="737"/>
    <x v="3"/>
    <n v="8774.91"/>
    <x v="0"/>
    <n v="39"/>
    <s v="Female"/>
    <x v="1"/>
    <x v="0"/>
    <x v="0"/>
  </r>
  <r>
    <s v="TXN-20250740"/>
    <x v="218"/>
    <x v="738"/>
    <x v="0"/>
    <n v="424.38"/>
    <x v="0"/>
    <n v="25"/>
    <s v="Male"/>
    <x v="9"/>
    <x v="2"/>
    <x v="2"/>
  </r>
  <r>
    <s v="TXN-20250741"/>
    <x v="2"/>
    <x v="739"/>
    <x v="2"/>
    <n v="60557.11"/>
    <x v="0"/>
    <n v="35"/>
    <s v="Male"/>
    <x v="2"/>
    <x v="0"/>
    <x v="0"/>
  </r>
  <r>
    <s v="TXN-20250742"/>
    <x v="289"/>
    <x v="740"/>
    <x v="3"/>
    <n v="1727.77"/>
    <x v="0"/>
    <n v="27"/>
    <s v="Female"/>
    <x v="0"/>
    <x v="3"/>
    <x v="3"/>
  </r>
  <r>
    <s v="TXN-20250743"/>
    <x v="236"/>
    <x v="741"/>
    <x v="0"/>
    <n v="2325.54"/>
    <x v="0"/>
    <n v="45"/>
    <s v="Male"/>
    <x v="4"/>
    <x v="3"/>
    <x v="2"/>
  </r>
  <r>
    <s v="TXN-20250744"/>
    <x v="236"/>
    <x v="742"/>
    <x v="1"/>
    <n v="3217.86"/>
    <x v="0"/>
    <n v="45"/>
    <s v="Male"/>
    <x v="4"/>
    <x v="3"/>
    <x v="3"/>
  </r>
  <r>
    <s v="TXN-20250745"/>
    <x v="88"/>
    <x v="743"/>
    <x v="3"/>
    <n v="4155.9399999999996"/>
    <x v="0"/>
    <n v="45"/>
    <s v="Male"/>
    <x v="6"/>
    <x v="1"/>
    <x v="0"/>
  </r>
  <r>
    <s v="TXN-20250746"/>
    <x v="181"/>
    <x v="744"/>
    <x v="3"/>
    <n v="2849.18"/>
    <x v="0"/>
    <n v="35"/>
    <s v="Female"/>
    <x v="4"/>
    <x v="1"/>
    <x v="0"/>
  </r>
  <r>
    <s v="TXN-20250747"/>
    <x v="78"/>
    <x v="745"/>
    <x v="1"/>
    <n v="6472.54"/>
    <x v="0"/>
    <n v="33"/>
    <s v="Male"/>
    <x v="4"/>
    <x v="2"/>
    <x v="0"/>
  </r>
  <r>
    <s v="TXN-20250748"/>
    <x v="299"/>
    <x v="746"/>
    <x v="0"/>
    <n v="649.13"/>
    <x v="0"/>
    <n v="43"/>
    <s v="Male"/>
    <x v="8"/>
    <x v="0"/>
    <x v="0"/>
  </r>
  <r>
    <s v="TXN-20250749"/>
    <x v="127"/>
    <x v="747"/>
    <x v="3"/>
    <n v="12220.23"/>
    <x v="0"/>
    <n v="40"/>
    <s v="Male"/>
    <x v="4"/>
    <x v="0"/>
    <x v="1"/>
  </r>
  <r>
    <s v="TXN-20250750"/>
    <x v="312"/>
    <x v="748"/>
    <x v="1"/>
    <n v="9331.17"/>
    <x v="0"/>
    <n v="38"/>
    <s v="Male"/>
    <x v="1"/>
    <x v="1"/>
    <x v="0"/>
  </r>
  <r>
    <s v="TXN-20250751"/>
    <x v="196"/>
    <x v="749"/>
    <x v="1"/>
    <n v="68125.56"/>
    <x v="0"/>
    <n v="42"/>
    <s v="Female"/>
    <x v="9"/>
    <x v="1"/>
    <x v="2"/>
  </r>
  <r>
    <s v="TXN-20250752"/>
    <x v="27"/>
    <x v="750"/>
    <x v="3"/>
    <n v="7667.3"/>
    <x v="0"/>
    <n v="31"/>
    <s v="Female"/>
    <x v="7"/>
    <x v="1"/>
    <x v="0"/>
  </r>
  <r>
    <s v="TXN-20250753"/>
    <x v="65"/>
    <x v="751"/>
    <x v="1"/>
    <n v="24890.799999999999"/>
    <x v="0"/>
    <n v="24"/>
    <s v="Male"/>
    <x v="3"/>
    <x v="2"/>
    <x v="3"/>
  </r>
  <r>
    <s v="TXN-20250754"/>
    <x v="186"/>
    <x v="752"/>
    <x v="2"/>
    <n v="1657.63"/>
    <x v="0"/>
    <n v="20"/>
    <s v="Male"/>
    <x v="7"/>
    <x v="0"/>
    <x v="0"/>
  </r>
  <r>
    <s v="TXN-20250755"/>
    <x v="232"/>
    <x v="753"/>
    <x v="0"/>
    <n v="905.54"/>
    <x v="0"/>
    <n v="23"/>
    <s v="Female"/>
    <x v="0"/>
    <x v="1"/>
    <x v="0"/>
  </r>
  <r>
    <s v="TXN-20250756"/>
    <x v="125"/>
    <x v="754"/>
    <x v="0"/>
    <n v="1018.04"/>
    <x v="0"/>
    <n v="56"/>
    <s v="Female"/>
    <x v="7"/>
    <x v="2"/>
    <x v="0"/>
  </r>
  <r>
    <s v="TXN-20250757"/>
    <x v="44"/>
    <x v="755"/>
    <x v="1"/>
    <n v="33711.300000000003"/>
    <x v="0"/>
    <n v="26"/>
    <s v="Male"/>
    <x v="9"/>
    <x v="1"/>
    <x v="0"/>
  </r>
  <r>
    <s v="TXN-20250758"/>
    <x v="235"/>
    <x v="756"/>
    <x v="1"/>
    <n v="12901.14"/>
    <x v="0"/>
    <n v="50"/>
    <s v="Male"/>
    <x v="4"/>
    <x v="2"/>
    <x v="3"/>
  </r>
  <r>
    <s v="TXN-20250759"/>
    <x v="38"/>
    <x v="757"/>
    <x v="1"/>
    <n v="8339.5"/>
    <x v="0"/>
    <n v="42"/>
    <s v="Female"/>
    <x v="4"/>
    <x v="1"/>
    <x v="0"/>
  </r>
  <r>
    <s v="TXN-20250760"/>
    <x v="252"/>
    <x v="758"/>
    <x v="0"/>
    <n v="814.52"/>
    <x v="0"/>
    <n v="20"/>
    <s v="Male"/>
    <x v="6"/>
    <x v="0"/>
    <x v="0"/>
  </r>
  <r>
    <s v="TXN-20250761"/>
    <x v="32"/>
    <x v="759"/>
    <x v="1"/>
    <n v="28213.599999999999"/>
    <x v="0"/>
    <n v="43"/>
    <s v="Female"/>
    <x v="4"/>
    <x v="0"/>
    <x v="2"/>
  </r>
  <r>
    <s v="TXN-20250762"/>
    <x v="121"/>
    <x v="760"/>
    <x v="1"/>
    <n v="26963.48"/>
    <x v="0"/>
    <n v="49"/>
    <s v="Male"/>
    <x v="7"/>
    <x v="0"/>
    <x v="0"/>
  </r>
  <r>
    <s v="TXN-20250763"/>
    <x v="163"/>
    <x v="761"/>
    <x v="3"/>
    <n v="2493.29"/>
    <x v="0"/>
    <n v="31"/>
    <s v="Male"/>
    <x v="4"/>
    <x v="3"/>
    <x v="0"/>
  </r>
  <r>
    <s v="TXN-20250764"/>
    <x v="275"/>
    <x v="762"/>
    <x v="1"/>
    <n v="47675.26"/>
    <x v="0"/>
    <n v="39"/>
    <s v="Male"/>
    <x v="7"/>
    <x v="0"/>
    <x v="0"/>
  </r>
  <r>
    <s v="TXN-20250765"/>
    <x v="247"/>
    <x v="763"/>
    <x v="1"/>
    <n v="32545.78"/>
    <x v="0"/>
    <n v="36"/>
    <s v="Female"/>
    <x v="5"/>
    <x v="2"/>
    <x v="0"/>
  </r>
  <r>
    <s v="TXN-20250766"/>
    <x v="313"/>
    <x v="764"/>
    <x v="0"/>
    <n v="3546.87"/>
    <x v="0"/>
    <n v="33"/>
    <s v="Female"/>
    <x v="4"/>
    <x v="3"/>
    <x v="3"/>
  </r>
  <r>
    <s v="TXN-20250767"/>
    <x v="175"/>
    <x v="765"/>
    <x v="0"/>
    <n v="352.65"/>
    <x v="0"/>
    <n v="23"/>
    <s v="Female"/>
    <x v="4"/>
    <x v="2"/>
    <x v="0"/>
  </r>
  <r>
    <s v="TXN-20250768"/>
    <x v="147"/>
    <x v="766"/>
    <x v="0"/>
    <n v="3757.88"/>
    <x v="0"/>
    <n v="28"/>
    <s v="Male"/>
    <x v="4"/>
    <x v="2"/>
    <x v="0"/>
  </r>
  <r>
    <s v="TXN-20250769"/>
    <x v="4"/>
    <x v="767"/>
    <x v="2"/>
    <n v="1823.94"/>
    <x v="1"/>
    <n v="53"/>
    <s v="Male"/>
    <x v="4"/>
    <x v="0"/>
    <x v="2"/>
  </r>
  <r>
    <s v="TXN-20250770"/>
    <x v="157"/>
    <x v="768"/>
    <x v="3"/>
    <n v="11563.07"/>
    <x v="0"/>
    <n v="31"/>
    <s v="Male"/>
    <x v="4"/>
    <x v="0"/>
    <x v="0"/>
  </r>
  <r>
    <s v="TXN-20250771"/>
    <x v="222"/>
    <x v="769"/>
    <x v="1"/>
    <n v="39280.129999999997"/>
    <x v="0"/>
    <n v="43"/>
    <s v="Male"/>
    <x v="6"/>
    <x v="2"/>
    <x v="2"/>
  </r>
  <r>
    <s v="TXN-20250772"/>
    <x v="0"/>
    <x v="770"/>
    <x v="2"/>
    <n v="9467.41"/>
    <x v="0"/>
    <n v="47"/>
    <s v="Male"/>
    <x v="0"/>
    <x v="0"/>
    <x v="2"/>
  </r>
  <r>
    <s v="TXN-20250773"/>
    <x v="246"/>
    <x v="771"/>
    <x v="3"/>
    <n v="10542.39"/>
    <x v="0"/>
    <n v="40"/>
    <s v="Male"/>
    <x v="4"/>
    <x v="0"/>
    <x v="0"/>
  </r>
  <r>
    <s v="TXN-20250774"/>
    <x v="252"/>
    <x v="772"/>
    <x v="3"/>
    <n v="21621.74"/>
    <x v="0"/>
    <n v="20"/>
    <s v="Male"/>
    <x v="6"/>
    <x v="0"/>
    <x v="3"/>
  </r>
  <r>
    <s v="TXN-20250775"/>
    <x v="247"/>
    <x v="773"/>
    <x v="2"/>
    <n v="4794.99"/>
    <x v="0"/>
    <n v="36"/>
    <s v="Female"/>
    <x v="5"/>
    <x v="2"/>
    <x v="0"/>
  </r>
  <r>
    <s v="TXN-20250776"/>
    <x v="80"/>
    <x v="774"/>
    <x v="1"/>
    <n v="24704.39"/>
    <x v="0"/>
    <n v="30"/>
    <s v="Male"/>
    <x v="0"/>
    <x v="0"/>
    <x v="0"/>
  </r>
  <r>
    <s v="TXN-20250777"/>
    <x v="314"/>
    <x v="775"/>
    <x v="4"/>
    <n v="40000"/>
    <x v="0"/>
    <n v="36"/>
    <s v="Female"/>
    <x v="4"/>
    <x v="3"/>
    <x v="0"/>
  </r>
  <r>
    <s v="TXN-20250778"/>
    <x v="147"/>
    <x v="776"/>
    <x v="0"/>
    <n v="1164.3800000000001"/>
    <x v="0"/>
    <n v="28"/>
    <s v="Male"/>
    <x v="4"/>
    <x v="2"/>
    <x v="0"/>
  </r>
  <r>
    <s v="TXN-20250779"/>
    <x v="227"/>
    <x v="777"/>
    <x v="1"/>
    <n v="9941.48"/>
    <x v="0"/>
    <n v="51"/>
    <s v="Male"/>
    <x v="4"/>
    <x v="0"/>
    <x v="2"/>
  </r>
  <r>
    <s v="TXN-20250780"/>
    <x v="21"/>
    <x v="778"/>
    <x v="2"/>
    <n v="6535.4"/>
    <x v="0"/>
    <n v="27"/>
    <s v="Female"/>
    <x v="7"/>
    <x v="0"/>
    <x v="0"/>
  </r>
  <r>
    <s v="TXN-20250781"/>
    <x v="138"/>
    <x v="779"/>
    <x v="0"/>
    <n v="235.22"/>
    <x v="0"/>
    <n v="38"/>
    <s v="Male"/>
    <x v="4"/>
    <x v="0"/>
    <x v="1"/>
  </r>
  <r>
    <s v="TXN-20250782"/>
    <x v="142"/>
    <x v="780"/>
    <x v="0"/>
    <n v="2423.0100000000002"/>
    <x v="0"/>
    <n v="22"/>
    <s v="Female"/>
    <x v="0"/>
    <x v="0"/>
    <x v="0"/>
  </r>
  <r>
    <s v="TXN-20250783"/>
    <x v="56"/>
    <x v="781"/>
    <x v="1"/>
    <n v="48810.080000000002"/>
    <x v="0"/>
    <n v="31"/>
    <s v="Male"/>
    <x v="4"/>
    <x v="2"/>
    <x v="3"/>
  </r>
  <r>
    <s v="TXN-20250784"/>
    <x v="210"/>
    <x v="782"/>
    <x v="0"/>
    <n v="382.36"/>
    <x v="0"/>
    <n v="32"/>
    <s v="Male"/>
    <x v="4"/>
    <x v="1"/>
    <x v="0"/>
  </r>
  <r>
    <s v="TXN-20250785"/>
    <x v="102"/>
    <x v="783"/>
    <x v="1"/>
    <n v="24965.919999999998"/>
    <x v="0"/>
    <n v="58"/>
    <s v="Female"/>
    <x v="3"/>
    <x v="2"/>
    <x v="0"/>
  </r>
  <r>
    <s v="TXN-20250786"/>
    <x v="82"/>
    <x v="784"/>
    <x v="0"/>
    <n v="3060.58"/>
    <x v="0"/>
    <n v="28"/>
    <s v="Male"/>
    <x v="3"/>
    <x v="0"/>
    <x v="0"/>
  </r>
  <r>
    <s v="TXN-20250787"/>
    <x v="127"/>
    <x v="785"/>
    <x v="1"/>
    <n v="4090.01"/>
    <x v="0"/>
    <n v="40"/>
    <s v="Male"/>
    <x v="4"/>
    <x v="0"/>
    <x v="0"/>
  </r>
  <r>
    <s v="TXN-20250788"/>
    <x v="41"/>
    <x v="786"/>
    <x v="1"/>
    <n v="21364.14"/>
    <x v="0"/>
    <n v="21"/>
    <s v="Female"/>
    <x v="0"/>
    <x v="0"/>
    <x v="2"/>
  </r>
  <r>
    <s v="TXN-20250789"/>
    <x v="17"/>
    <x v="787"/>
    <x v="1"/>
    <n v="25242.87"/>
    <x v="0"/>
    <n v="42"/>
    <s v="Male"/>
    <x v="7"/>
    <x v="0"/>
    <x v="1"/>
  </r>
  <r>
    <s v="TXN-20250790"/>
    <x v="160"/>
    <x v="788"/>
    <x v="1"/>
    <n v="8468.44"/>
    <x v="0"/>
    <n v="24"/>
    <s v="Male"/>
    <x v="1"/>
    <x v="0"/>
    <x v="0"/>
  </r>
  <r>
    <s v="TXN-20250791"/>
    <x v="70"/>
    <x v="789"/>
    <x v="0"/>
    <n v="2553.6"/>
    <x v="0"/>
    <n v="28"/>
    <s v="Female"/>
    <x v="4"/>
    <x v="0"/>
    <x v="0"/>
  </r>
  <r>
    <s v="TXN-20250792"/>
    <x v="135"/>
    <x v="790"/>
    <x v="1"/>
    <n v="30159.47"/>
    <x v="0"/>
    <n v="32"/>
    <s v="Female"/>
    <x v="8"/>
    <x v="3"/>
    <x v="0"/>
  </r>
  <r>
    <s v="TXN-20250793"/>
    <x v="80"/>
    <x v="791"/>
    <x v="1"/>
    <n v="26943.68"/>
    <x v="0"/>
    <n v="30"/>
    <s v="Male"/>
    <x v="0"/>
    <x v="0"/>
    <x v="0"/>
  </r>
  <r>
    <s v="TXN-20250794"/>
    <x v="123"/>
    <x v="792"/>
    <x v="2"/>
    <n v="14814.42"/>
    <x v="0"/>
    <n v="53"/>
    <s v="Female"/>
    <x v="4"/>
    <x v="3"/>
    <x v="0"/>
  </r>
  <r>
    <s v="TXN-20250795"/>
    <x v="159"/>
    <x v="793"/>
    <x v="1"/>
    <n v="4433.1499999999996"/>
    <x v="0"/>
    <n v="52"/>
    <s v="Female"/>
    <x v="6"/>
    <x v="2"/>
    <x v="0"/>
  </r>
  <r>
    <s v="TXN-20250796"/>
    <x v="205"/>
    <x v="794"/>
    <x v="0"/>
    <n v="1002.25"/>
    <x v="1"/>
    <n v="57"/>
    <s v="Male"/>
    <x v="4"/>
    <x v="1"/>
    <x v="0"/>
  </r>
  <r>
    <s v="TXN-20250797"/>
    <x v="17"/>
    <x v="795"/>
    <x v="2"/>
    <n v="2123.79"/>
    <x v="0"/>
    <n v="42"/>
    <s v="Male"/>
    <x v="7"/>
    <x v="0"/>
    <x v="3"/>
  </r>
  <r>
    <s v="TXN-20250798"/>
    <x v="15"/>
    <x v="796"/>
    <x v="1"/>
    <n v="5958.02"/>
    <x v="0"/>
    <n v="29"/>
    <s v="Male"/>
    <x v="4"/>
    <x v="1"/>
    <x v="0"/>
  </r>
  <r>
    <s v="TXN-20250799"/>
    <x v="94"/>
    <x v="797"/>
    <x v="0"/>
    <n v="2805.85"/>
    <x v="0"/>
    <n v="37"/>
    <s v="Male"/>
    <x v="4"/>
    <x v="1"/>
    <x v="0"/>
  </r>
  <r>
    <s v="TXN-20250800"/>
    <x v="267"/>
    <x v="798"/>
    <x v="2"/>
    <n v="4997.6899999999996"/>
    <x v="0"/>
    <n v="26"/>
    <s v="Male"/>
    <x v="4"/>
    <x v="0"/>
    <x v="2"/>
  </r>
  <r>
    <s v="TXN-20250801"/>
    <x v="151"/>
    <x v="799"/>
    <x v="1"/>
    <n v="4502.97"/>
    <x v="1"/>
    <n v="28"/>
    <s v="Female"/>
    <x v="1"/>
    <x v="0"/>
    <x v="0"/>
  </r>
  <r>
    <s v="TXN-20250802"/>
    <x v="143"/>
    <x v="800"/>
    <x v="1"/>
    <n v="42894.559999999998"/>
    <x v="0"/>
    <n v="57"/>
    <s v="Male"/>
    <x v="0"/>
    <x v="1"/>
    <x v="3"/>
  </r>
  <r>
    <s v="TXN-20250803"/>
    <x v="199"/>
    <x v="801"/>
    <x v="0"/>
    <n v="2812.76"/>
    <x v="1"/>
    <n v="42"/>
    <s v="Male"/>
    <x v="4"/>
    <x v="3"/>
    <x v="3"/>
  </r>
  <r>
    <s v="TXN-20250804"/>
    <x v="175"/>
    <x v="802"/>
    <x v="2"/>
    <n v="12771.43"/>
    <x v="0"/>
    <n v="23"/>
    <s v="Female"/>
    <x v="4"/>
    <x v="2"/>
    <x v="0"/>
  </r>
  <r>
    <s v="TXN-20250805"/>
    <x v="43"/>
    <x v="803"/>
    <x v="0"/>
    <n v="2927.32"/>
    <x v="0"/>
    <n v="49"/>
    <s v="Female"/>
    <x v="0"/>
    <x v="0"/>
    <x v="0"/>
  </r>
  <r>
    <s v="TXN-20250806"/>
    <x v="228"/>
    <x v="804"/>
    <x v="1"/>
    <n v="18934.46"/>
    <x v="1"/>
    <n v="47"/>
    <s v="Male"/>
    <x v="6"/>
    <x v="2"/>
    <x v="0"/>
  </r>
  <r>
    <s v="TXN-20250807"/>
    <x v="261"/>
    <x v="805"/>
    <x v="4"/>
    <n v="5000"/>
    <x v="0"/>
    <n v="24"/>
    <s v="Male"/>
    <x v="4"/>
    <x v="0"/>
    <x v="2"/>
  </r>
  <r>
    <s v="TXN-20250808"/>
    <x v="178"/>
    <x v="806"/>
    <x v="1"/>
    <n v="3406.54"/>
    <x v="0"/>
    <n v="47"/>
    <s v="Male"/>
    <x v="4"/>
    <x v="0"/>
    <x v="1"/>
  </r>
  <r>
    <s v="TXN-20250809"/>
    <x v="196"/>
    <x v="807"/>
    <x v="1"/>
    <n v="3377.01"/>
    <x v="0"/>
    <n v="42"/>
    <s v="Female"/>
    <x v="9"/>
    <x v="1"/>
    <x v="0"/>
  </r>
  <r>
    <s v="TXN-20250810"/>
    <x v="206"/>
    <x v="808"/>
    <x v="1"/>
    <n v="18765.599999999999"/>
    <x v="0"/>
    <n v="41"/>
    <s v="Male"/>
    <x v="4"/>
    <x v="1"/>
    <x v="0"/>
  </r>
  <r>
    <s v="TXN-20250811"/>
    <x v="158"/>
    <x v="809"/>
    <x v="2"/>
    <n v="29599.37"/>
    <x v="0"/>
    <n v="35"/>
    <s v="Male"/>
    <x v="2"/>
    <x v="0"/>
    <x v="3"/>
  </r>
  <r>
    <s v="TXN-20250812"/>
    <x v="14"/>
    <x v="810"/>
    <x v="1"/>
    <n v="15722.14"/>
    <x v="0"/>
    <n v="51"/>
    <s v="Female"/>
    <x v="2"/>
    <x v="1"/>
    <x v="0"/>
  </r>
  <r>
    <s v="TXN-20250813"/>
    <x v="266"/>
    <x v="811"/>
    <x v="2"/>
    <n v="9491.24"/>
    <x v="0"/>
    <n v="35"/>
    <s v="Female"/>
    <x v="1"/>
    <x v="3"/>
    <x v="0"/>
  </r>
  <r>
    <s v="TXN-20250814"/>
    <x v="131"/>
    <x v="812"/>
    <x v="2"/>
    <n v="1723.75"/>
    <x v="0"/>
    <n v="48"/>
    <s v="Male"/>
    <x v="4"/>
    <x v="0"/>
    <x v="3"/>
  </r>
  <r>
    <s v="TXN-20250815"/>
    <x v="96"/>
    <x v="813"/>
    <x v="3"/>
    <n v="10727.16"/>
    <x v="0"/>
    <n v="30"/>
    <s v="Male"/>
    <x v="7"/>
    <x v="2"/>
    <x v="2"/>
  </r>
  <r>
    <s v="TXN-20250816"/>
    <x v="68"/>
    <x v="814"/>
    <x v="0"/>
    <n v="760.63"/>
    <x v="0"/>
    <n v="34"/>
    <s v="Male"/>
    <x v="6"/>
    <x v="0"/>
    <x v="0"/>
  </r>
  <r>
    <s v="TXN-20250817"/>
    <x v="315"/>
    <x v="815"/>
    <x v="2"/>
    <n v="3707.4"/>
    <x v="0"/>
    <n v="32"/>
    <s v="Female"/>
    <x v="4"/>
    <x v="0"/>
    <x v="2"/>
  </r>
  <r>
    <s v="TXN-20250818"/>
    <x v="292"/>
    <x v="816"/>
    <x v="0"/>
    <n v="258.49"/>
    <x v="0"/>
    <n v="25"/>
    <s v="Female"/>
    <x v="4"/>
    <x v="0"/>
    <x v="3"/>
  </r>
  <r>
    <s v="TXN-20250819"/>
    <x v="296"/>
    <x v="817"/>
    <x v="3"/>
    <n v="12987.58"/>
    <x v="0"/>
    <n v="51"/>
    <s v="Female"/>
    <x v="6"/>
    <x v="2"/>
    <x v="2"/>
  </r>
  <r>
    <s v="TXN-20250820"/>
    <x v="316"/>
    <x v="818"/>
    <x v="0"/>
    <n v="2052.14"/>
    <x v="0"/>
    <n v="22"/>
    <s v="Male"/>
    <x v="5"/>
    <x v="0"/>
    <x v="0"/>
  </r>
  <r>
    <s v="TXN-20250821"/>
    <x v="258"/>
    <x v="819"/>
    <x v="3"/>
    <n v="42112.45"/>
    <x v="0"/>
    <n v="31"/>
    <s v="Male"/>
    <x v="4"/>
    <x v="3"/>
    <x v="0"/>
  </r>
  <r>
    <s v="TXN-20250822"/>
    <x v="35"/>
    <x v="820"/>
    <x v="2"/>
    <n v="14871.32"/>
    <x v="1"/>
    <n v="38"/>
    <s v="Male"/>
    <x v="1"/>
    <x v="0"/>
    <x v="0"/>
  </r>
  <r>
    <s v="TXN-20250823"/>
    <x v="282"/>
    <x v="821"/>
    <x v="1"/>
    <n v="2725.83"/>
    <x v="0"/>
    <n v="26"/>
    <s v="Male"/>
    <x v="4"/>
    <x v="0"/>
    <x v="0"/>
  </r>
  <r>
    <s v="TXN-20250824"/>
    <x v="300"/>
    <x v="822"/>
    <x v="3"/>
    <n v="8225.5499999999993"/>
    <x v="0"/>
    <n v="35"/>
    <s v="Female"/>
    <x v="4"/>
    <x v="2"/>
    <x v="0"/>
  </r>
  <r>
    <s v="TXN-20250825"/>
    <x v="27"/>
    <x v="823"/>
    <x v="1"/>
    <n v="10911.15"/>
    <x v="0"/>
    <n v="31"/>
    <s v="Female"/>
    <x v="7"/>
    <x v="1"/>
    <x v="0"/>
  </r>
  <r>
    <s v="TXN-20250826"/>
    <x v="92"/>
    <x v="824"/>
    <x v="3"/>
    <n v="17633.79"/>
    <x v="0"/>
    <n v="27"/>
    <s v="Female"/>
    <x v="4"/>
    <x v="0"/>
    <x v="0"/>
  </r>
  <r>
    <s v="TXN-20250827"/>
    <x v="49"/>
    <x v="825"/>
    <x v="1"/>
    <n v="114987.73"/>
    <x v="0"/>
    <n v="39"/>
    <s v="Male"/>
    <x v="1"/>
    <x v="3"/>
    <x v="0"/>
  </r>
  <r>
    <s v="TXN-20250828"/>
    <x v="140"/>
    <x v="826"/>
    <x v="4"/>
    <n v="2000"/>
    <x v="0"/>
    <n v="39"/>
    <s v="Female"/>
    <x v="0"/>
    <x v="1"/>
    <x v="3"/>
  </r>
  <r>
    <s v="TXN-20250829"/>
    <x v="159"/>
    <x v="827"/>
    <x v="1"/>
    <n v="20917.759999999998"/>
    <x v="0"/>
    <n v="52"/>
    <s v="Female"/>
    <x v="6"/>
    <x v="2"/>
    <x v="0"/>
  </r>
  <r>
    <s v="TXN-20250830"/>
    <x v="257"/>
    <x v="828"/>
    <x v="0"/>
    <n v="2019.76"/>
    <x v="2"/>
    <n v="38"/>
    <s v="Male"/>
    <x v="4"/>
    <x v="0"/>
    <x v="3"/>
  </r>
  <r>
    <s v="TXN-20250831"/>
    <x v="278"/>
    <x v="829"/>
    <x v="0"/>
    <n v="962.17"/>
    <x v="0"/>
    <n v="32"/>
    <s v="Male"/>
    <x v="4"/>
    <x v="0"/>
    <x v="2"/>
  </r>
  <r>
    <s v="TXN-20250832"/>
    <x v="143"/>
    <x v="830"/>
    <x v="2"/>
    <n v="6442.52"/>
    <x v="2"/>
    <n v="57"/>
    <s v="Male"/>
    <x v="0"/>
    <x v="1"/>
    <x v="3"/>
  </r>
  <r>
    <s v="TXN-20250833"/>
    <x v="295"/>
    <x v="831"/>
    <x v="2"/>
    <n v="4462.76"/>
    <x v="0"/>
    <n v="37"/>
    <s v="Female"/>
    <x v="4"/>
    <x v="2"/>
    <x v="3"/>
  </r>
  <r>
    <s v="TXN-20250834"/>
    <x v="87"/>
    <x v="832"/>
    <x v="2"/>
    <n v="6511.66"/>
    <x v="1"/>
    <n v="35"/>
    <s v="Female"/>
    <x v="8"/>
    <x v="0"/>
    <x v="1"/>
  </r>
  <r>
    <s v="TXN-20250835"/>
    <x v="317"/>
    <x v="833"/>
    <x v="2"/>
    <n v="7620.61"/>
    <x v="0"/>
    <n v="25"/>
    <s v="Female"/>
    <x v="4"/>
    <x v="0"/>
    <x v="0"/>
  </r>
  <r>
    <s v="TXN-20250836"/>
    <x v="56"/>
    <x v="834"/>
    <x v="1"/>
    <n v="12609.68"/>
    <x v="1"/>
    <n v="31"/>
    <s v="Male"/>
    <x v="4"/>
    <x v="2"/>
    <x v="0"/>
  </r>
  <r>
    <s v="TXN-20250837"/>
    <x v="318"/>
    <x v="835"/>
    <x v="2"/>
    <n v="4872.83"/>
    <x v="0"/>
    <n v="57"/>
    <s v="Female"/>
    <x v="0"/>
    <x v="1"/>
    <x v="3"/>
  </r>
  <r>
    <s v="TXN-20250838"/>
    <x v="65"/>
    <x v="836"/>
    <x v="0"/>
    <n v="636.95000000000005"/>
    <x v="0"/>
    <n v="24"/>
    <s v="Male"/>
    <x v="3"/>
    <x v="2"/>
    <x v="1"/>
  </r>
  <r>
    <s v="TXN-20250839"/>
    <x v="96"/>
    <x v="837"/>
    <x v="2"/>
    <n v="45741.98"/>
    <x v="0"/>
    <n v="30"/>
    <s v="Male"/>
    <x v="7"/>
    <x v="2"/>
    <x v="2"/>
  </r>
  <r>
    <s v="TXN-20250840"/>
    <x v="44"/>
    <x v="838"/>
    <x v="0"/>
    <n v="432.21"/>
    <x v="0"/>
    <n v="26"/>
    <s v="Male"/>
    <x v="9"/>
    <x v="1"/>
    <x v="0"/>
  </r>
  <r>
    <s v="TXN-20250841"/>
    <x v="86"/>
    <x v="839"/>
    <x v="0"/>
    <n v="1645.34"/>
    <x v="0"/>
    <n v="40"/>
    <s v="Male"/>
    <x v="4"/>
    <x v="2"/>
    <x v="0"/>
  </r>
  <r>
    <s v="TXN-20250842"/>
    <x v="50"/>
    <x v="840"/>
    <x v="3"/>
    <n v="6139.28"/>
    <x v="0"/>
    <n v="49"/>
    <s v="Male"/>
    <x v="1"/>
    <x v="1"/>
    <x v="0"/>
  </r>
  <r>
    <s v="TXN-20250843"/>
    <x v="319"/>
    <x v="841"/>
    <x v="0"/>
    <n v="2977.42"/>
    <x v="0"/>
    <n v="44"/>
    <s v="Male"/>
    <x v="2"/>
    <x v="1"/>
    <x v="0"/>
  </r>
  <r>
    <s v="TXN-20250844"/>
    <x v="286"/>
    <x v="842"/>
    <x v="4"/>
    <n v="10000"/>
    <x v="0"/>
    <n v="39"/>
    <s v="Female"/>
    <x v="6"/>
    <x v="1"/>
    <x v="0"/>
  </r>
  <r>
    <s v="TXN-20250845"/>
    <x v="18"/>
    <x v="843"/>
    <x v="1"/>
    <n v="7766.48"/>
    <x v="0"/>
    <n v="33"/>
    <s v="Male"/>
    <x v="1"/>
    <x v="2"/>
    <x v="0"/>
  </r>
  <r>
    <s v="TXN-20250846"/>
    <x v="320"/>
    <x v="844"/>
    <x v="1"/>
    <n v="1161.6500000000001"/>
    <x v="1"/>
    <n v="42"/>
    <s v="Female"/>
    <x v="1"/>
    <x v="0"/>
    <x v="0"/>
  </r>
  <r>
    <s v="TXN-20250847"/>
    <x v="67"/>
    <x v="845"/>
    <x v="1"/>
    <n v="44539.73"/>
    <x v="0"/>
    <n v="38"/>
    <s v="Male"/>
    <x v="4"/>
    <x v="0"/>
    <x v="1"/>
  </r>
  <r>
    <s v="TXN-20250848"/>
    <x v="67"/>
    <x v="846"/>
    <x v="1"/>
    <n v="2894.04"/>
    <x v="0"/>
    <n v="38"/>
    <s v="Male"/>
    <x v="4"/>
    <x v="0"/>
    <x v="3"/>
  </r>
  <r>
    <s v="TXN-20250849"/>
    <x v="290"/>
    <x v="847"/>
    <x v="1"/>
    <n v="3438.74"/>
    <x v="0"/>
    <n v="29"/>
    <s v="Male"/>
    <x v="1"/>
    <x v="0"/>
    <x v="2"/>
  </r>
  <r>
    <s v="TXN-20250850"/>
    <x v="181"/>
    <x v="848"/>
    <x v="2"/>
    <n v="17536.490000000002"/>
    <x v="0"/>
    <n v="35"/>
    <s v="Female"/>
    <x v="4"/>
    <x v="1"/>
    <x v="0"/>
  </r>
  <r>
    <s v="TXN-20250851"/>
    <x v="74"/>
    <x v="849"/>
    <x v="1"/>
    <n v="6710.88"/>
    <x v="0"/>
    <n v="31"/>
    <s v="Female"/>
    <x v="0"/>
    <x v="0"/>
    <x v="0"/>
  </r>
  <r>
    <s v="TXN-20250852"/>
    <x v="308"/>
    <x v="850"/>
    <x v="4"/>
    <n v="40000"/>
    <x v="0"/>
    <n v="28"/>
    <s v="Female"/>
    <x v="5"/>
    <x v="0"/>
    <x v="1"/>
  </r>
  <r>
    <s v="TXN-20250853"/>
    <x v="87"/>
    <x v="851"/>
    <x v="1"/>
    <n v="1481.75"/>
    <x v="0"/>
    <n v="35"/>
    <s v="Female"/>
    <x v="8"/>
    <x v="0"/>
    <x v="0"/>
  </r>
  <r>
    <s v="TXN-20250854"/>
    <x v="321"/>
    <x v="852"/>
    <x v="0"/>
    <n v="857.71"/>
    <x v="0"/>
    <n v="54"/>
    <s v="Female"/>
    <x v="9"/>
    <x v="3"/>
    <x v="0"/>
  </r>
  <r>
    <s v="TXN-20250855"/>
    <x v="130"/>
    <x v="853"/>
    <x v="2"/>
    <n v="8284.2999999999993"/>
    <x v="0"/>
    <n v="48"/>
    <s v="Male"/>
    <x v="4"/>
    <x v="0"/>
    <x v="0"/>
  </r>
  <r>
    <s v="TXN-20250856"/>
    <x v="125"/>
    <x v="854"/>
    <x v="3"/>
    <n v="1627.41"/>
    <x v="0"/>
    <n v="56"/>
    <s v="Female"/>
    <x v="7"/>
    <x v="2"/>
    <x v="0"/>
  </r>
  <r>
    <s v="TXN-20250857"/>
    <x v="145"/>
    <x v="855"/>
    <x v="1"/>
    <n v="89689.49"/>
    <x v="1"/>
    <n v="25"/>
    <s v="Female"/>
    <x v="4"/>
    <x v="1"/>
    <x v="0"/>
  </r>
  <r>
    <s v="TXN-20250858"/>
    <x v="139"/>
    <x v="856"/>
    <x v="1"/>
    <n v="5520.2"/>
    <x v="0"/>
    <n v="55"/>
    <s v="Female"/>
    <x v="9"/>
    <x v="2"/>
    <x v="0"/>
  </r>
  <r>
    <s v="TXN-20250859"/>
    <x v="138"/>
    <x v="857"/>
    <x v="0"/>
    <n v="1949.03"/>
    <x v="0"/>
    <n v="38"/>
    <s v="Male"/>
    <x v="4"/>
    <x v="0"/>
    <x v="3"/>
  </r>
  <r>
    <s v="TXN-20250860"/>
    <x v="53"/>
    <x v="858"/>
    <x v="0"/>
    <n v="1638.81"/>
    <x v="0"/>
    <n v="24"/>
    <s v="Male"/>
    <x v="7"/>
    <x v="0"/>
    <x v="3"/>
  </r>
  <r>
    <s v="TXN-20250861"/>
    <x v="203"/>
    <x v="859"/>
    <x v="0"/>
    <n v="225.32"/>
    <x v="0"/>
    <n v="28"/>
    <s v="Male"/>
    <x v="4"/>
    <x v="2"/>
    <x v="3"/>
  </r>
  <r>
    <s v="TXN-20250862"/>
    <x v="192"/>
    <x v="860"/>
    <x v="2"/>
    <n v="3797.45"/>
    <x v="0"/>
    <n v="26"/>
    <s v="Female"/>
    <x v="9"/>
    <x v="0"/>
    <x v="0"/>
  </r>
  <r>
    <s v="TXN-20250863"/>
    <x v="319"/>
    <x v="861"/>
    <x v="1"/>
    <n v="11586.76"/>
    <x v="0"/>
    <n v="44"/>
    <s v="Male"/>
    <x v="2"/>
    <x v="1"/>
    <x v="0"/>
  </r>
  <r>
    <s v="TXN-20250864"/>
    <x v="318"/>
    <x v="862"/>
    <x v="0"/>
    <n v="1502.85"/>
    <x v="0"/>
    <n v="57"/>
    <s v="Female"/>
    <x v="0"/>
    <x v="1"/>
    <x v="3"/>
  </r>
  <r>
    <s v="TXN-20250865"/>
    <x v="87"/>
    <x v="863"/>
    <x v="1"/>
    <n v="6614.09"/>
    <x v="1"/>
    <n v="35"/>
    <s v="Female"/>
    <x v="8"/>
    <x v="0"/>
    <x v="3"/>
  </r>
  <r>
    <s v="TXN-20250866"/>
    <x v="156"/>
    <x v="864"/>
    <x v="1"/>
    <n v="16328.96"/>
    <x v="0"/>
    <n v="26"/>
    <s v="Male"/>
    <x v="2"/>
    <x v="0"/>
    <x v="0"/>
  </r>
  <r>
    <s v="TXN-20250867"/>
    <x v="289"/>
    <x v="865"/>
    <x v="1"/>
    <n v="29334.93"/>
    <x v="1"/>
    <n v="27"/>
    <s v="Female"/>
    <x v="0"/>
    <x v="3"/>
    <x v="3"/>
  </r>
  <r>
    <s v="TXN-20250868"/>
    <x v="322"/>
    <x v="866"/>
    <x v="1"/>
    <n v="48609.98"/>
    <x v="0"/>
    <n v="31"/>
    <s v="Male"/>
    <x v="4"/>
    <x v="1"/>
    <x v="0"/>
  </r>
  <r>
    <s v="TXN-20250869"/>
    <x v="74"/>
    <x v="867"/>
    <x v="0"/>
    <n v="2041.12"/>
    <x v="0"/>
    <n v="31"/>
    <s v="Female"/>
    <x v="0"/>
    <x v="0"/>
    <x v="3"/>
  </r>
  <r>
    <s v="TXN-20250870"/>
    <x v="61"/>
    <x v="868"/>
    <x v="4"/>
    <n v="10000"/>
    <x v="0"/>
    <n v="31"/>
    <s v="Female"/>
    <x v="3"/>
    <x v="3"/>
    <x v="0"/>
  </r>
  <r>
    <s v="TXN-20250871"/>
    <x v="205"/>
    <x v="869"/>
    <x v="0"/>
    <n v="1427.06"/>
    <x v="0"/>
    <n v="57"/>
    <s v="Male"/>
    <x v="4"/>
    <x v="1"/>
    <x v="3"/>
  </r>
  <r>
    <s v="TXN-20250872"/>
    <x v="161"/>
    <x v="870"/>
    <x v="1"/>
    <n v="15815.83"/>
    <x v="0"/>
    <n v="53"/>
    <s v="Female"/>
    <x v="4"/>
    <x v="0"/>
    <x v="0"/>
  </r>
  <r>
    <s v="TXN-20250873"/>
    <x v="248"/>
    <x v="871"/>
    <x v="1"/>
    <n v="28772.29"/>
    <x v="0"/>
    <n v="45"/>
    <s v="Male"/>
    <x v="9"/>
    <x v="1"/>
    <x v="0"/>
  </r>
  <r>
    <s v="TXN-20250874"/>
    <x v="269"/>
    <x v="872"/>
    <x v="3"/>
    <n v="9134.8700000000008"/>
    <x v="0"/>
    <n v="37"/>
    <s v="Male"/>
    <x v="7"/>
    <x v="1"/>
    <x v="3"/>
  </r>
  <r>
    <s v="TXN-20250875"/>
    <x v="214"/>
    <x v="873"/>
    <x v="1"/>
    <n v="7823.9"/>
    <x v="0"/>
    <n v="39"/>
    <s v="Male"/>
    <x v="6"/>
    <x v="0"/>
    <x v="0"/>
  </r>
  <r>
    <s v="TXN-20250876"/>
    <x v="173"/>
    <x v="874"/>
    <x v="1"/>
    <n v="48260.29"/>
    <x v="0"/>
    <n v="30"/>
    <s v="Male"/>
    <x v="6"/>
    <x v="1"/>
    <x v="0"/>
  </r>
  <r>
    <s v="TXN-20250877"/>
    <x v="67"/>
    <x v="875"/>
    <x v="1"/>
    <n v="52454.94"/>
    <x v="0"/>
    <n v="38"/>
    <s v="Male"/>
    <x v="4"/>
    <x v="0"/>
    <x v="0"/>
  </r>
  <r>
    <s v="TXN-20250878"/>
    <x v="231"/>
    <x v="876"/>
    <x v="1"/>
    <n v="17292.95"/>
    <x v="0"/>
    <n v="56"/>
    <s v="Female"/>
    <x v="2"/>
    <x v="0"/>
    <x v="3"/>
  </r>
  <r>
    <s v="TXN-20250879"/>
    <x v="189"/>
    <x v="877"/>
    <x v="2"/>
    <n v="890.55"/>
    <x v="0"/>
    <n v="42"/>
    <s v="Female"/>
    <x v="4"/>
    <x v="0"/>
    <x v="3"/>
  </r>
  <r>
    <s v="TXN-20250880"/>
    <x v="323"/>
    <x v="878"/>
    <x v="3"/>
    <n v="9698.17"/>
    <x v="0"/>
    <n v="21"/>
    <s v="Female"/>
    <x v="4"/>
    <x v="1"/>
    <x v="0"/>
  </r>
  <r>
    <s v="TXN-20250881"/>
    <x v="74"/>
    <x v="879"/>
    <x v="0"/>
    <n v="3696.13"/>
    <x v="1"/>
    <n v="31"/>
    <s v="Female"/>
    <x v="0"/>
    <x v="0"/>
    <x v="3"/>
  </r>
  <r>
    <s v="TXN-20250882"/>
    <x v="290"/>
    <x v="880"/>
    <x v="1"/>
    <n v="4724.8"/>
    <x v="0"/>
    <n v="29"/>
    <s v="Male"/>
    <x v="1"/>
    <x v="0"/>
    <x v="3"/>
  </r>
  <r>
    <s v="TXN-20250883"/>
    <x v="42"/>
    <x v="881"/>
    <x v="0"/>
    <n v="895.87"/>
    <x v="1"/>
    <n v="39"/>
    <s v="Male"/>
    <x v="0"/>
    <x v="3"/>
    <x v="2"/>
  </r>
  <r>
    <s v="TXN-20250884"/>
    <x v="70"/>
    <x v="882"/>
    <x v="2"/>
    <n v="4888.88"/>
    <x v="0"/>
    <n v="28"/>
    <s v="Female"/>
    <x v="4"/>
    <x v="0"/>
    <x v="0"/>
  </r>
  <r>
    <s v="TXN-20250885"/>
    <x v="97"/>
    <x v="43"/>
    <x v="1"/>
    <n v="4954.75"/>
    <x v="0"/>
    <n v="35"/>
    <s v="Male"/>
    <x v="2"/>
    <x v="0"/>
    <x v="2"/>
  </r>
  <r>
    <s v="TXN-20250886"/>
    <x v="102"/>
    <x v="883"/>
    <x v="2"/>
    <n v="41365.9"/>
    <x v="0"/>
    <n v="58"/>
    <s v="Female"/>
    <x v="3"/>
    <x v="2"/>
    <x v="3"/>
  </r>
  <r>
    <s v="TXN-20250887"/>
    <x v="170"/>
    <x v="884"/>
    <x v="2"/>
    <n v="4349.13"/>
    <x v="0"/>
    <n v="31"/>
    <s v="Female"/>
    <x v="2"/>
    <x v="2"/>
    <x v="0"/>
  </r>
  <r>
    <s v="TXN-20250888"/>
    <x v="238"/>
    <x v="885"/>
    <x v="3"/>
    <n v="6967.41"/>
    <x v="0"/>
    <n v="33"/>
    <s v="Male"/>
    <x v="5"/>
    <x v="0"/>
    <x v="3"/>
  </r>
  <r>
    <s v="TXN-20250889"/>
    <x v="8"/>
    <x v="886"/>
    <x v="0"/>
    <n v="3764.79"/>
    <x v="0"/>
    <n v="53"/>
    <s v="Male"/>
    <x v="6"/>
    <x v="2"/>
    <x v="0"/>
  </r>
  <r>
    <s v="TXN-20250890"/>
    <x v="302"/>
    <x v="887"/>
    <x v="0"/>
    <n v="1797.02"/>
    <x v="0"/>
    <n v="39"/>
    <s v="Male"/>
    <x v="1"/>
    <x v="2"/>
    <x v="3"/>
  </r>
  <r>
    <s v="TXN-20250891"/>
    <x v="254"/>
    <x v="888"/>
    <x v="1"/>
    <n v="4465.95"/>
    <x v="0"/>
    <n v="28"/>
    <s v="Female"/>
    <x v="7"/>
    <x v="0"/>
    <x v="0"/>
  </r>
  <r>
    <s v="TXN-20250892"/>
    <x v="3"/>
    <x v="889"/>
    <x v="3"/>
    <n v="4020.63"/>
    <x v="2"/>
    <n v="35"/>
    <s v="Female"/>
    <x v="3"/>
    <x v="0"/>
    <x v="0"/>
  </r>
  <r>
    <s v="TXN-20250893"/>
    <x v="100"/>
    <x v="890"/>
    <x v="1"/>
    <n v="15751.25"/>
    <x v="0"/>
    <n v="36"/>
    <s v="Female"/>
    <x v="4"/>
    <x v="0"/>
    <x v="3"/>
  </r>
  <r>
    <s v="TXN-20250894"/>
    <x v="211"/>
    <x v="891"/>
    <x v="0"/>
    <n v="414.98"/>
    <x v="0"/>
    <n v="23"/>
    <s v="Male"/>
    <x v="2"/>
    <x v="0"/>
    <x v="0"/>
  </r>
  <r>
    <s v="TXN-20250895"/>
    <x v="70"/>
    <x v="892"/>
    <x v="1"/>
    <n v="2309.7800000000002"/>
    <x v="0"/>
    <n v="28"/>
    <s v="Female"/>
    <x v="4"/>
    <x v="0"/>
    <x v="0"/>
  </r>
  <r>
    <s v="TXN-20250896"/>
    <x v="89"/>
    <x v="893"/>
    <x v="0"/>
    <n v="3333.71"/>
    <x v="0"/>
    <n v="35"/>
    <s v="Male"/>
    <x v="4"/>
    <x v="0"/>
    <x v="1"/>
  </r>
  <r>
    <s v="TXN-20250897"/>
    <x v="290"/>
    <x v="894"/>
    <x v="0"/>
    <n v="686.62"/>
    <x v="0"/>
    <n v="29"/>
    <s v="Male"/>
    <x v="1"/>
    <x v="0"/>
    <x v="3"/>
  </r>
  <r>
    <s v="TXN-20250898"/>
    <x v="191"/>
    <x v="895"/>
    <x v="0"/>
    <n v="2346.19"/>
    <x v="0"/>
    <n v="27"/>
    <s v="Male"/>
    <x v="7"/>
    <x v="1"/>
    <x v="0"/>
  </r>
  <r>
    <s v="TXN-20250899"/>
    <x v="48"/>
    <x v="896"/>
    <x v="1"/>
    <n v="7921.61"/>
    <x v="0"/>
    <n v="59"/>
    <s v="Male"/>
    <x v="0"/>
    <x v="0"/>
    <x v="0"/>
  </r>
  <r>
    <s v="TXN-20250900"/>
    <x v="227"/>
    <x v="897"/>
    <x v="0"/>
    <n v="361.92"/>
    <x v="0"/>
    <n v="51"/>
    <s v="Male"/>
    <x v="4"/>
    <x v="0"/>
    <x v="0"/>
  </r>
  <r>
    <s v="TXN-20250901"/>
    <x v="66"/>
    <x v="898"/>
    <x v="1"/>
    <n v="14587.64"/>
    <x v="0"/>
    <n v="32"/>
    <s v="Male"/>
    <x v="4"/>
    <x v="2"/>
    <x v="3"/>
  </r>
  <r>
    <s v="TXN-20250902"/>
    <x v="187"/>
    <x v="899"/>
    <x v="1"/>
    <n v="26296.85"/>
    <x v="0"/>
    <n v="28"/>
    <s v="Male"/>
    <x v="3"/>
    <x v="0"/>
    <x v="0"/>
  </r>
  <r>
    <s v="TXN-20250903"/>
    <x v="292"/>
    <x v="900"/>
    <x v="2"/>
    <n v="4956.47"/>
    <x v="0"/>
    <n v="25"/>
    <s v="Female"/>
    <x v="4"/>
    <x v="0"/>
    <x v="1"/>
  </r>
  <r>
    <s v="TXN-20250904"/>
    <x v="117"/>
    <x v="901"/>
    <x v="1"/>
    <n v="94960.05"/>
    <x v="0"/>
    <n v="39"/>
    <s v="Male"/>
    <x v="2"/>
    <x v="0"/>
    <x v="0"/>
  </r>
  <r>
    <s v="TXN-20250905"/>
    <x v="161"/>
    <x v="902"/>
    <x v="1"/>
    <n v="6680.16"/>
    <x v="0"/>
    <n v="53"/>
    <s v="Female"/>
    <x v="4"/>
    <x v="0"/>
    <x v="0"/>
  </r>
  <r>
    <s v="TXN-20250906"/>
    <x v="314"/>
    <x v="903"/>
    <x v="1"/>
    <n v="8824.7800000000007"/>
    <x v="0"/>
    <n v="36"/>
    <s v="Female"/>
    <x v="4"/>
    <x v="3"/>
    <x v="0"/>
  </r>
  <r>
    <s v="TXN-20250907"/>
    <x v="223"/>
    <x v="904"/>
    <x v="4"/>
    <n v="2000"/>
    <x v="0"/>
    <n v="49"/>
    <s v="Male"/>
    <x v="4"/>
    <x v="0"/>
    <x v="0"/>
  </r>
  <r>
    <s v="TXN-20250908"/>
    <x v="258"/>
    <x v="905"/>
    <x v="4"/>
    <n v="2000"/>
    <x v="0"/>
    <n v="31"/>
    <s v="Male"/>
    <x v="4"/>
    <x v="3"/>
    <x v="0"/>
  </r>
  <r>
    <s v="TXN-20250909"/>
    <x v="252"/>
    <x v="906"/>
    <x v="0"/>
    <n v="1184.4000000000001"/>
    <x v="0"/>
    <n v="20"/>
    <s v="Male"/>
    <x v="6"/>
    <x v="0"/>
    <x v="0"/>
  </r>
  <r>
    <s v="TXN-20250910"/>
    <x v="240"/>
    <x v="907"/>
    <x v="0"/>
    <n v="939.54"/>
    <x v="0"/>
    <n v="35"/>
    <s v="Male"/>
    <x v="2"/>
    <x v="0"/>
    <x v="3"/>
  </r>
  <r>
    <s v="TXN-20250911"/>
    <x v="324"/>
    <x v="908"/>
    <x v="3"/>
    <n v="17107.34"/>
    <x v="0"/>
    <n v="32"/>
    <s v="Male"/>
    <x v="9"/>
    <x v="0"/>
    <x v="0"/>
  </r>
  <r>
    <s v="TXN-20250912"/>
    <x v="117"/>
    <x v="909"/>
    <x v="1"/>
    <n v="41561.879999999997"/>
    <x v="0"/>
    <n v="39"/>
    <s v="Male"/>
    <x v="2"/>
    <x v="0"/>
    <x v="1"/>
  </r>
  <r>
    <s v="TXN-20250913"/>
    <x v="213"/>
    <x v="910"/>
    <x v="3"/>
    <n v="37019.050000000003"/>
    <x v="0"/>
    <n v="46"/>
    <s v="Male"/>
    <x v="2"/>
    <x v="1"/>
    <x v="0"/>
  </r>
  <r>
    <s v="TXN-20250914"/>
    <x v="288"/>
    <x v="911"/>
    <x v="0"/>
    <n v="916.52"/>
    <x v="0"/>
    <n v="27"/>
    <s v="Female"/>
    <x v="4"/>
    <x v="0"/>
    <x v="2"/>
  </r>
  <r>
    <s v="TXN-20250915"/>
    <x v="300"/>
    <x v="912"/>
    <x v="1"/>
    <n v="9909.76"/>
    <x v="0"/>
    <n v="35"/>
    <s v="Female"/>
    <x v="4"/>
    <x v="2"/>
    <x v="0"/>
  </r>
  <r>
    <s v="TXN-20250916"/>
    <x v="67"/>
    <x v="913"/>
    <x v="0"/>
    <n v="2060.35"/>
    <x v="1"/>
    <n v="38"/>
    <s v="Male"/>
    <x v="4"/>
    <x v="0"/>
    <x v="0"/>
  </r>
  <r>
    <s v="TXN-20250917"/>
    <x v="216"/>
    <x v="914"/>
    <x v="0"/>
    <n v="1238.82"/>
    <x v="0"/>
    <n v="48"/>
    <s v="Female"/>
    <x v="4"/>
    <x v="0"/>
    <x v="0"/>
  </r>
  <r>
    <s v="TXN-20250918"/>
    <x v="230"/>
    <x v="915"/>
    <x v="1"/>
    <n v="19162.509999999998"/>
    <x v="0"/>
    <n v="27"/>
    <s v="Female"/>
    <x v="4"/>
    <x v="0"/>
    <x v="3"/>
  </r>
  <r>
    <s v="TXN-20250919"/>
    <x v="39"/>
    <x v="916"/>
    <x v="3"/>
    <n v="509.45"/>
    <x v="1"/>
    <n v="47"/>
    <s v="Female"/>
    <x v="4"/>
    <x v="0"/>
    <x v="0"/>
  </r>
  <r>
    <s v="TXN-20250920"/>
    <x v="293"/>
    <x v="917"/>
    <x v="1"/>
    <n v="15972.13"/>
    <x v="0"/>
    <n v="45"/>
    <s v="Female"/>
    <x v="4"/>
    <x v="0"/>
    <x v="0"/>
  </r>
  <r>
    <s v="TXN-20250921"/>
    <x v="131"/>
    <x v="918"/>
    <x v="2"/>
    <n v="3005.5"/>
    <x v="0"/>
    <n v="48"/>
    <s v="Male"/>
    <x v="4"/>
    <x v="0"/>
    <x v="0"/>
  </r>
  <r>
    <s v="TXN-20250922"/>
    <x v="272"/>
    <x v="919"/>
    <x v="0"/>
    <n v="1877.32"/>
    <x v="0"/>
    <n v="37"/>
    <s v="Male"/>
    <x v="8"/>
    <x v="0"/>
    <x v="0"/>
  </r>
  <r>
    <s v="TXN-20250923"/>
    <x v="116"/>
    <x v="920"/>
    <x v="1"/>
    <n v="24836.17"/>
    <x v="0"/>
    <n v="32"/>
    <s v="Female"/>
    <x v="6"/>
    <x v="0"/>
    <x v="1"/>
  </r>
  <r>
    <s v="TXN-20250924"/>
    <x v="309"/>
    <x v="921"/>
    <x v="1"/>
    <n v="6768.28"/>
    <x v="0"/>
    <n v="40"/>
    <s v="Female"/>
    <x v="7"/>
    <x v="1"/>
    <x v="3"/>
  </r>
  <r>
    <s v="TXN-20250925"/>
    <x v="27"/>
    <x v="922"/>
    <x v="1"/>
    <n v="2175"/>
    <x v="0"/>
    <n v="31"/>
    <s v="Female"/>
    <x v="7"/>
    <x v="1"/>
    <x v="0"/>
  </r>
  <r>
    <s v="TXN-20250926"/>
    <x v="325"/>
    <x v="923"/>
    <x v="3"/>
    <n v="10258.780000000001"/>
    <x v="0"/>
    <n v="32"/>
    <s v="Male"/>
    <x v="4"/>
    <x v="1"/>
    <x v="0"/>
  </r>
  <r>
    <s v="TXN-20250927"/>
    <x v="1"/>
    <x v="924"/>
    <x v="1"/>
    <n v="1866.28"/>
    <x v="0"/>
    <n v="43"/>
    <s v="Male"/>
    <x v="1"/>
    <x v="0"/>
    <x v="2"/>
  </r>
  <r>
    <s v="TXN-20250928"/>
    <x v="131"/>
    <x v="925"/>
    <x v="1"/>
    <n v="12859.26"/>
    <x v="0"/>
    <n v="48"/>
    <s v="Male"/>
    <x v="4"/>
    <x v="0"/>
    <x v="1"/>
  </r>
  <r>
    <s v="TXN-20250929"/>
    <x v="278"/>
    <x v="926"/>
    <x v="0"/>
    <n v="1527.75"/>
    <x v="0"/>
    <n v="32"/>
    <s v="Male"/>
    <x v="4"/>
    <x v="0"/>
    <x v="0"/>
  </r>
  <r>
    <s v="TXN-20250930"/>
    <x v="109"/>
    <x v="927"/>
    <x v="2"/>
    <n v="4044.68"/>
    <x v="0"/>
    <n v="42"/>
    <s v="Female"/>
    <x v="7"/>
    <x v="0"/>
    <x v="2"/>
  </r>
  <r>
    <s v="TXN-20250931"/>
    <x v="280"/>
    <x v="928"/>
    <x v="3"/>
    <n v="1953.93"/>
    <x v="0"/>
    <n v="39"/>
    <s v="Male"/>
    <x v="1"/>
    <x v="0"/>
    <x v="0"/>
  </r>
  <r>
    <s v="TXN-20250932"/>
    <x v="304"/>
    <x v="929"/>
    <x v="1"/>
    <n v="14123.53"/>
    <x v="0"/>
    <n v="43"/>
    <s v="Male"/>
    <x v="8"/>
    <x v="0"/>
    <x v="0"/>
  </r>
  <r>
    <s v="TXN-20250933"/>
    <x v="92"/>
    <x v="930"/>
    <x v="1"/>
    <n v="41860.47"/>
    <x v="0"/>
    <n v="27"/>
    <s v="Female"/>
    <x v="4"/>
    <x v="0"/>
    <x v="3"/>
  </r>
  <r>
    <s v="TXN-20250934"/>
    <x v="97"/>
    <x v="931"/>
    <x v="3"/>
    <n v="2108.71"/>
    <x v="0"/>
    <n v="35"/>
    <s v="Male"/>
    <x v="2"/>
    <x v="0"/>
    <x v="0"/>
  </r>
  <r>
    <s v="TXN-20250935"/>
    <x v="177"/>
    <x v="932"/>
    <x v="0"/>
    <n v="273.76"/>
    <x v="2"/>
    <n v="44"/>
    <s v="Female"/>
    <x v="4"/>
    <x v="3"/>
    <x v="0"/>
  </r>
  <r>
    <s v="TXN-20250936"/>
    <x v="308"/>
    <x v="933"/>
    <x v="1"/>
    <n v="5930.42"/>
    <x v="0"/>
    <n v="28"/>
    <s v="Female"/>
    <x v="5"/>
    <x v="0"/>
    <x v="0"/>
  </r>
  <r>
    <s v="TXN-20250937"/>
    <x v="123"/>
    <x v="934"/>
    <x v="0"/>
    <n v="466.74"/>
    <x v="0"/>
    <n v="53"/>
    <s v="Female"/>
    <x v="4"/>
    <x v="3"/>
    <x v="3"/>
  </r>
  <r>
    <s v="TXN-20250938"/>
    <x v="173"/>
    <x v="935"/>
    <x v="2"/>
    <n v="3185.78"/>
    <x v="0"/>
    <n v="30"/>
    <s v="Male"/>
    <x v="6"/>
    <x v="1"/>
    <x v="2"/>
  </r>
  <r>
    <s v="TXN-20250939"/>
    <x v="326"/>
    <x v="936"/>
    <x v="1"/>
    <n v="64920.99"/>
    <x v="1"/>
    <n v="42"/>
    <s v="Male"/>
    <x v="4"/>
    <x v="3"/>
    <x v="3"/>
  </r>
  <r>
    <s v="TXN-20250940"/>
    <x v="327"/>
    <x v="937"/>
    <x v="2"/>
    <n v="6905.87"/>
    <x v="1"/>
    <n v="40"/>
    <s v="Female"/>
    <x v="6"/>
    <x v="0"/>
    <x v="3"/>
  </r>
  <r>
    <s v="TXN-20250941"/>
    <x v="211"/>
    <x v="938"/>
    <x v="1"/>
    <n v="1833.5"/>
    <x v="0"/>
    <n v="23"/>
    <s v="Male"/>
    <x v="2"/>
    <x v="0"/>
    <x v="0"/>
  </r>
  <r>
    <s v="TXN-20250942"/>
    <x v="154"/>
    <x v="939"/>
    <x v="0"/>
    <n v="901.98"/>
    <x v="1"/>
    <n v="27"/>
    <s v="Male"/>
    <x v="5"/>
    <x v="2"/>
    <x v="3"/>
  </r>
  <r>
    <s v="TXN-20250943"/>
    <x v="68"/>
    <x v="940"/>
    <x v="1"/>
    <n v="15638.89"/>
    <x v="2"/>
    <n v="34"/>
    <s v="Male"/>
    <x v="6"/>
    <x v="0"/>
    <x v="2"/>
  </r>
  <r>
    <s v="TXN-20250944"/>
    <x v="328"/>
    <x v="941"/>
    <x v="1"/>
    <n v="5030.9799999999996"/>
    <x v="0"/>
    <n v="36"/>
    <s v="Male"/>
    <x v="7"/>
    <x v="2"/>
    <x v="0"/>
  </r>
  <r>
    <s v="TXN-20250945"/>
    <x v="2"/>
    <x v="942"/>
    <x v="2"/>
    <n v="38283.26"/>
    <x v="2"/>
    <n v="35"/>
    <s v="Male"/>
    <x v="2"/>
    <x v="0"/>
    <x v="0"/>
  </r>
  <r>
    <s v="TXN-20250946"/>
    <x v="307"/>
    <x v="943"/>
    <x v="1"/>
    <n v="20299.560000000001"/>
    <x v="0"/>
    <n v="40"/>
    <s v="Male"/>
    <x v="4"/>
    <x v="3"/>
    <x v="2"/>
  </r>
  <r>
    <s v="TXN-20250947"/>
    <x v="209"/>
    <x v="944"/>
    <x v="2"/>
    <n v="779.52"/>
    <x v="0"/>
    <n v="53"/>
    <s v="Female"/>
    <x v="1"/>
    <x v="0"/>
    <x v="2"/>
  </r>
  <r>
    <s v="TXN-20250948"/>
    <x v="308"/>
    <x v="945"/>
    <x v="0"/>
    <n v="1478.79"/>
    <x v="0"/>
    <n v="28"/>
    <s v="Female"/>
    <x v="5"/>
    <x v="0"/>
    <x v="2"/>
  </r>
  <r>
    <s v="TXN-20250949"/>
    <x v="285"/>
    <x v="946"/>
    <x v="1"/>
    <n v="48776.14"/>
    <x v="0"/>
    <n v="28"/>
    <s v="Male"/>
    <x v="4"/>
    <x v="0"/>
    <x v="3"/>
  </r>
  <r>
    <s v="TXN-20250950"/>
    <x v="320"/>
    <x v="947"/>
    <x v="1"/>
    <n v="23044.01"/>
    <x v="0"/>
    <n v="42"/>
    <s v="Female"/>
    <x v="1"/>
    <x v="0"/>
    <x v="1"/>
  </r>
  <r>
    <s v="TXN-20250951"/>
    <x v="102"/>
    <x v="948"/>
    <x v="4"/>
    <n v="10000"/>
    <x v="0"/>
    <n v="58"/>
    <s v="Female"/>
    <x v="3"/>
    <x v="2"/>
    <x v="0"/>
  </r>
  <r>
    <s v="TXN-20250952"/>
    <x v="218"/>
    <x v="949"/>
    <x v="1"/>
    <n v="12497.16"/>
    <x v="0"/>
    <n v="25"/>
    <s v="Male"/>
    <x v="9"/>
    <x v="2"/>
    <x v="3"/>
  </r>
  <r>
    <s v="TXN-20250953"/>
    <x v="279"/>
    <x v="950"/>
    <x v="0"/>
    <n v="1280.25"/>
    <x v="0"/>
    <n v="28"/>
    <s v="Male"/>
    <x v="4"/>
    <x v="0"/>
    <x v="1"/>
  </r>
  <r>
    <s v="TXN-20250954"/>
    <x v="146"/>
    <x v="951"/>
    <x v="1"/>
    <n v="4492.26"/>
    <x v="0"/>
    <n v="32"/>
    <s v="Male"/>
    <x v="4"/>
    <x v="0"/>
    <x v="0"/>
  </r>
  <r>
    <s v="TXN-20250955"/>
    <x v="38"/>
    <x v="952"/>
    <x v="1"/>
    <n v="85515.89"/>
    <x v="0"/>
    <n v="42"/>
    <s v="Female"/>
    <x v="4"/>
    <x v="1"/>
    <x v="2"/>
  </r>
  <r>
    <s v="TXN-20250956"/>
    <x v="315"/>
    <x v="953"/>
    <x v="0"/>
    <n v="7853.05"/>
    <x v="1"/>
    <n v="32"/>
    <s v="Female"/>
    <x v="4"/>
    <x v="0"/>
    <x v="0"/>
  </r>
  <r>
    <s v="TXN-20250957"/>
    <x v="301"/>
    <x v="954"/>
    <x v="1"/>
    <n v="24804.799999999999"/>
    <x v="0"/>
    <n v="39"/>
    <s v="Female"/>
    <x v="4"/>
    <x v="0"/>
    <x v="3"/>
  </r>
  <r>
    <s v="TXN-20250958"/>
    <x v="69"/>
    <x v="955"/>
    <x v="1"/>
    <n v="131129.03"/>
    <x v="0"/>
    <n v="19"/>
    <s v="Female"/>
    <x v="8"/>
    <x v="1"/>
    <x v="1"/>
  </r>
  <r>
    <s v="TXN-20250959"/>
    <x v="325"/>
    <x v="956"/>
    <x v="0"/>
    <n v="2801.4"/>
    <x v="0"/>
    <n v="32"/>
    <s v="Male"/>
    <x v="4"/>
    <x v="1"/>
    <x v="0"/>
  </r>
  <r>
    <s v="TXN-20250960"/>
    <x v="185"/>
    <x v="957"/>
    <x v="0"/>
    <n v="1073.79"/>
    <x v="1"/>
    <n v="26"/>
    <s v="Male"/>
    <x v="0"/>
    <x v="3"/>
    <x v="0"/>
  </r>
  <r>
    <s v="TXN-20250961"/>
    <x v="252"/>
    <x v="958"/>
    <x v="1"/>
    <n v="29156.61"/>
    <x v="0"/>
    <n v="20"/>
    <s v="Male"/>
    <x v="6"/>
    <x v="0"/>
    <x v="3"/>
  </r>
  <r>
    <s v="TXN-20250962"/>
    <x v="314"/>
    <x v="959"/>
    <x v="1"/>
    <n v="69559.95"/>
    <x v="0"/>
    <n v="36"/>
    <s v="Female"/>
    <x v="4"/>
    <x v="3"/>
    <x v="3"/>
  </r>
  <r>
    <s v="TXN-20250963"/>
    <x v="141"/>
    <x v="960"/>
    <x v="1"/>
    <n v="29807.7"/>
    <x v="0"/>
    <n v="51"/>
    <s v="Male"/>
    <x v="1"/>
    <x v="0"/>
    <x v="1"/>
  </r>
  <r>
    <s v="TXN-20250964"/>
    <x v="294"/>
    <x v="961"/>
    <x v="1"/>
    <n v="58697.5"/>
    <x v="0"/>
    <n v="39"/>
    <s v="Female"/>
    <x v="1"/>
    <x v="0"/>
    <x v="3"/>
  </r>
  <r>
    <s v="TXN-20250965"/>
    <x v="94"/>
    <x v="962"/>
    <x v="3"/>
    <n v="29137.75"/>
    <x v="0"/>
    <n v="37"/>
    <s v="Male"/>
    <x v="4"/>
    <x v="1"/>
    <x v="0"/>
  </r>
  <r>
    <s v="TXN-20250966"/>
    <x v="232"/>
    <x v="963"/>
    <x v="0"/>
    <n v="1210.08"/>
    <x v="1"/>
    <n v="23"/>
    <s v="Female"/>
    <x v="0"/>
    <x v="1"/>
    <x v="2"/>
  </r>
  <r>
    <s v="TXN-20250967"/>
    <x v="254"/>
    <x v="964"/>
    <x v="2"/>
    <n v="3324.09"/>
    <x v="0"/>
    <n v="28"/>
    <s v="Female"/>
    <x v="7"/>
    <x v="0"/>
    <x v="0"/>
  </r>
  <r>
    <s v="TXN-20250968"/>
    <x v="31"/>
    <x v="965"/>
    <x v="3"/>
    <n v="5132.83"/>
    <x v="0"/>
    <n v="45"/>
    <s v="Female"/>
    <x v="4"/>
    <x v="0"/>
    <x v="3"/>
  </r>
  <r>
    <s v="TXN-20250969"/>
    <x v="329"/>
    <x v="966"/>
    <x v="2"/>
    <n v="3989.25"/>
    <x v="0"/>
    <n v="38"/>
    <s v="Male"/>
    <x v="1"/>
    <x v="0"/>
    <x v="0"/>
  </r>
  <r>
    <s v="TXN-20250970"/>
    <x v="275"/>
    <x v="967"/>
    <x v="2"/>
    <n v="37798.31"/>
    <x v="0"/>
    <n v="39"/>
    <s v="Male"/>
    <x v="7"/>
    <x v="0"/>
    <x v="0"/>
  </r>
  <r>
    <s v="TXN-20250971"/>
    <x v="328"/>
    <x v="968"/>
    <x v="1"/>
    <n v="56214.76"/>
    <x v="0"/>
    <n v="36"/>
    <s v="Male"/>
    <x v="7"/>
    <x v="2"/>
    <x v="0"/>
  </r>
  <r>
    <s v="TXN-20250972"/>
    <x v="262"/>
    <x v="969"/>
    <x v="1"/>
    <n v="14332.87"/>
    <x v="0"/>
    <n v="33"/>
    <s v="Male"/>
    <x v="4"/>
    <x v="1"/>
    <x v="3"/>
  </r>
  <r>
    <s v="TXN-20250973"/>
    <x v="256"/>
    <x v="970"/>
    <x v="2"/>
    <n v="5234.58"/>
    <x v="0"/>
    <n v="33"/>
    <s v="Female"/>
    <x v="1"/>
    <x v="0"/>
    <x v="3"/>
  </r>
  <r>
    <s v="TXN-20250974"/>
    <x v="209"/>
    <x v="971"/>
    <x v="4"/>
    <n v="10000"/>
    <x v="0"/>
    <n v="53"/>
    <s v="Female"/>
    <x v="1"/>
    <x v="0"/>
    <x v="1"/>
  </r>
  <r>
    <s v="TXN-20250975"/>
    <x v="183"/>
    <x v="972"/>
    <x v="0"/>
    <n v="2001.8"/>
    <x v="0"/>
    <n v="27"/>
    <s v="Female"/>
    <x v="1"/>
    <x v="0"/>
    <x v="2"/>
  </r>
  <r>
    <s v="TXN-20250976"/>
    <x v="177"/>
    <x v="973"/>
    <x v="1"/>
    <n v="26657.89"/>
    <x v="0"/>
    <n v="44"/>
    <s v="Female"/>
    <x v="4"/>
    <x v="3"/>
    <x v="0"/>
  </r>
  <r>
    <s v="TXN-20250977"/>
    <x v="128"/>
    <x v="974"/>
    <x v="0"/>
    <n v="551.54999999999995"/>
    <x v="0"/>
    <n v="55"/>
    <s v="Male"/>
    <x v="4"/>
    <x v="2"/>
    <x v="3"/>
  </r>
  <r>
    <s v="TXN-20250978"/>
    <x v="65"/>
    <x v="975"/>
    <x v="2"/>
    <n v="11872.25"/>
    <x v="0"/>
    <n v="24"/>
    <s v="Male"/>
    <x v="3"/>
    <x v="2"/>
    <x v="0"/>
  </r>
  <r>
    <s v="TXN-20250979"/>
    <x v="161"/>
    <x v="976"/>
    <x v="1"/>
    <n v="5964.07"/>
    <x v="0"/>
    <n v="53"/>
    <s v="Female"/>
    <x v="4"/>
    <x v="0"/>
    <x v="2"/>
  </r>
  <r>
    <s v="TXN-20250980"/>
    <x v="330"/>
    <x v="977"/>
    <x v="0"/>
    <n v="2772.03"/>
    <x v="0"/>
    <n v="30"/>
    <s v="Male"/>
    <x v="8"/>
    <x v="0"/>
    <x v="3"/>
  </r>
  <r>
    <s v="TXN-20250981"/>
    <x v="74"/>
    <x v="978"/>
    <x v="1"/>
    <n v="22529.27"/>
    <x v="0"/>
    <n v="31"/>
    <s v="Female"/>
    <x v="0"/>
    <x v="0"/>
    <x v="2"/>
  </r>
  <r>
    <s v="TXN-20250982"/>
    <x v="287"/>
    <x v="979"/>
    <x v="2"/>
    <n v="601.82000000000005"/>
    <x v="0"/>
    <n v="38"/>
    <s v="Female"/>
    <x v="9"/>
    <x v="2"/>
    <x v="2"/>
  </r>
  <r>
    <s v="TXN-20250983"/>
    <x v="149"/>
    <x v="980"/>
    <x v="1"/>
    <n v="23744.02"/>
    <x v="0"/>
    <n v="35"/>
    <s v="Male"/>
    <x v="4"/>
    <x v="2"/>
    <x v="0"/>
  </r>
  <r>
    <s v="TXN-20250984"/>
    <x v="214"/>
    <x v="981"/>
    <x v="1"/>
    <n v="51555.01"/>
    <x v="0"/>
    <n v="39"/>
    <s v="Male"/>
    <x v="6"/>
    <x v="0"/>
    <x v="0"/>
  </r>
  <r>
    <s v="TXN-20250985"/>
    <x v="210"/>
    <x v="982"/>
    <x v="1"/>
    <n v="97183.92"/>
    <x v="0"/>
    <n v="32"/>
    <s v="Male"/>
    <x v="4"/>
    <x v="1"/>
    <x v="3"/>
  </r>
  <r>
    <s v="TXN-20250986"/>
    <x v="115"/>
    <x v="983"/>
    <x v="0"/>
    <n v="1391.99"/>
    <x v="1"/>
    <n v="60"/>
    <s v="Female"/>
    <x v="1"/>
    <x v="0"/>
    <x v="0"/>
  </r>
  <r>
    <s v="TXN-20250987"/>
    <x v="71"/>
    <x v="984"/>
    <x v="3"/>
    <n v="2866.05"/>
    <x v="0"/>
    <n v="27"/>
    <s v="Male"/>
    <x v="1"/>
    <x v="0"/>
    <x v="0"/>
  </r>
  <r>
    <s v="TXN-20250988"/>
    <x v="234"/>
    <x v="985"/>
    <x v="4"/>
    <n v="40000"/>
    <x v="1"/>
    <n v="55"/>
    <s v="Male"/>
    <x v="3"/>
    <x v="1"/>
    <x v="1"/>
  </r>
  <r>
    <s v="TXN-20250989"/>
    <x v="262"/>
    <x v="986"/>
    <x v="0"/>
    <n v="2512.62"/>
    <x v="0"/>
    <n v="33"/>
    <s v="Male"/>
    <x v="4"/>
    <x v="1"/>
    <x v="2"/>
  </r>
  <r>
    <s v="TXN-20250990"/>
    <x v="322"/>
    <x v="987"/>
    <x v="1"/>
    <n v="1473.72"/>
    <x v="0"/>
    <n v="31"/>
    <s v="Male"/>
    <x v="4"/>
    <x v="1"/>
    <x v="0"/>
  </r>
  <r>
    <s v="TXN-20250991"/>
    <x v="227"/>
    <x v="988"/>
    <x v="0"/>
    <n v="829.7"/>
    <x v="0"/>
    <n v="51"/>
    <s v="Male"/>
    <x v="4"/>
    <x v="0"/>
    <x v="0"/>
  </r>
  <r>
    <s v="TXN-20250992"/>
    <x v="173"/>
    <x v="989"/>
    <x v="1"/>
    <n v="31992.11"/>
    <x v="0"/>
    <n v="30"/>
    <s v="Male"/>
    <x v="6"/>
    <x v="1"/>
    <x v="3"/>
  </r>
  <r>
    <s v="TXN-20250993"/>
    <x v="129"/>
    <x v="990"/>
    <x v="1"/>
    <n v="33003.93"/>
    <x v="0"/>
    <n v="27"/>
    <s v="Female"/>
    <x v="5"/>
    <x v="0"/>
    <x v="3"/>
  </r>
  <r>
    <s v="TXN-20250994"/>
    <x v="177"/>
    <x v="991"/>
    <x v="2"/>
    <n v="28981.61"/>
    <x v="0"/>
    <n v="44"/>
    <s v="Female"/>
    <x v="4"/>
    <x v="3"/>
    <x v="3"/>
  </r>
  <r>
    <s v="TXN-20250995"/>
    <x v="39"/>
    <x v="992"/>
    <x v="3"/>
    <n v="5729.48"/>
    <x v="0"/>
    <n v="47"/>
    <s v="Female"/>
    <x v="4"/>
    <x v="0"/>
    <x v="0"/>
  </r>
  <r>
    <s v="TXN-20250996"/>
    <x v="312"/>
    <x v="993"/>
    <x v="1"/>
    <n v="93638.45"/>
    <x v="0"/>
    <n v="38"/>
    <s v="Male"/>
    <x v="1"/>
    <x v="1"/>
    <x v="2"/>
  </r>
  <r>
    <s v="TXN-20250997"/>
    <x v="277"/>
    <x v="994"/>
    <x v="4"/>
    <n v="10000"/>
    <x v="0"/>
    <n v="29"/>
    <s v="Male"/>
    <x v="1"/>
    <x v="3"/>
    <x v="3"/>
  </r>
  <r>
    <s v="TXN-20250998"/>
    <x v="173"/>
    <x v="995"/>
    <x v="2"/>
    <n v="2361.25"/>
    <x v="0"/>
    <n v="30"/>
    <s v="Male"/>
    <x v="6"/>
    <x v="1"/>
    <x v="1"/>
  </r>
  <r>
    <s v="TXN-20250999"/>
    <x v="93"/>
    <x v="996"/>
    <x v="0"/>
    <n v="3078.66"/>
    <x v="0"/>
    <n v="25"/>
    <s v="Male"/>
    <x v="4"/>
    <x v="3"/>
    <x v="1"/>
  </r>
  <r>
    <s v="TXN-20251000"/>
    <x v="4"/>
    <x v="997"/>
    <x v="0"/>
    <n v="432.94"/>
    <x v="0"/>
    <n v="53"/>
    <s v="Male"/>
    <x v="4"/>
    <x v="0"/>
    <x v="1"/>
  </r>
  <r>
    <s v="TXN-20251001"/>
    <x v="322"/>
    <x v="998"/>
    <x v="0"/>
    <n v="471.98"/>
    <x v="1"/>
    <n v="31"/>
    <s v="Male"/>
    <x v="4"/>
    <x v="1"/>
    <x v="3"/>
  </r>
  <r>
    <s v="TXN-20251002"/>
    <x v="187"/>
    <x v="999"/>
    <x v="3"/>
    <n v="2561.06"/>
    <x v="0"/>
    <n v="28"/>
    <s v="Male"/>
    <x v="3"/>
    <x v="0"/>
    <x v="3"/>
  </r>
  <r>
    <s v="TXN-20251003"/>
    <x v="210"/>
    <x v="1000"/>
    <x v="3"/>
    <n v="8297.49"/>
    <x v="0"/>
    <n v="32"/>
    <s v="Male"/>
    <x v="4"/>
    <x v="1"/>
    <x v="0"/>
  </r>
  <r>
    <s v="TXN-20251004"/>
    <x v="27"/>
    <x v="1001"/>
    <x v="2"/>
    <n v="746.58"/>
    <x v="0"/>
    <n v="31"/>
    <s v="Female"/>
    <x v="7"/>
    <x v="1"/>
    <x v="1"/>
  </r>
  <r>
    <s v="TXN-20251005"/>
    <x v="239"/>
    <x v="1002"/>
    <x v="2"/>
    <n v="2002.16"/>
    <x v="0"/>
    <n v="41"/>
    <s v="Male"/>
    <x v="2"/>
    <x v="0"/>
    <x v="3"/>
  </r>
  <r>
    <s v="TXN-20251006"/>
    <x v="145"/>
    <x v="1003"/>
    <x v="0"/>
    <n v="1565.05"/>
    <x v="0"/>
    <n v="25"/>
    <s v="Female"/>
    <x v="4"/>
    <x v="1"/>
    <x v="0"/>
  </r>
  <r>
    <s v="TXN-20251007"/>
    <x v="296"/>
    <x v="1004"/>
    <x v="0"/>
    <n v="1710.99"/>
    <x v="0"/>
    <n v="51"/>
    <s v="Female"/>
    <x v="6"/>
    <x v="2"/>
    <x v="3"/>
  </r>
  <r>
    <s v="TXN-20251008"/>
    <x v="63"/>
    <x v="1005"/>
    <x v="1"/>
    <n v="13283.64"/>
    <x v="1"/>
    <n v="33"/>
    <s v="Female"/>
    <x v="4"/>
    <x v="0"/>
    <x v="0"/>
  </r>
  <r>
    <s v="TXN-20251009"/>
    <x v="24"/>
    <x v="1006"/>
    <x v="1"/>
    <n v="3723.46"/>
    <x v="0"/>
    <n v="41"/>
    <s v="Female"/>
    <x v="7"/>
    <x v="0"/>
    <x v="0"/>
  </r>
  <r>
    <s v="TXN-20251010"/>
    <x v="0"/>
    <x v="1007"/>
    <x v="0"/>
    <n v="779.15"/>
    <x v="0"/>
    <n v="47"/>
    <s v="Male"/>
    <x v="0"/>
    <x v="0"/>
    <x v="0"/>
  </r>
  <r>
    <s v="TXN-20251011"/>
    <x v="142"/>
    <x v="1008"/>
    <x v="4"/>
    <n v="2000"/>
    <x v="0"/>
    <n v="22"/>
    <s v="Female"/>
    <x v="0"/>
    <x v="0"/>
    <x v="1"/>
  </r>
  <r>
    <s v="TXN-20251012"/>
    <x v="73"/>
    <x v="1009"/>
    <x v="0"/>
    <n v="2811.84"/>
    <x v="0"/>
    <n v="48"/>
    <s v="Female"/>
    <x v="7"/>
    <x v="2"/>
    <x v="1"/>
  </r>
  <r>
    <s v="TXN-20251013"/>
    <x v="106"/>
    <x v="1010"/>
    <x v="2"/>
    <n v="3710.05"/>
    <x v="0"/>
    <n v="47"/>
    <s v="Female"/>
    <x v="9"/>
    <x v="1"/>
    <x v="1"/>
  </r>
  <r>
    <s v="TXN-20251014"/>
    <x v="118"/>
    <x v="1011"/>
    <x v="2"/>
    <n v="85276.15"/>
    <x v="1"/>
    <n v="36"/>
    <s v="Male"/>
    <x v="4"/>
    <x v="0"/>
    <x v="3"/>
  </r>
  <r>
    <s v="TXN-20251015"/>
    <x v="200"/>
    <x v="1012"/>
    <x v="0"/>
    <n v="900.48"/>
    <x v="0"/>
    <n v="31"/>
    <s v="Male"/>
    <x v="7"/>
    <x v="0"/>
    <x v="2"/>
  </r>
  <r>
    <s v="TXN-20251016"/>
    <x v="84"/>
    <x v="1013"/>
    <x v="2"/>
    <n v="33234.44"/>
    <x v="0"/>
    <n v="21"/>
    <s v="Male"/>
    <x v="3"/>
    <x v="1"/>
    <x v="0"/>
  </r>
  <r>
    <s v="TXN-20251017"/>
    <x v="331"/>
    <x v="1014"/>
    <x v="3"/>
    <n v="16983.580000000002"/>
    <x v="0"/>
    <n v="29"/>
    <s v="Female"/>
    <x v="2"/>
    <x v="0"/>
    <x v="3"/>
  </r>
  <r>
    <s v="TXN-20251018"/>
    <x v="114"/>
    <x v="1015"/>
    <x v="1"/>
    <n v="9531.01"/>
    <x v="0"/>
    <n v="59"/>
    <s v="Male"/>
    <x v="4"/>
    <x v="0"/>
    <x v="1"/>
  </r>
  <r>
    <s v="TXN-20251019"/>
    <x v="145"/>
    <x v="1016"/>
    <x v="1"/>
    <n v="3293.4"/>
    <x v="0"/>
    <n v="25"/>
    <s v="Female"/>
    <x v="4"/>
    <x v="1"/>
    <x v="0"/>
  </r>
  <r>
    <s v="TXN-20251020"/>
    <x v="332"/>
    <x v="1017"/>
    <x v="0"/>
    <n v="1055.8699999999999"/>
    <x v="0"/>
    <n v="53"/>
    <s v="Female"/>
    <x v="0"/>
    <x v="2"/>
    <x v="3"/>
  </r>
  <r>
    <s v="TXN-20251021"/>
    <x v="120"/>
    <x v="1018"/>
    <x v="2"/>
    <n v="8197.07"/>
    <x v="0"/>
    <n v="27"/>
    <s v="Male"/>
    <x v="4"/>
    <x v="2"/>
    <x v="3"/>
  </r>
  <r>
    <s v="TXN-20251022"/>
    <x v="130"/>
    <x v="1019"/>
    <x v="1"/>
    <n v="77794.899999999994"/>
    <x v="2"/>
    <n v="48"/>
    <s v="Male"/>
    <x v="4"/>
    <x v="0"/>
    <x v="3"/>
  </r>
  <r>
    <s v="TXN-20251023"/>
    <x v="7"/>
    <x v="1020"/>
    <x v="0"/>
    <n v="672.52"/>
    <x v="1"/>
    <n v="35"/>
    <s v="Male"/>
    <x v="5"/>
    <x v="1"/>
    <x v="2"/>
  </r>
  <r>
    <s v="TXN-20251024"/>
    <x v="85"/>
    <x v="1021"/>
    <x v="3"/>
    <n v="8544.73"/>
    <x v="0"/>
    <n v="43"/>
    <s v="Male"/>
    <x v="7"/>
    <x v="2"/>
    <x v="3"/>
  </r>
  <r>
    <s v="TXN-20251025"/>
    <x v="223"/>
    <x v="1022"/>
    <x v="1"/>
    <n v="7011.51"/>
    <x v="0"/>
    <n v="49"/>
    <s v="Male"/>
    <x v="4"/>
    <x v="0"/>
    <x v="0"/>
  </r>
  <r>
    <s v="TXN-20251026"/>
    <x v="53"/>
    <x v="1023"/>
    <x v="0"/>
    <n v="321.83999999999997"/>
    <x v="0"/>
    <n v="24"/>
    <s v="Male"/>
    <x v="7"/>
    <x v="0"/>
    <x v="0"/>
  </r>
  <r>
    <s v="TXN-20251027"/>
    <x v="81"/>
    <x v="1024"/>
    <x v="3"/>
    <n v="3858.41"/>
    <x v="0"/>
    <n v="50"/>
    <s v="Female"/>
    <x v="2"/>
    <x v="2"/>
    <x v="2"/>
  </r>
  <r>
    <s v="TXN-20251028"/>
    <x v="276"/>
    <x v="1025"/>
    <x v="1"/>
    <n v="18239.66"/>
    <x v="1"/>
    <n v="45"/>
    <s v="Female"/>
    <x v="4"/>
    <x v="2"/>
    <x v="3"/>
  </r>
  <r>
    <s v="TXN-20251029"/>
    <x v="333"/>
    <x v="1026"/>
    <x v="0"/>
    <n v="2260.91"/>
    <x v="0"/>
    <n v="60"/>
    <s v="Female"/>
    <x v="9"/>
    <x v="0"/>
    <x v="2"/>
  </r>
  <r>
    <s v="TXN-20251030"/>
    <x v="334"/>
    <x v="1027"/>
    <x v="0"/>
    <n v="2333.3000000000002"/>
    <x v="0"/>
    <n v="37"/>
    <s v="Male"/>
    <x v="3"/>
    <x v="2"/>
    <x v="0"/>
  </r>
  <r>
    <s v="TXN-20251031"/>
    <x v="275"/>
    <x v="1028"/>
    <x v="2"/>
    <n v="17208.28"/>
    <x v="1"/>
    <n v="39"/>
    <s v="Male"/>
    <x v="7"/>
    <x v="0"/>
    <x v="0"/>
  </r>
  <r>
    <s v="TXN-20251032"/>
    <x v="179"/>
    <x v="1029"/>
    <x v="0"/>
    <n v="971.63"/>
    <x v="0"/>
    <n v="35"/>
    <s v="Male"/>
    <x v="1"/>
    <x v="0"/>
    <x v="3"/>
  </r>
  <r>
    <s v="TXN-20251033"/>
    <x v="244"/>
    <x v="1030"/>
    <x v="0"/>
    <n v="658.34"/>
    <x v="0"/>
    <n v="42"/>
    <s v="Female"/>
    <x v="2"/>
    <x v="1"/>
    <x v="0"/>
  </r>
  <r>
    <s v="TXN-20251034"/>
    <x v="335"/>
    <x v="1031"/>
    <x v="3"/>
    <n v="1170.54"/>
    <x v="0"/>
    <n v="39"/>
    <s v="Male"/>
    <x v="2"/>
    <x v="3"/>
    <x v="0"/>
  </r>
  <r>
    <s v="TXN-20251035"/>
    <x v="201"/>
    <x v="1032"/>
    <x v="1"/>
    <n v="5264.55"/>
    <x v="1"/>
    <n v="28"/>
    <s v="Female"/>
    <x v="4"/>
    <x v="0"/>
    <x v="0"/>
  </r>
  <r>
    <s v="TXN-20251036"/>
    <x v="204"/>
    <x v="1033"/>
    <x v="2"/>
    <n v="3815.49"/>
    <x v="0"/>
    <n v="46"/>
    <s v="Male"/>
    <x v="5"/>
    <x v="0"/>
    <x v="2"/>
  </r>
  <r>
    <s v="TXN-20251037"/>
    <x v="336"/>
    <x v="1034"/>
    <x v="0"/>
    <n v="1085.01"/>
    <x v="0"/>
    <n v="34"/>
    <s v="Male"/>
    <x v="4"/>
    <x v="0"/>
    <x v="3"/>
  </r>
  <r>
    <s v="TXN-20251038"/>
    <x v="150"/>
    <x v="1035"/>
    <x v="0"/>
    <n v="409.32"/>
    <x v="0"/>
    <n v="28"/>
    <s v="Female"/>
    <x v="2"/>
    <x v="0"/>
    <x v="2"/>
  </r>
  <r>
    <s v="TXN-20251039"/>
    <x v="317"/>
    <x v="1036"/>
    <x v="0"/>
    <n v="246.43"/>
    <x v="0"/>
    <n v="25"/>
    <s v="Female"/>
    <x v="4"/>
    <x v="0"/>
    <x v="3"/>
  </r>
  <r>
    <s v="TXN-20251040"/>
    <x v="311"/>
    <x v="1037"/>
    <x v="1"/>
    <n v="36398.43"/>
    <x v="0"/>
    <n v="60"/>
    <s v="Male"/>
    <x v="4"/>
    <x v="1"/>
    <x v="3"/>
  </r>
  <r>
    <s v="TXN-20251041"/>
    <x v="124"/>
    <x v="1038"/>
    <x v="1"/>
    <n v="94389.87"/>
    <x v="1"/>
    <n v="51"/>
    <s v="Female"/>
    <x v="2"/>
    <x v="2"/>
    <x v="0"/>
  </r>
  <r>
    <s v="TXN-20251042"/>
    <x v="247"/>
    <x v="1039"/>
    <x v="1"/>
    <n v="12044.53"/>
    <x v="0"/>
    <n v="36"/>
    <s v="Female"/>
    <x v="5"/>
    <x v="2"/>
    <x v="2"/>
  </r>
  <r>
    <s v="TXN-20251043"/>
    <x v="250"/>
    <x v="1040"/>
    <x v="1"/>
    <n v="24557.65"/>
    <x v="0"/>
    <n v="38"/>
    <s v="Female"/>
    <x v="9"/>
    <x v="0"/>
    <x v="2"/>
  </r>
  <r>
    <s v="TXN-20251044"/>
    <x v="256"/>
    <x v="1041"/>
    <x v="1"/>
    <n v="72164.44"/>
    <x v="0"/>
    <n v="33"/>
    <s v="Female"/>
    <x v="1"/>
    <x v="0"/>
    <x v="2"/>
  </r>
  <r>
    <s v="TXN-20251045"/>
    <x v="172"/>
    <x v="1042"/>
    <x v="4"/>
    <n v="5000"/>
    <x v="0"/>
    <n v="25"/>
    <s v="Male"/>
    <x v="4"/>
    <x v="2"/>
    <x v="1"/>
  </r>
  <r>
    <s v="TXN-20251046"/>
    <x v="182"/>
    <x v="1043"/>
    <x v="0"/>
    <n v="1665.79"/>
    <x v="2"/>
    <n v="50"/>
    <s v="Female"/>
    <x v="2"/>
    <x v="0"/>
    <x v="3"/>
  </r>
  <r>
    <s v="TXN-20251047"/>
    <x v="6"/>
    <x v="1044"/>
    <x v="1"/>
    <n v="62362.31"/>
    <x v="0"/>
    <n v="36"/>
    <s v="Female"/>
    <x v="4"/>
    <x v="0"/>
    <x v="2"/>
  </r>
  <r>
    <s v="TXN-20251048"/>
    <x v="337"/>
    <x v="1045"/>
    <x v="2"/>
    <n v="10670.05"/>
    <x v="0"/>
    <n v="37"/>
    <s v="Female"/>
    <x v="9"/>
    <x v="2"/>
    <x v="3"/>
  </r>
  <r>
    <s v="TXN-20251049"/>
    <x v="319"/>
    <x v="1046"/>
    <x v="1"/>
    <n v="37863.050000000003"/>
    <x v="0"/>
    <n v="44"/>
    <s v="Male"/>
    <x v="2"/>
    <x v="1"/>
    <x v="0"/>
  </r>
  <r>
    <s v="TXN-20251050"/>
    <x v="252"/>
    <x v="1047"/>
    <x v="1"/>
    <n v="14797.98"/>
    <x v="0"/>
    <n v="20"/>
    <s v="Male"/>
    <x v="6"/>
    <x v="0"/>
    <x v="0"/>
  </r>
  <r>
    <s v="TXN-20251051"/>
    <x v="131"/>
    <x v="1048"/>
    <x v="0"/>
    <n v="736.64"/>
    <x v="0"/>
    <n v="48"/>
    <s v="Male"/>
    <x v="4"/>
    <x v="0"/>
    <x v="1"/>
  </r>
  <r>
    <s v="TXN-20251052"/>
    <x v="73"/>
    <x v="1049"/>
    <x v="1"/>
    <n v="9300.33"/>
    <x v="1"/>
    <n v="48"/>
    <s v="Female"/>
    <x v="7"/>
    <x v="2"/>
    <x v="3"/>
  </r>
  <r>
    <s v="TXN-20251053"/>
    <x v="338"/>
    <x v="1050"/>
    <x v="1"/>
    <n v="32436.2"/>
    <x v="0"/>
    <n v="32"/>
    <s v="Female"/>
    <x v="2"/>
    <x v="2"/>
    <x v="0"/>
  </r>
  <r>
    <s v="TXN-20251054"/>
    <x v="136"/>
    <x v="1051"/>
    <x v="1"/>
    <n v="23015.83"/>
    <x v="2"/>
    <n v="31"/>
    <s v="Male"/>
    <x v="3"/>
    <x v="2"/>
    <x v="3"/>
  </r>
  <r>
    <s v="TXN-20251055"/>
    <x v="250"/>
    <x v="1052"/>
    <x v="2"/>
    <n v="14485.09"/>
    <x v="0"/>
    <n v="38"/>
    <s v="Female"/>
    <x v="9"/>
    <x v="0"/>
    <x v="0"/>
  </r>
  <r>
    <s v="TXN-20251056"/>
    <x v="176"/>
    <x v="1053"/>
    <x v="0"/>
    <n v="403.46"/>
    <x v="0"/>
    <n v="35"/>
    <s v="Male"/>
    <x v="0"/>
    <x v="0"/>
    <x v="0"/>
  </r>
  <r>
    <s v="TXN-20251057"/>
    <x v="79"/>
    <x v="1054"/>
    <x v="2"/>
    <n v="4392.54"/>
    <x v="0"/>
    <n v="50"/>
    <s v="Male"/>
    <x v="7"/>
    <x v="1"/>
    <x v="0"/>
  </r>
  <r>
    <s v="TXN-20251058"/>
    <x v="117"/>
    <x v="1055"/>
    <x v="2"/>
    <n v="53862.23"/>
    <x v="0"/>
    <n v="39"/>
    <s v="Male"/>
    <x v="2"/>
    <x v="0"/>
    <x v="3"/>
  </r>
  <r>
    <s v="TXN-20251059"/>
    <x v="256"/>
    <x v="1056"/>
    <x v="1"/>
    <n v="40585.65"/>
    <x v="0"/>
    <n v="33"/>
    <s v="Female"/>
    <x v="1"/>
    <x v="0"/>
    <x v="2"/>
  </r>
  <r>
    <s v="TXN-20251060"/>
    <x v="269"/>
    <x v="1057"/>
    <x v="0"/>
    <n v="2842.11"/>
    <x v="0"/>
    <n v="37"/>
    <s v="Male"/>
    <x v="7"/>
    <x v="1"/>
    <x v="3"/>
  </r>
  <r>
    <s v="TXN-20251061"/>
    <x v="23"/>
    <x v="1058"/>
    <x v="1"/>
    <n v="23745.02"/>
    <x v="0"/>
    <n v="33"/>
    <s v="Male"/>
    <x v="4"/>
    <x v="0"/>
    <x v="0"/>
  </r>
  <r>
    <s v="TXN-20251062"/>
    <x v="134"/>
    <x v="1059"/>
    <x v="1"/>
    <n v="47019.34"/>
    <x v="0"/>
    <n v="34"/>
    <s v="Male"/>
    <x v="7"/>
    <x v="3"/>
    <x v="0"/>
  </r>
  <r>
    <s v="TXN-20251063"/>
    <x v="238"/>
    <x v="1060"/>
    <x v="1"/>
    <n v="4078.12"/>
    <x v="0"/>
    <n v="33"/>
    <s v="Male"/>
    <x v="5"/>
    <x v="0"/>
    <x v="2"/>
  </r>
  <r>
    <s v="TXN-20251064"/>
    <x v="238"/>
    <x v="1061"/>
    <x v="1"/>
    <n v="2027.97"/>
    <x v="0"/>
    <n v="33"/>
    <s v="Male"/>
    <x v="5"/>
    <x v="0"/>
    <x v="2"/>
  </r>
  <r>
    <s v="TXN-20251065"/>
    <x v="189"/>
    <x v="1062"/>
    <x v="1"/>
    <n v="18484.73"/>
    <x v="0"/>
    <n v="42"/>
    <s v="Female"/>
    <x v="4"/>
    <x v="0"/>
    <x v="3"/>
  </r>
  <r>
    <s v="TXN-20251066"/>
    <x v="171"/>
    <x v="1063"/>
    <x v="1"/>
    <n v="10340.540000000001"/>
    <x v="0"/>
    <n v="51"/>
    <s v="Male"/>
    <x v="1"/>
    <x v="2"/>
    <x v="0"/>
  </r>
  <r>
    <s v="TXN-20251067"/>
    <x v="181"/>
    <x v="1064"/>
    <x v="0"/>
    <n v="839.09"/>
    <x v="0"/>
    <n v="35"/>
    <s v="Female"/>
    <x v="4"/>
    <x v="1"/>
    <x v="0"/>
  </r>
  <r>
    <s v="TXN-20251068"/>
    <x v="61"/>
    <x v="1065"/>
    <x v="1"/>
    <n v="17115.47"/>
    <x v="0"/>
    <n v="31"/>
    <s v="Female"/>
    <x v="3"/>
    <x v="3"/>
    <x v="0"/>
  </r>
  <r>
    <s v="TXN-20251069"/>
    <x v="216"/>
    <x v="1066"/>
    <x v="1"/>
    <n v="24943.59"/>
    <x v="0"/>
    <n v="48"/>
    <s v="Female"/>
    <x v="4"/>
    <x v="0"/>
    <x v="0"/>
  </r>
  <r>
    <s v="TXN-20251070"/>
    <x v="147"/>
    <x v="1067"/>
    <x v="0"/>
    <n v="889.85"/>
    <x v="0"/>
    <n v="28"/>
    <s v="Male"/>
    <x v="4"/>
    <x v="2"/>
    <x v="2"/>
  </r>
  <r>
    <s v="TXN-20251071"/>
    <x v="136"/>
    <x v="1068"/>
    <x v="1"/>
    <n v="13999.68"/>
    <x v="0"/>
    <n v="31"/>
    <s v="Male"/>
    <x v="3"/>
    <x v="2"/>
    <x v="0"/>
  </r>
  <r>
    <s v="TXN-20251072"/>
    <x v="241"/>
    <x v="1069"/>
    <x v="2"/>
    <n v="23523.83"/>
    <x v="0"/>
    <n v="44"/>
    <s v="Male"/>
    <x v="4"/>
    <x v="1"/>
    <x v="1"/>
  </r>
  <r>
    <s v="TXN-20251073"/>
    <x v="261"/>
    <x v="1070"/>
    <x v="1"/>
    <n v="27152.16"/>
    <x v="0"/>
    <n v="24"/>
    <s v="Male"/>
    <x v="4"/>
    <x v="0"/>
    <x v="0"/>
  </r>
  <r>
    <s v="TXN-20251074"/>
    <x v="172"/>
    <x v="1071"/>
    <x v="0"/>
    <n v="1090.04"/>
    <x v="0"/>
    <n v="25"/>
    <s v="Male"/>
    <x v="4"/>
    <x v="2"/>
    <x v="2"/>
  </r>
  <r>
    <s v="TXN-20251075"/>
    <x v="300"/>
    <x v="1072"/>
    <x v="1"/>
    <n v="54104.18"/>
    <x v="0"/>
    <n v="35"/>
    <s v="Female"/>
    <x v="4"/>
    <x v="2"/>
    <x v="3"/>
  </r>
  <r>
    <s v="TXN-20251076"/>
    <x v="188"/>
    <x v="1073"/>
    <x v="1"/>
    <n v="2093.0500000000002"/>
    <x v="0"/>
    <n v="41"/>
    <s v="Female"/>
    <x v="6"/>
    <x v="0"/>
    <x v="3"/>
  </r>
  <r>
    <s v="TXN-20251077"/>
    <x v="58"/>
    <x v="1074"/>
    <x v="0"/>
    <n v="249.63"/>
    <x v="0"/>
    <n v="30"/>
    <s v="Female"/>
    <x v="4"/>
    <x v="1"/>
    <x v="3"/>
  </r>
  <r>
    <s v="TXN-20251078"/>
    <x v="178"/>
    <x v="1075"/>
    <x v="1"/>
    <n v="56617.440000000002"/>
    <x v="0"/>
    <n v="47"/>
    <s v="Male"/>
    <x v="4"/>
    <x v="0"/>
    <x v="2"/>
  </r>
  <r>
    <s v="TXN-20251079"/>
    <x v="339"/>
    <x v="1076"/>
    <x v="0"/>
    <n v="392.48"/>
    <x v="1"/>
    <n v="37"/>
    <s v="Male"/>
    <x v="5"/>
    <x v="0"/>
    <x v="2"/>
  </r>
  <r>
    <s v="TXN-20251080"/>
    <x v="93"/>
    <x v="1077"/>
    <x v="0"/>
    <n v="779.83"/>
    <x v="0"/>
    <n v="25"/>
    <s v="Male"/>
    <x v="4"/>
    <x v="3"/>
    <x v="2"/>
  </r>
  <r>
    <s v="TXN-20251081"/>
    <x v="39"/>
    <x v="1078"/>
    <x v="0"/>
    <n v="228.6"/>
    <x v="0"/>
    <n v="47"/>
    <s v="Female"/>
    <x v="4"/>
    <x v="0"/>
    <x v="3"/>
  </r>
  <r>
    <s v="TXN-20251082"/>
    <x v="216"/>
    <x v="1079"/>
    <x v="2"/>
    <n v="541.15"/>
    <x v="0"/>
    <n v="48"/>
    <s v="Female"/>
    <x v="4"/>
    <x v="0"/>
    <x v="2"/>
  </r>
  <r>
    <s v="TXN-20251083"/>
    <x v="93"/>
    <x v="1080"/>
    <x v="0"/>
    <n v="4168.8900000000003"/>
    <x v="0"/>
    <n v="25"/>
    <s v="Male"/>
    <x v="4"/>
    <x v="3"/>
    <x v="3"/>
  </r>
  <r>
    <s v="TXN-20251084"/>
    <x v="55"/>
    <x v="1081"/>
    <x v="0"/>
    <n v="2507.8200000000002"/>
    <x v="0"/>
    <n v="52"/>
    <s v="Male"/>
    <x v="4"/>
    <x v="0"/>
    <x v="3"/>
  </r>
  <r>
    <s v="TXN-20251085"/>
    <x v="2"/>
    <x v="1082"/>
    <x v="0"/>
    <n v="1152.77"/>
    <x v="0"/>
    <n v="35"/>
    <s v="Male"/>
    <x v="2"/>
    <x v="0"/>
    <x v="1"/>
  </r>
  <r>
    <s v="TXN-20251086"/>
    <x v="187"/>
    <x v="1083"/>
    <x v="1"/>
    <n v="7401.21"/>
    <x v="2"/>
    <n v="28"/>
    <s v="Male"/>
    <x v="3"/>
    <x v="0"/>
    <x v="0"/>
  </r>
  <r>
    <s v="TXN-20251087"/>
    <x v="152"/>
    <x v="1084"/>
    <x v="2"/>
    <n v="1686.59"/>
    <x v="0"/>
    <n v="39"/>
    <s v="Male"/>
    <x v="5"/>
    <x v="0"/>
    <x v="0"/>
  </r>
  <r>
    <s v="TXN-20251088"/>
    <x v="214"/>
    <x v="1085"/>
    <x v="2"/>
    <n v="43181.120000000003"/>
    <x v="0"/>
    <n v="39"/>
    <s v="Male"/>
    <x v="6"/>
    <x v="0"/>
    <x v="1"/>
  </r>
  <r>
    <s v="TXN-20251089"/>
    <x v="198"/>
    <x v="1086"/>
    <x v="3"/>
    <n v="25084.42"/>
    <x v="2"/>
    <n v="30"/>
    <s v="Female"/>
    <x v="7"/>
    <x v="1"/>
    <x v="3"/>
  </r>
  <r>
    <s v="TXN-20251090"/>
    <x v="100"/>
    <x v="1087"/>
    <x v="0"/>
    <n v="381.97"/>
    <x v="0"/>
    <n v="36"/>
    <s v="Female"/>
    <x v="4"/>
    <x v="0"/>
    <x v="0"/>
  </r>
  <r>
    <s v="TXN-20251091"/>
    <x v="256"/>
    <x v="1088"/>
    <x v="4"/>
    <n v="20000"/>
    <x v="0"/>
    <n v="33"/>
    <s v="Female"/>
    <x v="1"/>
    <x v="0"/>
    <x v="3"/>
  </r>
  <r>
    <s v="TXN-20251092"/>
    <x v="54"/>
    <x v="1089"/>
    <x v="3"/>
    <n v="10403.530000000001"/>
    <x v="0"/>
    <n v="56"/>
    <s v="Female"/>
    <x v="5"/>
    <x v="0"/>
    <x v="0"/>
  </r>
  <r>
    <s v="TXN-20251093"/>
    <x v="225"/>
    <x v="1090"/>
    <x v="1"/>
    <n v="28874.45"/>
    <x v="0"/>
    <n v="20"/>
    <s v="Female"/>
    <x v="4"/>
    <x v="3"/>
    <x v="2"/>
  </r>
  <r>
    <s v="TXN-20251094"/>
    <x v="76"/>
    <x v="1091"/>
    <x v="4"/>
    <n v="5000"/>
    <x v="0"/>
    <n v="38"/>
    <s v="Female"/>
    <x v="4"/>
    <x v="1"/>
    <x v="2"/>
  </r>
  <r>
    <s v="TXN-20251095"/>
    <x v="39"/>
    <x v="1092"/>
    <x v="3"/>
    <n v="7877.09"/>
    <x v="1"/>
    <n v="47"/>
    <s v="Female"/>
    <x v="4"/>
    <x v="0"/>
    <x v="0"/>
  </r>
  <r>
    <s v="TXN-20251096"/>
    <x v="126"/>
    <x v="1093"/>
    <x v="3"/>
    <n v="6505.88"/>
    <x v="0"/>
    <n v="24"/>
    <s v="Male"/>
    <x v="6"/>
    <x v="0"/>
    <x v="0"/>
  </r>
  <r>
    <s v="TXN-20251097"/>
    <x v="145"/>
    <x v="1094"/>
    <x v="1"/>
    <n v="5803.04"/>
    <x v="1"/>
    <n v="25"/>
    <s v="Female"/>
    <x v="4"/>
    <x v="1"/>
    <x v="0"/>
  </r>
  <r>
    <s v="TXN-20251098"/>
    <x v="23"/>
    <x v="1095"/>
    <x v="1"/>
    <n v="10165.950000000001"/>
    <x v="0"/>
    <n v="33"/>
    <s v="Male"/>
    <x v="4"/>
    <x v="0"/>
    <x v="0"/>
  </r>
  <r>
    <s v="TXN-20251099"/>
    <x v="340"/>
    <x v="1096"/>
    <x v="4"/>
    <n v="10000"/>
    <x v="0"/>
    <n v="28"/>
    <s v="Male"/>
    <x v="6"/>
    <x v="0"/>
    <x v="3"/>
  </r>
  <r>
    <s v="TXN-20251100"/>
    <x v="326"/>
    <x v="1097"/>
    <x v="0"/>
    <n v="1402.77"/>
    <x v="0"/>
    <n v="42"/>
    <s v="Male"/>
    <x v="4"/>
    <x v="3"/>
    <x v="3"/>
  </r>
  <r>
    <s v="TXN-20251101"/>
    <x v="196"/>
    <x v="1098"/>
    <x v="2"/>
    <n v="3499.69"/>
    <x v="0"/>
    <n v="42"/>
    <s v="Female"/>
    <x v="9"/>
    <x v="1"/>
    <x v="0"/>
  </r>
  <r>
    <s v="TXN-20251102"/>
    <x v="182"/>
    <x v="1099"/>
    <x v="2"/>
    <n v="2555.48"/>
    <x v="0"/>
    <n v="50"/>
    <s v="Female"/>
    <x v="2"/>
    <x v="0"/>
    <x v="3"/>
  </r>
  <r>
    <s v="TXN-20251103"/>
    <x v="229"/>
    <x v="1100"/>
    <x v="1"/>
    <n v="33283.03"/>
    <x v="0"/>
    <n v="22"/>
    <s v="Male"/>
    <x v="1"/>
    <x v="2"/>
    <x v="0"/>
  </r>
  <r>
    <s v="TXN-20251104"/>
    <x v="177"/>
    <x v="1101"/>
    <x v="1"/>
    <n v="20901.509999999998"/>
    <x v="0"/>
    <n v="44"/>
    <s v="Female"/>
    <x v="4"/>
    <x v="3"/>
    <x v="0"/>
  </r>
  <r>
    <s v="TXN-20251105"/>
    <x v="299"/>
    <x v="1102"/>
    <x v="0"/>
    <n v="1028.54"/>
    <x v="0"/>
    <n v="43"/>
    <s v="Male"/>
    <x v="8"/>
    <x v="0"/>
    <x v="0"/>
  </r>
  <r>
    <s v="TXN-20251106"/>
    <x v="333"/>
    <x v="1103"/>
    <x v="1"/>
    <n v="1278.1500000000001"/>
    <x v="0"/>
    <n v="60"/>
    <s v="Female"/>
    <x v="9"/>
    <x v="0"/>
    <x v="3"/>
  </r>
  <r>
    <s v="TXN-20251107"/>
    <x v="298"/>
    <x v="1104"/>
    <x v="1"/>
    <n v="12068.59"/>
    <x v="0"/>
    <n v="38"/>
    <s v="Female"/>
    <x v="1"/>
    <x v="0"/>
    <x v="0"/>
  </r>
  <r>
    <s v="TXN-20251108"/>
    <x v="102"/>
    <x v="1105"/>
    <x v="3"/>
    <n v="30403.5"/>
    <x v="0"/>
    <n v="58"/>
    <s v="Female"/>
    <x v="3"/>
    <x v="2"/>
    <x v="3"/>
  </r>
  <r>
    <s v="TXN-20251109"/>
    <x v="337"/>
    <x v="1106"/>
    <x v="0"/>
    <n v="1084.24"/>
    <x v="0"/>
    <n v="37"/>
    <s v="Female"/>
    <x v="9"/>
    <x v="2"/>
    <x v="3"/>
  </r>
  <r>
    <s v="TXN-20251110"/>
    <x v="230"/>
    <x v="1107"/>
    <x v="0"/>
    <n v="419.09"/>
    <x v="0"/>
    <n v="27"/>
    <s v="Female"/>
    <x v="4"/>
    <x v="0"/>
    <x v="0"/>
  </r>
  <r>
    <s v="TXN-20251111"/>
    <x v="33"/>
    <x v="1108"/>
    <x v="2"/>
    <n v="693.89"/>
    <x v="1"/>
    <n v="42"/>
    <s v="Male"/>
    <x v="4"/>
    <x v="2"/>
    <x v="3"/>
  </r>
  <r>
    <s v="TXN-20251112"/>
    <x v="66"/>
    <x v="1109"/>
    <x v="1"/>
    <n v="24755.09"/>
    <x v="0"/>
    <n v="32"/>
    <s v="Male"/>
    <x v="4"/>
    <x v="2"/>
    <x v="3"/>
  </r>
  <r>
    <s v="TXN-20251113"/>
    <x v="316"/>
    <x v="1110"/>
    <x v="1"/>
    <n v="12435.6"/>
    <x v="0"/>
    <n v="22"/>
    <s v="Male"/>
    <x v="5"/>
    <x v="0"/>
    <x v="0"/>
  </r>
  <r>
    <s v="TXN-20251114"/>
    <x v="290"/>
    <x v="1111"/>
    <x v="0"/>
    <n v="1251.72"/>
    <x v="0"/>
    <n v="29"/>
    <s v="Male"/>
    <x v="1"/>
    <x v="0"/>
    <x v="0"/>
  </r>
  <r>
    <s v="TXN-20251115"/>
    <x v="145"/>
    <x v="1112"/>
    <x v="1"/>
    <n v="40543.550000000003"/>
    <x v="0"/>
    <n v="25"/>
    <s v="Female"/>
    <x v="4"/>
    <x v="1"/>
    <x v="0"/>
  </r>
  <r>
    <s v="TXN-20251116"/>
    <x v="330"/>
    <x v="1113"/>
    <x v="1"/>
    <n v="7807.77"/>
    <x v="0"/>
    <n v="30"/>
    <s v="Male"/>
    <x v="8"/>
    <x v="0"/>
    <x v="1"/>
  </r>
  <r>
    <s v="TXN-20251117"/>
    <x v="319"/>
    <x v="1114"/>
    <x v="0"/>
    <n v="553.39"/>
    <x v="0"/>
    <n v="44"/>
    <s v="Male"/>
    <x v="2"/>
    <x v="1"/>
    <x v="0"/>
  </r>
  <r>
    <s v="TXN-20251118"/>
    <x v="85"/>
    <x v="1115"/>
    <x v="0"/>
    <n v="1264.29"/>
    <x v="0"/>
    <n v="43"/>
    <s v="Male"/>
    <x v="7"/>
    <x v="2"/>
    <x v="0"/>
  </r>
  <r>
    <s v="TXN-20251119"/>
    <x v="222"/>
    <x v="1116"/>
    <x v="2"/>
    <n v="1063.3800000000001"/>
    <x v="0"/>
    <n v="43"/>
    <s v="Male"/>
    <x v="6"/>
    <x v="2"/>
    <x v="2"/>
  </r>
  <r>
    <s v="TXN-20251120"/>
    <x v="283"/>
    <x v="1117"/>
    <x v="0"/>
    <n v="892.73"/>
    <x v="0"/>
    <n v="50"/>
    <s v="Male"/>
    <x v="8"/>
    <x v="2"/>
    <x v="0"/>
  </r>
  <r>
    <s v="TXN-20251121"/>
    <x v="325"/>
    <x v="1118"/>
    <x v="2"/>
    <n v="23826.05"/>
    <x v="0"/>
    <n v="32"/>
    <s v="Male"/>
    <x v="4"/>
    <x v="1"/>
    <x v="2"/>
  </r>
  <r>
    <s v="TXN-20251122"/>
    <x v="79"/>
    <x v="1119"/>
    <x v="3"/>
    <n v="2665.49"/>
    <x v="1"/>
    <n v="50"/>
    <s v="Male"/>
    <x v="7"/>
    <x v="1"/>
    <x v="0"/>
  </r>
  <r>
    <s v="TXN-20251123"/>
    <x v="143"/>
    <x v="1120"/>
    <x v="4"/>
    <n v="10000"/>
    <x v="0"/>
    <n v="57"/>
    <s v="Male"/>
    <x v="0"/>
    <x v="1"/>
    <x v="2"/>
  </r>
  <r>
    <s v="TXN-20251124"/>
    <x v="268"/>
    <x v="1121"/>
    <x v="2"/>
    <n v="14118.12"/>
    <x v="0"/>
    <n v="54"/>
    <s v="Male"/>
    <x v="4"/>
    <x v="0"/>
    <x v="3"/>
  </r>
  <r>
    <s v="TXN-20251125"/>
    <x v="104"/>
    <x v="1122"/>
    <x v="1"/>
    <n v="13724.82"/>
    <x v="0"/>
    <n v="50"/>
    <s v="Female"/>
    <x v="7"/>
    <x v="2"/>
    <x v="0"/>
  </r>
  <r>
    <s v="TXN-20251126"/>
    <x v="17"/>
    <x v="1123"/>
    <x v="2"/>
    <n v="2184.6"/>
    <x v="0"/>
    <n v="42"/>
    <s v="Male"/>
    <x v="7"/>
    <x v="0"/>
    <x v="0"/>
  </r>
  <r>
    <s v="TXN-20251127"/>
    <x v="67"/>
    <x v="1124"/>
    <x v="1"/>
    <n v="29178.54"/>
    <x v="0"/>
    <n v="38"/>
    <s v="Male"/>
    <x v="4"/>
    <x v="0"/>
    <x v="0"/>
  </r>
  <r>
    <s v="TXN-20251128"/>
    <x v="187"/>
    <x v="1125"/>
    <x v="0"/>
    <n v="2467.5"/>
    <x v="0"/>
    <n v="28"/>
    <s v="Male"/>
    <x v="3"/>
    <x v="0"/>
    <x v="3"/>
  </r>
  <r>
    <s v="TXN-20251129"/>
    <x v="263"/>
    <x v="1126"/>
    <x v="2"/>
    <n v="33942.199999999997"/>
    <x v="0"/>
    <n v="28"/>
    <s v="Female"/>
    <x v="4"/>
    <x v="0"/>
    <x v="1"/>
  </r>
  <r>
    <s v="TXN-20251130"/>
    <x v="9"/>
    <x v="1127"/>
    <x v="1"/>
    <n v="21768.7"/>
    <x v="1"/>
    <n v="30"/>
    <s v="Female"/>
    <x v="6"/>
    <x v="3"/>
    <x v="0"/>
  </r>
  <r>
    <s v="TXN-20251131"/>
    <x v="286"/>
    <x v="1128"/>
    <x v="0"/>
    <n v="295.05"/>
    <x v="1"/>
    <n v="39"/>
    <s v="Female"/>
    <x v="6"/>
    <x v="1"/>
    <x v="0"/>
  </r>
  <r>
    <s v="TXN-20251132"/>
    <x v="268"/>
    <x v="1129"/>
    <x v="0"/>
    <n v="524.83000000000004"/>
    <x v="0"/>
    <n v="54"/>
    <s v="Male"/>
    <x v="4"/>
    <x v="0"/>
    <x v="1"/>
  </r>
  <r>
    <s v="TXN-20251133"/>
    <x v="335"/>
    <x v="1130"/>
    <x v="2"/>
    <n v="12888.38"/>
    <x v="0"/>
    <n v="39"/>
    <s v="Male"/>
    <x v="2"/>
    <x v="3"/>
    <x v="0"/>
  </r>
  <r>
    <s v="TXN-20251134"/>
    <x v="106"/>
    <x v="1131"/>
    <x v="0"/>
    <n v="2169.37"/>
    <x v="0"/>
    <n v="47"/>
    <s v="Female"/>
    <x v="9"/>
    <x v="1"/>
    <x v="2"/>
  </r>
  <r>
    <s v="TXN-20251135"/>
    <x v="68"/>
    <x v="1132"/>
    <x v="0"/>
    <n v="5396.64"/>
    <x v="0"/>
    <n v="34"/>
    <s v="Male"/>
    <x v="6"/>
    <x v="0"/>
    <x v="2"/>
  </r>
  <r>
    <s v="TXN-20251136"/>
    <x v="67"/>
    <x v="1133"/>
    <x v="2"/>
    <n v="6308.96"/>
    <x v="0"/>
    <n v="38"/>
    <s v="Male"/>
    <x v="4"/>
    <x v="0"/>
    <x v="1"/>
  </r>
  <r>
    <s v="TXN-20251137"/>
    <x v="171"/>
    <x v="1134"/>
    <x v="1"/>
    <n v="61733.31"/>
    <x v="0"/>
    <n v="51"/>
    <s v="Male"/>
    <x v="1"/>
    <x v="2"/>
    <x v="0"/>
  </r>
  <r>
    <s v="TXN-20251138"/>
    <x v="325"/>
    <x v="1135"/>
    <x v="4"/>
    <n v="10000"/>
    <x v="0"/>
    <n v="32"/>
    <s v="Male"/>
    <x v="4"/>
    <x v="1"/>
    <x v="0"/>
  </r>
  <r>
    <s v="TXN-20251139"/>
    <x v="6"/>
    <x v="1136"/>
    <x v="1"/>
    <n v="1141.74"/>
    <x v="0"/>
    <n v="36"/>
    <s v="Female"/>
    <x v="4"/>
    <x v="0"/>
    <x v="2"/>
  </r>
  <r>
    <s v="TXN-20251140"/>
    <x v="26"/>
    <x v="1137"/>
    <x v="1"/>
    <n v="40992.81"/>
    <x v="1"/>
    <n v="22"/>
    <s v="Female"/>
    <x v="6"/>
    <x v="2"/>
    <x v="0"/>
  </r>
  <r>
    <s v="TXN-20251141"/>
    <x v="204"/>
    <x v="1138"/>
    <x v="1"/>
    <n v="53649.15"/>
    <x v="0"/>
    <n v="46"/>
    <s v="Male"/>
    <x v="5"/>
    <x v="0"/>
    <x v="0"/>
  </r>
  <r>
    <s v="TXN-20251142"/>
    <x v="258"/>
    <x v="1139"/>
    <x v="1"/>
    <n v="54412.5"/>
    <x v="1"/>
    <n v="31"/>
    <s v="Male"/>
    <x v="4"/>
    <x v="3"/>
    <x v="3"/>
  </r>
  <r>
    <s v="TXN-20251143"/>
    <x v="129"/>
    <x v="1140"/>
    <x v="0"/>
    <n v="3346.4"/>
    <x v="2"/>
    <n v="27"/>
    <s v="Female"/>
    <x v="5"/>
    <x v="0"/>
    <x v="1"/>
  </r>
  <r>
    <s v="TXN-20251144"/>
    <x v="129"/>
    <x v="1141"/>
    <x v="3"/>
    <n v="9297.02"/>
    <x v="1"/>
    <n v="27"/>
    <s v="Female"/>
    <x v="5"/>
    <x v="0"/>
    <x v="0"/>
  </r>
  <r>
    <s v="TXN-20251145"/>
    <x v="105"/>
    <x v="1142"/>
    <x v="0"/>
    <n v="5788.03"/>
    <x v="0"/>
    <n v="26"/>
    <s v="Female"/>
    <x v="4"/>
    <x v="2"/>
    <x v="3"/>
  </r>
  <r>
    <s v="TXN-20251146"/>
    <x v="308"/>
    <x v="1143"/>
    <x v="4"/>
    <n v="5000"/>
    <x v="0"/>
    <n v="28"/>
    <s v="Female"/>
    <x v="5"/>
    <x v="0"/>
    <x v="2"/>
  </r>
  <r>
    <s v="TXN-20251147"/>
    <x v="2"/>
    <x v="1144"/>
    <x v="0"/>
    <n v="291.12"/>
    <x v="0"/>
    <n v="35"/>
    <s v="Male"/>
    <x v="2"/>
    <x v="0"/>
    <x v="0"/>
  </r>
  <r>
    <s v="TXN-20251148"/>
    <x v="92"/>
    <x v="1145"/>
    <x v="2"/>
    <n v="28246.79"/>
    <x v="1"/>
    <n v="27"/>
    <s v="Female"/>
    <x v="4"/>
    <x v="0"/>
    <x v="1"/>
  </r>
  <r>
    <s v="TXN-20251149"/>
    <x v="181"/>
    <x v="1146"/>
    <x v="2"/>
    <n v="19892.400000000001"/>
    <x v="1"/>
    <n v="35"/>
    <s v="Female"/>
    <x v="4"/>
    <x v="1"/>
    <x v="0"/>
  </r>
  <r>
    <s v="TXN-20251150"/>
    <x v="133"/>
    <x v="1147"/>
    <x v="1"/>
    <n v="2136.02"/>
    <x v="0"/>
    <n v="36"/>
    <s v="Female"/>
    <x v="2"/>
    <x v="1"/>
    <x v="0"/>
  </r>
  <r>
    <s v="TXN-20251151"/>
    <x v="7"/>
    <x v="1148"/>
    <x v="1"/>
    <n v="15283.13"/>
    <x v="0"/>
    <n v="35"/>
    <s v="Male"/>
    <x v="5"/>
    <x v="1"/>
    <x v="0"/>
  </r>
  <r>
    <s v="TXN-20251152"/>
    <x v="233"/>
    <x v="1149"/>
    <x v="1"/>
    <n v="32503.94"/>
    <x v="0"/>
    <n v="24"/>
    <s v="Female"/>
    <x v="6"/>
    <x v="0"/>
    <x v="3"/>
  </r>
  <r>
    <s v="TXN-20251153"/>
    <x v="172"/>
    <x v="1150"/>
    <x v="2"/>
    <n v="20386.54"/>
    <x v="0"/>
    <n v="25"/>
    <s v="Male"/>
    <x v="4"/>
    <x v="2"/>
    <x v="3"/>
  </r>
  <r>
    <s v="TXN-20251154"/>
    <x v="301"/>
    <x v="1151"/>
    <x v="1"/>
    <n v="5785.64"/>
    <x v="0"/>
    <n v="39"/>
    <s v="Female"/>
    <x v="4"/>
    <x v="0"/>
    <x v="0"/>
  </r>
  <r>
    <s v="TXN-20251155"/>
    <x v="203"/>
    <x v="1152"/>
    <x v="1"/>
    <n v="34525.379999999997"/>
    <x v="0"/>
    <n v="28"/>
    <s v="Male"/>
    <x v="4"/>
    <x v="2"/>
    <x v="0"/>
  </r>
  <r>
    <s v="TXN-20251156"/>
    <x v="277"/>
    <x v="1153"/>
    <x v="0"/>
    <n v="2486.02"/>
    <x v="0"/>
    <n v="29"/>
    <s v="Male"/>
    <x v="1"/>
    <x v="3"/>
    <x v="0"/>
  </r>
  <r>
    <s v="TXN-20251157"/>
    <x v="158"/>
    <x v="1154"/>
    <x v="1"/>
    <n v="7233.8"/>
    <x v="0"/>
    <n v="35"/>
    <s v="Male"/>
    <x v="2"/>
    <x v="0"/>
    <x v="2"/>
  </r>
  <r>
    <s v="TXN-20251158"/>
    <x v="48"/>
    <x v="1155"/>
    <x v="0"/>
    <n v="326.63"/>
    <x v="0"/>
    <n v="59"/>
    <s v="Male"/>
    <x v="0"/>
    <x v="0"/>
    <x v="0"/>
  </r>
  <r>
    <s v="TXN-20251159"/>
    <x v="310"/>
    <x v="1156"/>
    <x v="3"/>
    <n v="2949.75"/>
    <x v="0"/>
    <n v="30"/>
    <s v="Female"/>
    <x v="7"/>
    <x v="2"/>
    <x v="0"/>
  </r>
  <r>
    <s v="TXN-20251160"/>
    <x v="164"/>
    <x v="1157"/>
    <x v="1"/>
    <n v="16426.27"/>
    <x v="0"/>
    <n v="28"/>
    <s v="Male"/>
    <x v="7"/>
    <x v="1"/>
    <x v="0"/>
  </r>
  <r>
    <s v="TXN-20251161"/>
    <x v="222"/>
    <x v="1158"/>
    <x v="1"/>
    <n v="2249.0500000000002"/>
    <x v="0"/>
    <n v="43"/>
    <s v="Male"/>
    <x v="6"/>
    <x v="2"/>
    <x v="0"/>
  </r>
  <r>
    <s v="TXN-20251162"/>
    <x v="149"/>
    <x v="1159"/>
    <x v="0"/>
    <n v="1358.22"/>
    <x v="1"/>
    <n v="35"/>
    <s v="Male"/>
    <x v="4"/>
    <x v="2"/>
    <x v="0"/>
  </r>
  <r>
    <s v="TXN-20251163"/>
    <x v="206"/>
    <x v="1160"/>
    <x v="2"/>
    <n v="2306.54"/>
    <x v="0"/>
    <n v="41"/>
    <s v="Male"/>
    <x v="4"/>
    <x v="1"/>
    <x v="0"/>
  </r>
  <r>
    <s v="TXN-20251164"/>
    <x v="198"/>
    <x v="1161"/>
    <x v="0"/>
    <n v="2030.39"/>
    <x v="0"/>
    <n v="30"/>
    <s v="Female"/>
    <x v="7"/>
    <x v="1"/>
    <x v="0"/>
  </r>
  <r>
    <s v="TXN-20251165"/>
    <x v="123"/>
    <x v="1162"/>
    <x v="4"/>
    <n v="10000"/>
    <x v="0"/>
    <n v="53"/>
    <s v="Female"/>
    <x v="4"/>
    <x v="3"/>
    <x v="0"/>
  </r>
  <r>
    <s v="TXN-20251166"/>
    <x v="204"/>
    <x v="1163"/>
    <x v="1"/>
    <n v="15552.85"/>
    <x v="0"/>
    <n v="46"/>
    <s v="Male"/>
    <x v="5"/>
    <x v="0"/>
    <x v="3"/>
  </r>
  <r>
    <s v="TXN-20251167"/>
    <x v="224"/>
    <x v="1164"/>
    <x v="0"/>
    <n v="3766.47"/>
    <x v="0"/>
    <n v="29"/>
    <s v="Female"/>
    <x v="7"/>
    <x v="0"/>
    <x v="3"/>
  </r>
  <r>
    <s v="TXN-20251168"/>
    <x v="50"/>
    <x v="1165"/>
    <x v="1"/>
    <n v="24902.25"/>
    <x v="0"/>
    <n v="49"/>
    <s v="Male"/>
    <x v="1"/>
    <x v="1"/>
    <x v="3"/>
  </r>
  <r>
    <s v="TXN-20251169"/>
    <x v="236"/>
    <x v="1166"/>
    <x v="0"/>
    <n v="1660.34"/>
    <x v="0"/>
    <n v="45"/>
    <s v="Male"/>
    <x v="4"/>
    <x v="3"/>
    <x v="3"/>
  </r>
  <r>
    <s v="TXN-20251170"/>
    <x v="150"/>
    <x v="1167"/>
    <x v="4"/>
    <n v="20000"/>
    <x v="0"/>
    <n v="28"/>
    <s v="Female"/>
    <x v="2"/>
    <x v="0"/>
    <x v="0"/>
  </r>
  <r>
    <s v="TXN-20251171"/>
    <x v="281"/>
    <x v="1168"/>
    <x v="1"/>
    <n v="18813.04"/>
    <x v="0"/>
    <n v="30"/>
    <s v="Male"/>
    <x v="4"/>
    <x v="1"/>
    <x v="3"/>
  </r>
  <r>
    <s v="TXN-20251172"/>
    <x v="210"/>
    <x v="1169"/>
    <x v="1"/>
    <n v="2600.36"/>
    <x v="0"/>
    <n v="32"/>
    <s v="Male"/>
    <x v="4"/>
    <x v="1"/>
    <x v="2"/>
  </r>
  <r>
    <s v="TXN-20251173"/>
    <x v="231"/>
    <x v="1170"/>
    <x v="1"/>
    <n v="46585.21"/>
    <x v="0"/>
    <n v="56"/>
    <s v="Female"/>
    <x v="2"/>
    <x v="0"/>
    <x v="3"/>
  </r>
  <r>
    <s v="TXN-20251174"/>
    <x v="46"/>
    <x v="1171"/>
    <x v="1"/>
    <n v="4870.5600000000004"/>
    <x v="0"/>
    <n v="20"/>
    <s v="Male"/>
    <x v="5"/>
    <x v="0"/>
    <x v="3"/>
  </r>
  <r>
    <s v="TXN-20251175"/>
    <x v="329"/>
    <x v="1172"/>
    <x v="1"/>
    <n v="5863.45"/>
    <x v="0"/>
    <n v="38"/>
    <s v="Male"/>
    <x v="1"/>
    <x v="0"/>
    <x v="1"/>
  </r>
  <r>
    <s v="TXN-20251176"/>
    <x v="184"/>
    <x v="1173"/>
    <x v="0"/>
    <n v="2676.44"/>
    <x v="0"/>
    <n v="28"/>
    <s v="Male"/>
    <x v="7"/>
    <x v="0"/>
    <x v="3"/>
  </r>
  <r>
    <s v="TXN-20251177"/>
    <x v="219"/>
    <x v="1174"/>
    <x v="1"/>
    <n v="2322.19"/>
    <x v="0"/>
    <n v="47"/>
    <s v="Female"/>
    <x v="4"/>
    <x v="2"/>
    <x v="0"/>
  </r>
  <r>
    <s v="TXN-20251178"/>
    <x v="253"/>
    <x v="1175"/>
    <x v="3"/>
    <n v="13645.68"/>
    <x v="0"/>
    <n v="40"/>
    <s v="Male"/>
    <x v="0"/>
    <x v="0"/>
    <x v="3"/>
  </r>
  <r>
    <s v="TXN-20251179"/>
    <x v="5"/>
    <x v="1176"/>
    <x v="1"/>
    <n v="8249.68"/>
    <x v="1"/>
    <n v="29"/>
    <s v="Male"/>
    <x v="2"/>
    <x v="0"/>
    <x v="3"/>
  </r>
  <r>
    <s v="TXN-20251180"/>
    <x v="109"/>
    <x v="1177"/>
    <x v="0"/>
    <n v="2548.58"/>
    <x v="0"/>
    <n v="42"/>
    <s v="Female"/>
    <x v="7"/>
    <x v="0"/>
    <x v="3"/>
  </r>
  <r>
    <s v="TXN-20251181"/>
    <x v="9"/>
    <x v="1178"/>
    <x v="2"/>
    <n v="3321.62"/>
    <x v="0"/>
    <n v="30"/>
    <s v="Female"/>
    <x v="6"/>
    <x v="3"/>
    <x v="0"/>
  </r>
  <r>
    <s v="TXN-20251182"/>
    <x v="40"/>
    <x v="1179"/>
    <x v="0"/>
    <n v="433.15"/>
    <x v="0"/>
    <n v="33"/>
    <s v="Female"/>
    <x v="7"/>
    <x v="3"/>
    <x v="2"/>
  </r>
  <r>
    <s v="TXN-20251183"/>
    <x v="183"/>
    <x v="1180"/>
    <x v="1"/>
    <n v="9339.92"/>
    <x v="0"/>
    <n v="27"/>
    <s v="Female"/>
    <x v="1"/>
    <x v="0"/>
    <x v="0"/>
  </r>
  <r>
    <s v="TXN-20251184"/>
    <x v="333"/>
    <x v="1181"/>
    <x v="0"/>
    <n v="1503.87"/>
    <x v="0"/>
    <n v="60"/>
    <s v="Female"/>
    <x v="9"/>
    <x v="0"/>
    <x v="0"/>
  </r>
  <r>
    <s v="TXN-20251185"/>
    <x v="31"/>
    <x v="1182"/>
    <x v="2"/>
    <n v="2255.0700000000002"/>
    <x v="0"/>
    <n v="45"/>
    <s v="Female"/>
    <x v="4"/>
    <x v="0"/>
    <x v="0"/>
  </r>
  <r>
    <s v="TXN-20251186"/>
    <x v="150"/>
    <x v="1183"/>
    <x v="0"/>
    <n v="358.84"/>
    <x v="0"/>
    <n v="28"/>
    <s v="Female"/>
    <x v="2"/>
    <x v="0"/>
    <x v="0"/>
  </r>
  <r>
    <s v="TXN-20251187"/>
    <x v="146"/>
    <x v="1184"/>
    <x v="3"/>
    <n v="8668.5400000000009"/>
    <x v="0"/>
    <n v="32"/>
    <s v="Male"/>
    <x v="4"/>
    <x v="0"/>
    <x v="2"/>
  </r>
  <r>
    <s v="TXN-20251188"/>
    <x v="3"/>
    <x v="1185"/>
    <x v="2"/>
    <n v="1763.06"/>
    <x v="0"/>
    <n v="35"/>
    <s v="Female"/>
    <x v="3"/>
    <x v="0"/>
    <x v="3"/>
  </r>
  <r>
    <s v="TXN-20251189"/>
    <x v="145"/>
    <x v="1186"/>
    <x v="1"/>
    <n v="28059.119999999999"/>
    <x v="0"/>
    <n v="25"/>
    <s v="Female"/>
    <x v="4"/>
    <x v="1"/>
    <x v="0"/>
  </r>
  <r>
    <s v="TXN-20251190"/>
    <x v="125"/>
    <x v="1187"/>
    <x v="0"/>
    <n v="2572.3000000000002"/>
    <x v="0"/>
    <n v="56"/>
    <s v="Female"/>
    <x v="7"/>
    <x v="2"/>
    <x v="2"/>
  </r>
  <r>
    <s v="TXN-20251191"/>
    <x v="322"/>
    <x v="1188"/>
    <x v="1"/>
    <n v="5354.45"/>
    <x v="0"/>
    <n v="31"/>
    <s v="Male"/>
    <x v="4"/>
    <x v="1"/>
    <x v="2"/>
  </r>
  <r>
    <s v="TXN-20251192"/>
    <x v="239"/>
    <x v="1189"/>
    <x v="0"/>
    <n v="224.81"/>
    <x v="0"/>
    <n v="41"/>
    <s v="Male"/>
    <x v="2"/>
    <x v="0"/>
    <x v="1"/>
  </r>
  <r>
    <s v="TXN-20251193"/>
    <x v="194"/>
    <x v="1190"/>
    <x v="1"/>
    <n v="20272.13"/>
    <x v="0"/>
    <n v="29"/>
    <s v="Male"/>
    <x v="4"/>
    <x v="2"/>
    <x v="3"/>
  </r>
  <r>
    <s v="TXN-20251194"/>
    <x v="197"/>
    <x v="1191"/>
    <x v="1"/>
    <n v="7441.75"/>
    <x v="2"/>
    <n v="34"/>
    <s v="Male"/>
    <x v="6"/>
    <x v="0"/>
    <x v="2"/>
  </r>
  <r>
    <s v="TXN-20251195"/>
    <x v="23"/>
    <x v="1192"/>
    <x v="0"/>
    <n v="1510.54"/>
    <x v="0"/>
    <n v="33"/>
    <s v="Male"/>
    <x v="4"/>
    <x v="0"/>
    <x v="0"/>
  </r>
  <r>
    <s v="TXN-20251196"/>
    <x v="201"/>
    <x v="1193"/>
    <x v="0"/>
    <n v="988.67"/>
    <x v="0"/>
    <n v="28"/>
    <s v="Female"/>
    <x v="4"/>
    <x v="0"/>
    <x v="3"/>
  </r>
  <r>
    <s v="TXN-20251197"/>
    <x v="185"/>
    <x v="1194"/>
    <x v="2"/>
    <n v="10888.56"/>
    <x v="0"/>
    <n v="26"/>
    <s v="Male"/>
    <x v="0"/>
    <x v="3"/>
    <x v="3"/>
  </r>
  <r>
    <s v="TXN-20251198"/>
    <x v="51"/>
    <x v="1195"/>
    <x v="1"/>
    <n v="53418.22"/>
    <x v="0"/>
    <n v="49"/>
    <s v="Female"/>
    <x v="4"/>
    <x v="0"/>
    <x v="2"/>
  </r>
  <r>
    <s v="TXN-20251199"/>
    <x v="164"/>
    <x v="1196"/>
    <x v="1"/>
    <n v="51874.71"/>
    <x v="0"/>
    <n v="28"/>
    <s v="Male"/>
    <x v="7"/>
    <x v="1"/>
    <x v="0"/>
  </r>
  <r>
    <s v="TXN-20251200"/>
    <x v="205"/>
    <x v="1197"/>
    <x v="1"/>
    <n v="31939.360000000001"/>
    <x v="0"/>
    <n v="57"/>
    <s v="Male"/>
    <x v="4"/>
    <x v="1"/>
    <x v="3"/>
  </r>
  <r>
    <s v="TXN-20251201"/>
    <x v="205"/>
    <x v="1198"/>
    <x v="1"/>
    <n v="5169.1499999999996"/>
    <x v="1"/>
    <n v="57"/>
    <s v="Male"/>
    <x v="4"/>
    <x v="1"/>
    <x v="0"/>
  </r>
  <r>
    <s v="TXN-20251202"/>
    <x v="192"/>
    <x v="1199"/>
    <x v="3"/>
    <n v="2185.3000000000002"/>
    <x v="0"/>
    <n v="26"/>
    <s v="Female"/>
    <x v="9"/>
    <x v="0"/>
    <x v="2"/>
  </r>
  <r>
    <s v="TXN-20251203"/>
    <x v="136"/>
    <x v="1200"/>
    <x v="4"/>
    <n v="10000"/>
    <x v="0"/>
    <n v="31"/>
    <s v="Male"/>
    <x v="3"/>
    <x v="2"/>
    <x v="0"/>
  </r>
  <r>
    <s v="TXN-20251204"/>
    <x v="283"/>
    <x v="1201"/>
    <x v="0"/>
    <n v="1809.97"/>
    <x v="0"/>
    <n v="50"/>
    <s v="Male"/>
    <x v="8"/>
    <x v="2"/>
    <x v="0"/>
  </r>
  <r>
    <s v="TXN-20251205"/>
    <x v="19"/>
    <x v="1202"/>
    <x v="0"/>
    <n v="3207.21"/>
    <x v="0"/>
    <n v="31"/>
    <s v="Female"/>
    <x v="2"/>
    <x v="0"/>
    <x v="0"/>
  </r>
  <r>
    <s v="TXN-20251206"/>
    <x v="151"/>
    <x v="1203"/>
    <x v="0"/>
    <n v="1505.95"/>
    <x v="0"/>
    <n v="28"/>
    <s v="Female"/>
    <x v="1"/>
    <x v="0"/>
    <x v="3"/>
  </r>
  <r>
    <s v="TXN-20251207"/>
    <x v="208"/>
    <x v="1204"/>
    <x v="0"/>
    <n v="1279.47"/>
    <x v="0"/>
    <n v="39"/>
    <s v="Female"/>
    <x v="4"/>
    <x v="0"/>
    <x v="0"/>
  </r>
  <r>
    <s v="TXN-20251208"/>
    <x v="311"/>
    <x v="1205"/>
    <x v="1"/>
    <n v="7797.05"/>
    <x v="0"/>
    <n v="60"/>
    <s v="Male"/>
    <x v="4"/>
    <x v="1"/>
    <x v="0"/>
  </r>
  <r>
    <s v="TXN-20251209"/>
    <x v="286"/>
    <x v="1206"/>
    <x v="4"/>
    <n v="20000"/>
    <x v="0"/>
    <n v="39"/>
    <s v="Female"/>
    <x v="6"/>
    <x v="1"/>
    <x v="2"/>
  </r>
  <r>
    <s v="TXN-20251210"/>
    <x v="331"/>
    <x v="1207"/>
    <x v="1"/>
    <n v="7131.27"/>
    <x v="0"/>
    <n v="29"/>
    <s v="Female"/>
    <x v="2"/>
    <x v="0"/>
    <x v="3"/>
  </r>
  <r>
    <s v="TXN-20251211"/>
    <x v="320"/>
    <x v="1208"/>
    <x v="1"/>
    <n v="17653.93"/>
    <x v="1"/>
    <n v="42"/>
    <s v="Female"/>
    <x v="1"/>
    <x v="0"/>
    <x v="3"/>
  </r>
  <r>
    <s v="TXN-20251212"/>
    <x v="100"/>
    <x v="1209"/>
    <x v="1"/>
    <n v="1624.6"/>
    <x v="0"/>
    <n v="36"/>
    <s v="Female"/>
    <x v="4"/>
    <x v="0"/>
    <x v="0"/>
  </r>
  <r>
    <s v="TXN-20251213"/>
    <x v="172"/>
    <x v="1210"/>
    <x v="0"/>
    <n v="2058.13"/>
    <x v="0"/>
    <n v="25"/>
    <s v="Male"/>
    <x v="4"/>
    <x v="2"/>
    <x v="0"/>
  </r>
  <r>
    <s v="TXN-20251214"/>
    <x v="169"/>
    <x v="1211"/>
    <x v="2"/>
    <n v="708.4"/>
    <x v="0"/>
    <n v="44"/>
    <s v="Female"/>
    <x v="4"/>
    <x v="0"/>
    <x v="3"/>
  </r>
  <r>
    <s v="TXN-20251215"/>
    <x v="69"/>
    <x v="1212"/>
    <x v="1"/>
    <n v="5726.65"/>
    <x v="0"/>
    <n v="19"/>
    <s v="Female"/>
    <x v="8"/>
    <x v="1"/>
    <x v="0"/>
  </r>
  <r>
    <s v="TXN-20251216"/>
    <x v="197"/>
    <x v="1213"/>
    <x v="1"/>
    <n v="17078.77"/>
    <x v="0"/>
    <n v="34"/>
    <s v="Male"/>
    <x v="6"/>
    <x v="0"/>
    <x v="3"/>
  </r>
  <r>
    <s v="TXN-20251217"/>
    <x v="263"/>
    <x v="1214"/>
    <x v="2"/>
    <n v="17402.21"/>
    <x v="0"/>
    <n v="28"/>
    <s v="Female"/>
    <x v="4"/>
    <x v="0"/>
    <x v="3"/>
  </r>
  <r>
    <s v="TXN-20251218"/>
    <x v="10"/>
    <x v="1215"/>
    <x v="1"/>
    <n v="2139.83"/>
    <x v="0"/>
    <n v="60"/>
    <s v="Female"/>
    <x v="4"/>
    <x v="2"/>
    <x v="0"/>
  </r>
  <r>
    <s v="TXN-20251219"/>
    <x v="319"/>
    <x v="1216"/>
    <x v="0"/>
    <n v="2633.54"/>
    <x v="0"/>
    <n v="44"/>
    <s v="Male"/>
    <x v="2"/>
    <x v="1"/>
    <x v="0"/>
  </r>
  <r>
    <s v="TXN-20251220"/>
    <x v="58"/>
    <x v="1217"/>
    <x v="3"/>
    <n v="2349.69"/>
    <x v="0"/>
    <n v="30"/>
    <s v="Female"/>
    <x v="4"/>
    <x v="1"/>
    <x v="2"/>
  </r>
  <r>
    <s v="TXN-20251221"/>
    <x v="315"/>
    <x v="1218"/>
    <x v="0"/>
    <n v="1014.27"/>
    <x v="0"/>
    <n v="32"/>
    <s v="Female"/>
    <x v="4"/>
    <x v="0"/>
    <x v="3"/>
  </r>
  <r>
    <s v="TXN-20251222"/>
    <x v="315"/>
    <x v="1219"/>
    <x v="2"/>
    <n v="10859.83"/>
    <x v="1"/>
    <n v="32"/>
    <s v="Female"/>
    <x v="4"/>
    <x v="0"/>
    <x v="3"/>
  </r>
  <r>
    <s v="TXN-20251223"/>
    <x v="230"/>
    <x v="1220"/>
    <x v="0"/>
    <n v="1695.72"/>
    <x v="0"/>
    <n v="27"/>
    <s v="Female"/>
    <x v="4"/>
    <x v="0"/>
    <x v="0"/>
  </r>
  <r>
    <s v="TXN-20251224"/>
    <x v="329"/>
    <x v="1221"/>
    <x v="1"/>
    <n v="15604.98"/>
    <x v="0"/>
    <n v="38"/>
    <s v="Male"/>
    <x v="1"/>
    <x v="0"/>
    <x v="1"/>
  </r>
  <r>
    <s v="TXN-20251225"/>
    <x v="233"/>
    <x v="1222"/>
    <x v="0"/>
    <n v="2183.25"/>
    <x v="0"/>
    <n v="24"/>
    <s v="Female"/>
    <x v="6"/>
    <x v="0"/>
    <x v="3"/>
  </r>
  <r>
    <s v="TXN-20251226"/>
    <x v="318"/>
    <x v="1223"/>
    <x v="1"/>
    <n v="13208.91"/>
    <x v="0"/>
    <n v="57"/>
    <s v="Female"/>
    <x v="0"/>
    <x v="1"/>
    <x v="0"/>
  </r>
  <r>
    <s v="TXN-20251227"/>
    <x v="18"/>
    <x v="1224"/>
    <x v="2"/>
    <n v="21303.25"/>
    <x v="0"/>
    <n v="33"/>
    <s v="Male"/>
    <x v="1"/>
    <x v="2"/>
    <x v="0"/>
  </r>
  <r>
    <s v="TXN-20251228"/>
    <x v="192"/>
    <x v="1225"/>
    <x v="2"/>
    <n v="26956.83"/>
    <x v="0"/>
    <n v="26"/>
    <s v="Female"/>
    <x v="9"/>
    <x v="0"/>
    <x v="0"/>
  </r>
  <r>
    <s v="TXN-20251229"/>
    <x v="107"/>
    <x v="1226"/>
    <x v="0"/>
    <n v="3507.22"/>
    <x v="0"/>
    <n v="36"/>
    <s v="Female"/>
    <x v="2"/>
    <x v="0"/>
    <x v="0"/>
  </r>
  <r>
    <s v="TXN-20251230"/>
    <x v="83"/>
    <x v="1227"/>
    <x v="1"/>
    <n v="19828.02"/>
    <x v="0"/>
    <n v="57"/>
    <s v="Male"/>
    <x v="4"/>
    <x v="1"/>
    <x v="0"/>
  </r>
  <r>
    <s v="TXN-20251231"/>
    <x v="23"/>
    <x v="1228"/>
    <x v="1"/>
    <n v="16117.27"/>
    <x v="0"/>
    <n v="33"/>
    <s v="Male"/>
    <x v="4"/>
    <x v="0"/>
    <x v="1"/>
  </r>
  <r>
    <s v="TXN-20251232"/>
    <x v="157"/>
    <x v="1229"/>
    <x v="0"/>
    <n v="718.26"/>
    <x v="0"/>
    <n v="31"/>
    <s v="Male"/>
    <x v="4"/>
    <x v="0"/>
    <x v="0"/>
  </r>
  <r>
    <s v="TXN-20251233"/>
    <x v="41"/>
    <x v="1230"/>
    <x v="1"/>
    <n v="38682.75"/>
    <x v="0"/>
    <n v="21"/>
    <s v="Female"/>
    <x v="0"/>
    <x v="0"/>
    <x v="0"/>
  </r>
  <r>
    <s v="TXN-20251234"/>
    <x v="50"/>
    <x v="1231"/>
    <x v="0"/>
    <n v="1632.81"/>
    <x v="0"/>
    <n v="49"/>
    <s v="Male"/>
    <x v="1"/>
    <x v="1"/>
    <x v="2"/>
  </r>
  <r>
    <s v="TXN-20251235"/>
    <x v="283"/>
    <x v="1232"/>
    <x v="0"/>
    <n v="1259.26"/>
    <x v="0"/>
    <n v="50"/>
    <s v="Male"/>
    <x v="8"/>
    <x v="2"/>
    <x v="0"/>
  </r>
  <r>
    <s v="TXN-20251236"/>
    <x v="341"/>
    <x v="1233"/>
    <x v="2"/>
    <n v="16145.09"/>
    <x v="0"/>
    <n v="29"/>
    <s v="Male"/>
    <x v="4"/>
    <x v="0"/>
    <x v="2"/>
  </r>
  <r>
    <s v="TXN-20251237"/>
    <x v="321"/>
    <x v="1234"/>
    <x v="3"/>
    <n v="3578"/>
    <x v="0"/>
    <n v="54"/>
    <s v="Female"/>
    <x v="9"/>
    <x v="3"/>
    <x v="1"/>
  </r>
  <r>
    <s v="TXN-20251238"/>
    <x v="17"/>
    <x v="1235"/>
    <x v="3"/>
    <n v="16444.77"/>
    <x v="1"/>
    <n v="42"/>
    <s v="Male"/>
    <x v="7"/>
    <x v="0"/>
    <x v="1"/>
  </r>
  <r>
    <s v="TXN-20251239"/>
    <x v="53"/>
    <x v="1236"/>
    <x v="1"/>
    <n v="70276.62"/>
    <x v="1"/>
    <n v="24"/>
    <s v="Male"/>
    <x v="7"/>
    <x v="0"/>
    <x v="0"/>
  </r>
  <r>
    <s v="TXN-20251240"/>
    <x v="237"/>
    <x v="1237"/>
    <x v="1"/>
    <n v="52010.74"/>
    <x v="0"/>
    <n v="24"/>
    <s v="Female"/>
    <x v="4"/>
    <x v="1"/>
    <x v="3"/>
  </r>
  <r>
    <s v="TXN-20251241"/>
    <x v="67"/>
    <x v="1238"/>
    <x v="2"/>
    <n v="1892.52"/>
    <x v="0"/>
    <n v="38"/>
    <s v="Male"/>
    <x v="4"/>
    <x v="0"/>
    <x v="2"/>
  </r>
  <r>
    <s v="TXN-20251242"/>
    <x v="85"/>
    <x v="1239"/>
    <x v="4"/>
    <n v="40000"/>
    <x v="0"/>
    <n v="43"/>
    <s v="Male"/>
    <x v="7"/>
    <x v="2"/>
    <x v="2"/>
  </r>
  <r>
    <s v="TXN-20251243"/>
    <x v="15"/>
    <x v="1240"/>
    <x v="0"/>
    <n v="2313.38"/>
    <x v="0"/>
    <n v="29"/>
    <s v="Male"/>
    <x v="4"/>
    <x v="1"/>
    <x v="1"/>
  </r>
  <r>
    <s v="TXN-20251244"/>
    <x v="341"/>
    <x v="1241"/>
    <x v="4"/>
    <n v="5000"/>
    <x v="0"/>
    <n v="29"/>
    <s v="Male"/>
    <x v="4"/>
    <x v="0"/>
    <x v="0"/>
  </r>
  <r>
    <s v="TXN-20251245"/>
    <x v="306"/>
    <x v="1242"/>
    <x v="0"/>
    <n v="1838.37"/>
    <x v="0"/>
    <n v="43"/>
    <s v="Male"/>
    <x v="2"/>
    <x v="1"/>
    <x v="0"/>
  </r>
  <r>
    <s v="TXN-20251246"/>
    <x v="47"/>
    <x v="1243"/>
    <x v="0"/>
    <n v="598.29"/>
    <x v="0"/>
    <n v="26"/>
    <s v="Male"/>
    <x v="2"/>
    <x v="2"/>
    <x v="0"/>
  </r>
  <r>
    <s v="TXN-20251247"/>
    <x v="291"/>
    <x v="1244"/>
    <x v="3"/>
    <n v="10910.38"/>
    <x v="0"/>
    <n v="32"/>
    <s v="Male"/>
    <x v="9"/>
    <x v="1"/>
    <x v="3"/>
  </r>
  <r>
    <s v="TXN-20251248"/>
    <x v="109"/>
    <x v="1245"/>
    <x v="0"/>
    <n v="4101.78"/>
    <x v="0"/>
    <n v="42"/>
    <s v="Female"/>
    <x v="7"/>
    <x v="0"/>
    <x v="0"/>
  </r>
  <r>
    <s v="TXN-20251249"/>
    <x v="286"/>
    <x v="1246"/>
    <x v="0"/>
    <n v="1120.22"/>
    <x v="0"/>
    <n v="39"/>
    <s v="Female"/>
    <x v="6"/>
    <x v="1"/>
    <x v="0"/>
  </r>
  <r>
    <s v="TXN-20251250"/>
    <x v="18"/>
    <x v="1247"/>
    <x v="2"/>
    <n v="5946.13"/>
    <x v="0"/>
    <n v="33"/>
    <s v="Male"/>
    <x v="1"/>
    <x v="2"/>
    <x v="3"/>
  </r>
  <r>
    <s v="TXN-20251251"/>
    <x v="145"/>
    <x v="1248"/>
    <x v="0"/>
    <n v="395.01"/>
    <x v="0"/>
    <n v="25"/>
    <s v="Female"/>
    <x v="4"/>
    <x v="1"/>
    <x v="3"/>
  </r>
  <r>
    <s v="TXN-20251252"/>
    <x v="312"/>
    <x v="1249"/>
    <x v="2"/>
    <n v="4693.12"/>
    <x v="0"/>
    <n v="38"/>
    <s v="Male"/>
    <x v="1"/>
    <x v="1"/>
    <x v="3"/>
  </r>
  <r>
    <s v="TXN-20251253"/>
    <x v="270"/>
    <x v="1250"/>
    <x v="1"/>
    <n v="83669.37"/>
    <x v="0"/>
    <n v="43"/>
    <s v="Male"/>
    <x v="2"/>
    <x v="3"/>
    <x v="0"/>
  </r>
  <r>
    <s v="TXN-20251254"/>
    <x v="320"/>
    <x v="1251"/>
    <x v="2"/>
    <n v="1759.97"/>
    <x v="0"/>
    <n v="42"/>
    <s v="Female"/>
    <x v="1"/>
    <x v="0"/>
    <x v="0"/>
  </r>
  <r>
    <s v="TXN-20251255"/>
    <x v="244"/>
    <x v="1252"/>
    <x v="1"/>
    <n v="34941.879999999997"/>
    <x v="0"/>
    <n v="42"/>
    <s v="Female"/>
    <x v="2"/>
    <x v="1"/>
    <x v="2"/>
  </r>
  <r>
    <s v="TXN-20251256"/>
    <x v="239"/>
    <x v="1253"/>
    <x v="1"/>
    <n v="8200.75"/>
    <x v="0"/>
    <n v="41"/>
    <s v="Male"/>
    <x v="2"/>
    <x v="0"/>
    <x v="0"/>
  </r>
  <r>
    <s v="TXN-20251257"/>
    <x v="118"/>
    <x v="1254"/>
    <x v="1"/>
    <n v="24302.58"/>
    <x v="0"/>
    <n v="36"/>
    <s v="Male"/>
    <x v="4"/>
    <x v="0"/>
    <x v="0"/>
  </r>
  <r>
    <s v="TXN-20251258"/>
    <x v="95"/>
    <x v="1255"/>
    <x v="1"/>
    <n v="119622.78"/>
    <x v="0"/>
    <n v="49"/>
    <s v="Female"/>
    <x v="0"/>
    <x v="0"/>
    <x v="2"/>
  </r>
  <r>
    <s v="TXN-20251259"/>
    <x v="170"/>
    <x v="1256"/>
    <x v="2"/>
    <n v="26288.14"/>
    <x v="0"/>
    <n v="31"/>
    <s v="Female"/>
    <x v="2"/>
    <x v="2"/>
    <x v="0"/>
  </r>
  <r>
    <s v="TXN-20251260"/>
    <x v="229"/>
    <x v="1257"/>
    <x v="0"/>
    <n v="1965.74"/>
    <x v="0"/>
    <n v="22"/>
    <s v="Male"/>
    <x v="1"/>
    <x v="2"/>
    <x v="0"/>
  </r>
  <r>
    <s v="TXN-20251261"/>
    <x v="187"/>
    <x v="1258"/>
    <x v="1"/>
    <n v="23036.84"/>
    <x v="1"/>
    <n v="28"/>
    <s v="Male"/>
    <x v="3"/>
    <x v="0"/>
    <x v="2"/>
  </r>
  <r>
    <s v="TXN-20251262"/>
    <x v="64"/>
    <x v="1259"/>
    <x v="1"/>
    <n v="5767.35"/>
    <x v="0"/>
    <n v="51"/>
    <s v="Female"/>
    <x v="2"/>
    <x v="0"/>
    <x v="0"/>
  </r>
  <r>
    <s v="TXN-20251263"/>
    <x v="110"/>
    <x v="1260"/>
    <x v="1"/>
    <n v="23025.18"/>
    <x v="0"/>
    <n v="29"/>
    <s v="Male"/>
    <x v="4"/>
    <x v="2"/>
    <x v="0"/>
  </r>
  <r>
    <s v="TXN-20251264"/>
    <x v="192"/>
    <x v="1261"/>
    <x v="1"/>
    <n v="115410.95"/>
    <x v="2"/>
    <n v="26"/>
    <s v="Female"/>
    <x v="9"/>
    <x v="0"/>
    <x v="0"/>
  </r>
  <r>
    <s v="TXN-20251265"/>
    <x v="231"/>
    <x v="1262"/>
    <x v="0"/>
    <n v="4655.1899999999996"/>
    <x v="0"/>
    <n v="56"/>
    <s v="Female"/>
    <x v="2"/>
    <x v="0"/>
    <x v="0"/>
  </r>
  <r>
    <s v="TXN-20251266"/>
    <x v="47"/>
    <x v="1263"/>
    <x v="2"/>
    <n v="5071.24"/>
    <x v="1"/>
    <n v="26"/>
    <s v="Male"/>
    <x v="2"/>
    <x v="2"/>
    <x v="0"/>
  </r>
  <r>
    <s v="TXN-20251267"/>
    <x v="4"/>
    <x v="1264"/>
    <x v="1"/>
    <n v="20103.830000000002"/>
    <x v="0"/>
    <n v="53"/>
    <s v="Male"/>
    <x v="4"/>
    <x v="0"/>
    <x v="0"/>
  </r>
  <r>
    <s v="TXN-20251268"/>
    <x v="139"/>
    <x v="1265"/>
    <x v="2"/>
    <n v="30189.360000000001"/>
    <x v="0"/>
    <n v="55"/>
    <s v="Female"/>
    <x v="9"/>
    <x v="2"/>
    <x v="0"/>
  </r>
  <r>
    <s v="TXN-20251269"/>
    <x v="246"/>
    <x v="1266"/>
    <x v="2"/>
    <n v="3477.34"/>
    <x v="0"/>
    <n v="40"/>
    <s v="Male"/>
    <x v="4"/>
    <x v="0"/>
    <x v="2"/>
  </r>
  <r>
    <s v="TXN-20251270"/>
    <x v="317"/>
    <x v="1267"/>
    <x v="3"/>
    <n v="2510.67"/>
    <x v="0"/>
    <n v="25"/>
    <s v="Female"/>
    <x v="4"/>
    <x v="0"/>
    <x v="2"/>
  </r>
  <r>
    <s v="TXN-20251271"/>
    <x v="257"/>
    <x v="1268"/>
    <x v="1"/>
    <n v="5291.5"/>
    <x v="0"/>
    <n v="38"/>
    <s v="Male"/>
    <x v="4"/>
    <x v="0"/>
    <x v="2"/>
  </r>
  <r>
    <s v="TXN-20251272"/>
    <x v="312"/>
    <x v="1269"/>
    <x v="3"/>
    <n v="1800.04"/>
    <x v="0"/>
    <n v="38"/>
    <s v="Male"/>
    <x v="1"/>
    <x v="1"/>
    <x v="3"/>
  </r>
  <r>
    <s v="TXN-20251273"/>
    <x v="146"/>
    <x v="1270"/>
    <x v="1"/>
    <n v="43548.62"/>
    <x v="0"/>
    <n v="32"/>
    <s v="Male"/>
    <x v="4"/>
    <x v="0"/>
    <x v="2"/>
  </r>
  <r>
    <s v="TXN-20251274"/>
    <x v="306"/>
    <x v="1271"/>
    <x v="1"/>
    <n v="12190.54"/>
    <x v="1"/>
    <n v="43"/>
    <s v="Male"/>
    <x v="2"/>
    <x v="1"/>
    <x v="0"/>
  </r>
  <r>
    <s v="TXN-20251275"/>
    <x v="261"/>
    <x v="1272"/>
    <x v="0"/>
    <n v="3830.83"/>
    <x v="0"/>
    <n v="24"/>
    <s v="Male"/>
    <x v="4"/>
    <x v="0"/>
    <x v="0"/>
  </r>
  <r>
    <s v="TXN-20251276"/>
    <x v="64"/>
    <x v="1273"/>
    <x v="0"/>
    <n v="862.88"/>
    <x v="0"/>
    <n v="51"/>
    <s v="Female"/>
    <x v="2"/>
    <x v="0"/>
    <x v="3"/>
  </r>
  <r>
    <s v="TXN-20251277"/>
    <x v="87"/>
    <x v="1274"/>
    <x v="1"/>
    <n v="75987.8"/>
    <x v="0"/>
    <n v="35"/>
    <s v="Female"/>
    <x v="8"/>
    <x v="0"/>
    <x v="3"/>
  </r>
  <r>
    <s v="TXN-20251278"/>
    <x v="331"/>
    <x v="1275"/>
    <x v="1"/>
    <n v="37924.22"/>
    <x v="0"/>
    <n v="29"/>
    <s v="Female"/>
    <x v="2"/>
    <x v="0"/>
    <x v="0"/>
  </r>
  <r>
    <s v="TXN-20251279"/>
    <x v="225"/>
    <x v="1276"/>
    <x v="3"/>
    <n v="9687.48"/>
    <x v="0"/>
    <n v="20"/>
    <s v="Female"/>
    <x v="4"/>
    <x v="3"/>
    <x v="0"/>
  </r>
  <r>
    <s v="TXN-20251280"/>
    <x v="13"/>
    <x v="1277"/>
    <x v="1"/>
    <n v="10071.5"/>
    <x v="0"/>
    <n v="32"/>
    <s v="Female"/>
    <x v="2"/>
    <x v="0"/>
    <x v="2"/>
  </r>
  <r>
    <s v="TXN-20251281"/>
    <x v="336"/>
    <x v="1278"/>
    <x v="1"/>
    <n v="80556.3"/>
    <x v="0"/>
    <n v="34"/>
    <s v="Male"/>
    <x v="4"/>
    <x v="0"/>
    <x v="3"/>
  </r>
  <r>
    <s v="TXN-20251282"/>
    <x v="165"/>
    <x v="1279"/>
    <x v="0"/>
    <n v="1706.96"/>
    <x v="0"/>
    <n v="25"/>
    <s v="Male"/>
    <x v="6"/>
    <x v="1"/>
    <x v="3"/>
  </r>
  <r>
    <s v="TXN-20251283"/>
    <x v="13"/>
    <x v="1280"/>
    <x v="1"/>
    <n v="30959.53"/>
    <x v="0"/>
    <n v="32"/>
    <s v="Female"/>
    <x v="2"/>
    <x v="0"/>
    <x v="3"/>
  </r>
  <r>
    <s v="TXN-20251284"/>
    <x v="174"/>
    <x v="1281"/>
    <x v="1"/>
    <n v="13663.34"/>
    <x v="0"/>
    <n v="27"/>
    <s v="Male"/>
    <x v="4"/>
    <x v="0"/>
    <x v="0"/>
  </r>
  <r>
    <s v="TXN-20251285"/>
    <x v="133"/>
    <x v="1282"/>
    <x v="1"/>
    <n v="13138.21"/>
    <x v="0"/>
    <n v="36"/>
    <s v="Female"/>
    <x v="2"/>
    <x v="1"/>
    <x v="0"/>
  </r>
  <r>
    <s v="TXN-20251286"/>
    <x v="275"/>
    <x v="1283"/>
    <x v="2"/>
    <n v="21957.55"/>
    <x v="0"/>
    <n v="39"/>
    <s v="Male"/>
    <x v="7"/>
    <x v="0"/>
    <x v="0"/>
  </r>
  <r>
    <s v="TXN-20251287"/>
    <x v="129"/>
    <x v="1284"/>
    <x v="1"/>
    <n v="29460.66"/>
    <x v="0"/>
    <n v="27"/>
    <s v="Female"/>
    <x v="5"/>
    <x v="0"/>
    <x v="0"/>
  </r>
  <r>
    <s v="TXN-20251288"/>
    <x v="129"/>
    <x v="1285"/>
    <x v="3"/>
    <n v="12421.88"/>
    <x v="0"/>
    <n v="27"/>
    <s v="Female"/>
    <x v="5"/>
    <x v="0"/>
    <x v="3"/>
  </r>
  <r>
    <s v="TXN-20251289"/>
    <x v="256"/>
    <x v="1286"/>
    <x v="4"/>
    <n v="2000"/>
    <x v="0"/>
    <n v="33"/>
    <s v="Female"/>
    <x v="1"/>
    <x v="0"/>
    <x v="0"/>
  </r>
  <r>
    <s v="TXN-20251290"/>
    <x v="155"/>
    <x v="1287"/>
    <x v="0"/>
    <n v="1006.1"/>
    <x v="0"/>
    <n v="32"/>
    <s v="Male"/>
    <x v="2"/>
    <x v="0"/>
    <x v="0"/>
  </r>
  <r>
    <s v="TXN-20251291"/>
    <x v="246"/>
    <x v="1288"/>
    <x v="1"/>
    <n v="21645.4"/>
    <x v="0"/>
    <n v="40"/>
    <s v="Male"/>
    <x v="4"/>
    <x v="0"/>
    <x v="0"/>
  </r>
  <r>
    <s v="TXN-20251292"/>
    <x v="333"/>
    <x v="1289"/>
    <x v="1"/>
    <n v="69615.710000000006"/>
    <x v="0"/>
    <n v="60"/>
    <s v="Female"/>
    <x v="9"/>
    <x v="0"/>
    <x v="3"/>
  </r>
  <r>
    <s v="TXN-20251293"/>
    <x v="224"/>
    <x v="1290"/>
    <x v="1"/>
    <n v="44227.17"/>
    <x v="0"/>
    <n v="29"/>
    <s v="Female"/>
    <x v="7"/>
    <x v="0"/>
    <x v="0"/>
  </r>
  <r>
    <s v="TXN-20251294"/>
    <x v="219"/>
    <x v="1291"/>
    <x v="2"/>
    <n v="4814.12"/>
    <x v="0"/>
    <n v="47"/>
    <s v="Female"/>
    <x v="4"/>
    <x v="2"/>
    <x v="3"/>
  </r>
  <r>
    <s v="TXN-20251295"/>
    <x v="180"/>
    <x v="1292"/>
    <x v="3"/>
    <n v="21189.53"/>
    <x v="0"/>
    <n v="39"/>
    <s v="Female"/>
    <x v="7"/>
    <x v="3"/>
    <x v="0"/>
  </r>
  <r>
    <s v="TXN-20251296"/>
    <x v="100"/>
    <x v="1293"/>
    <x v="2"/>
    <n v="14921.09"/>
    <x v="1"/>
    <n v="36"/>
    <s v="Female"/>
    <x v="4"/>
    <x v="0"/>
    <x v="0"/>
  </r>
  <r>
    <s v="TXN-20251297"/>
    <x v="275"/>
    <x v="1294"/>
    <x v="2"/>
    <n v="2402.9299999999998"/>
    <x v="0"/>
    <n v="39"/>
    <s v="Male"/>
    <x v="7"/>
    <x v="0"/>
    <x v="0"/>
  </r>
  <r>
    <s v="TXN-20251298"/>
    <x v="313"/>
    <x v="1295"/>
    <x v="0"/>
    <n v="8467.7199999999993"/>
    <x v="0"/>
    <n v="33"/>
    <s v="Female"/>
    <x v="4"/>
    <x v="3"/>
    <x v="0"/>
  </r>
  <r>
    <s v="TXN-20251299"/>
    <x v="296"/>
    <x v="1296"/>
    <x v="1"/>
    <n v="5024.0200000000004"/>
    <x v="0"/>
    <n v="51"/>
    <s v="Female"/>
    <x v="6"/>
    <x v="2"/>
    <x v="3"/>
  </r>
  <r>
    <s v="TXN-20251300"/>
    <x v="174"/>
    <x v="1297"/>
    <x v="3"/>
    <n v="5443.92"/>
    <x v="1"/>
    <n v="27"/>
    <s v="Male"/>
    <x v="4"/>
    <x v="0"/>
    <x v="2"/>
  </r>
  <r>
    <s v="TXN-20251301"/>
    <x v="307"/>
    <x v="1298"/>
    <x v="2"/>
    <n v="3008.77"/>
    <x v="0"/>
    <n v="40"/>
    <s v="Male"/>
    <x v="4"/>
    <x v="3"/>
    <x v="0"/>
  </r>
  <r>
    <s v="TXN-20251302"/>
    <x v="66"/>
    <x v="1299"/>
    <x v="1"/>
    <n v="12305.11"/>
    <x v="0"/>
    <n v="32"/>
    <s v="Male"/>
    <x v="4"/>
    <x v="2"/>
    <x v="3"/>
  </r>
  <r>
    <s v="TXN-20251303"/>
    <x v="173"/>
    <x v="1300"/>
    <x v="2"/>
    <n v="7803.69"/>
    <x v="0"/>
    <n v="30"/>
    <s v="Male"/>
    <x v="6"/>
    <x v="1"/>
    <x v="0"/>
  </r>
  <r>
    <s v="TXN-20251304"/>
    <x v="227"/>
    <x v="1301"/>
    <x v="1"/>
    <n v="17205.939999999999"/>
    <x v="0"/>
    <n v="51"/>
    <s v="Male"/>
    <x v="4"/>
    <x v="0"/>
    <x v="1"/>
  </r>
  <r>
    <s v="TXN-20251305"/>
    <x v="90"/>
    <x v="1302"/>
    <x v="1"/>
    <n v="19805.03"/>
    <x v="0"/>
    <n v="36"/>
    <s v="Male"/>
    <x v="4"/>
    <x v="1"/>
    <x v="0"/>
  </r>
  <r>
    <s v="TXN-20251306"/>
    <x v="108"/>
    <x v="1303"/>
    <x v="1"/>
    <n v="12208.45"/>
    <x v="0"/>
    <n v="50"/>
    <s v="Female"/>
    <x v="9"/>
    <x v="2"/>
    <x v="0"/>
  </r>
  <r>
    <s v="TXN-20251307"/>
    <x v="236"/>
    <x v="1304"/>
    <x v="1"/>
    <n v="1778.45"/>
    <x v="0"/>
    <n v="45"/>
    <s v="Male"/>
    <x v="4"/>
    <x v="3"/>
    <x v="0"/>
  </r>
  <r>
    <s v="TXN-20251308"/>
    <x v="53"/>
    <x v="1305"/>
    <x v="1"/>
    <n v="20650.900000000001"/>
    <x v="0"/>
    <n v="24"/>
    <s v="Male"/>
    <x v="7"/>
    <x v="0"/>
    <x v="3"/>
  </r>
  <r>
    <s v="TXN-20251309"/>
    <x v="45"/>
    <x v="1306"/>
    <x v="1"/>
    <n v="10738.43"/>
    <x v="0"/>
    <n v="38"/>
    <s v="Female"/>
    <x v="6"/>
    <x v="0"/>
    <x v="3"/>
  </r>
  <r>
    <s v="TXN-20251310"/>
    <x v="237"/>
    <x v="1307"/>
    <x v="3"/>
    <n v="3145.21"/>
    <x v="0"/>
    <n v="24"/>
    <s v="Female"/>
    <x v="4"/>
    <x v="1"/>
    <x v="0"/>
  </r>
  <r>
    <s v="TXN-20251311"/>
    <x v="143"/>
    <x v="1308"/>
    <x v="0"/>
    <n v="707.84"/>
    <x v="0"/>
    <n v="57"/>
    <s v="Male"/>
    <x v="0"/>
    <x v="1"/>
    <x v="1"/>
  </r>
  <r>
    <s v="TXN-20251312"/>
    <x v="26"/>
    <x v="1309"/>
    <x v="1"/>
    <n v="3370.39"/>
    <x v="1"/>
    <n v="22"/>
    <s v="Female"/>
    <x v="6"/>
    <x v="2"/>
    <x v="0"/>
  </r>
  <r>
    <s v="TXN-20251313"/>
    <x v="341"/>
    <x v="1310"/>
    <x v="1"/>
    <n v="10833.29"/>
    <x v="1"/>
    <n v="29"/>
    <s v="Male"/>
    <x v="4"/>
    <x v="0"/>
    <x v="3"/>
  </r>
  <r>
    <s v="TXN-20251314"/>
    <x v="268"/>
    <x v="1311"/>
    <x v="0"/>
    <n v="2503.0700000000002"/>
    <x v="0"/>
    <n v="54"/>
    <s v="Male"/>
    <x v="4"/>
    <x v="0"/>
    <x v="0"/>
  </r>
  <r>
    <s v="TXN-20251315"/>
    <x v="33"/>
    <x v="1312"/>
    <x v="2"/>
    <n v="2915.99"/>
    <x v="0"/>
    <n v="42"/>
    <s v="Male"/>
    <x v="4"/>
    <x v="2"/>
    <x v="3"/>
  </r>
  <r>
    <s v="TXN-20251316"/>
    <x v="168"/>
    <x v="1313"/>
    <x v="2"/>
    <n v="31673.77"/>
    <x v="0"/>
    <n v="28"/>
    <s v="Female"/>
    <x v="4"/>
    <x v="1"/>
    <x v="3"/>
  </r>
  <r>
    <s v="TXN-20251317"/>
    <x v="94"/>
    <x v="1314"/>
    <x v="0"/>
    <n v="1352.96"/>
    <x v="0"/>
    <n v="37"/>
    <s v="Male"/>
    <x v="4"/>
    <x v="1"/>
    <x v="2"/>
  </r>
  <r>
    <s v="TXN-20251318"/>
    <x v="149"/>
    <x v="1315"/>
    <x v="1"/>
    <n v="9382.1"/>
    <x v="0"/>
    <n v="35"/>
    <s v="Male"/>
    <x v="4"/>
    <x v="2"/>
    <x v="3"/>
  </r>
  <r>
    <s v="TXN-20251319"/>
    <x v="11"/>
    <x v="1316"/>
    <x v="1"/>
    <n v="69785.95"/>
    <x v="0"/>
    <n v="64"/>
    <s v="Female"/>
    <x v="3"/>
    <x v="2"/>
    <x v="1"/>
  </r>
  <r>
    <s v="TXN-20251320"/>
    <x v="269"/>
    <x v="1317"/>
    <x v="1"/>
    <n v="16235.21"/>
    <x v="0"/>
    <n v="37"/>
    <s v="Male"/>
    <x v="7"/>
    <x v="1"/>
    <x v="0"/>
  </r>
  <r>
    <s v="TXN-20251321"/>
    <x v="133"/>
    <x v="1318"/>
    <x v="1"/>
    <n v="18541.080000000002"/>
    <x v="0"/>
    <n v="36"/>
    <s v="Female"/>
    <x v="2"/>
    <x v="1"/>
    <x v="3"/>
  </r>
  <r>
    <s v="TXN-20251322"/>
    <x v="283"/>
    <x v="1319"/>
    <x v="2"/>
    <n v="4648.2"/>
    <x v="0"/>
    <n v="50"/>
    <s v="Male"/>
    <x v="8"/>
    <x v="2"/>
    <x v="0"/>
  </r>
  <r>
    <s v="TXN-20251323"/>
    <x v="8"/>
    <x v="1320"/>
    <x v="1"/>
    <n v="49515.88"/>
    <x v="0"/>
    <n v="53"/>
    <s v="Male"/>
    <x v="6"/>
    <x v="2"/>
    <x v="3"/>
  </r>
  <r>
    <s v="TXN-20251324"/>
    <x v="304"/>
    <x v="1321"/>
    <x v="1"/>
    <n v="29287.4"/>
    <x v="0"/>
    <n v="43"/>
    <s v="Male"/>
    <x v="8"/>
    <x v="0"/>
    <x v="3"/>
  </r>
  <r>
    <s v="TXN-20251325"/>
    <x v="38"/>
    <x v="1322"/>
    <x v="3"/>
    <n v="4678.03"/>
    <x v="0"/>
    <n v="42"/>
    <s v="Female"/>
    <x v="4"/>
    <x v="1"/>
    <x v="2"/>
  </r>
  <r>
    <s v="TXN-20251326"/>
    <x v="259"/>
    <x v="1323"/>
    <x v="1"/>
    <n v="9827.36"/>
    <x v="0"/>
    <n v="42"/>
    <s v="Male"/>
    <x v="9"/>
    <x v="0"/>
    <x v="1"/>
  </r>
  <r>
    <s v="TXN-20251327"/>
    <x v="203"/>
    <x v="1324"/>
    <x v="0"/>
    <n v="332.34"/>
    <x v="0"/>
    <n v="28"/>
    <s v="Male"/>
    <x v="4"/>
    <x v="2"/>
    <x v="0"/>
  </r>
  <r>
    <s v="TXN-20251328"/>
    <x v="267"/>
    <x v="1325"/>
    <x v="1"/>
    <n v="5966.33"/>
    <x v="0"/>
    <n v="26"/>
    <s v="Male"/>
    <x v="4"/>
    <x v="0"/>
    <x v="2"/>
  </r>
  <r>
    <s v="TXN-20251329"/>
    <x v="65"/>
    <x v="1326"/>
    <x v="1"/>
    <n v="9870.67"/>
    <x v="0"/>
    <n v="24"/>
    <s v="Male"/>
    <x v="3"/>
    <x v="2"/>
    <x v="0"/>
  </r>
  <r>
    <s v="TXN-20251330"/>
    <x v="271"/>
    <x v="1327"/>
    <x v="3"/>
    <n v="3431.73"/>
    <x v="0"/>
    <n v="28"/>
    <s v="Female"/>
    <x v="4"/>
    <x v="0"/>
    <x v="0"/>
  </r>
  <r>
    <s v="TXN-20251331"/>
    <x v="25"/>
    <x v="1328"/>
    <x v="1"/>
    <n v="39200.82"/>
    <x v="0"/>
    <n v="25"/>
    <s v="Female"/>
    <x v="4"/>
    <x v="2"/>
    <x v="0"/>
  </r>
  <r>
    <s v="TXN-20251332"/>
    <x v="325"/>
    <x v="1329"/>
    <x v="1"/>
    <n v="33602.480000000003"/>
    <x v="0"/>
    <n v="32"/>
    <s v="Male"/>
    <x v="4"/>
    <x v="1"/>
    <x v="3"/>
  </r>
  <r>
    <s v="TXN-20251333"/>
    <x v="243"/>
    <x v="1330"/>
    <x v="0"/>
    <n v="727.6"/>
    <x v="0"/>
    <n v="23"/>
    <s v="Female"/>
    <x v="4"/>
    <x v="0"/>
    <x v="0"/>
  </r>
  <r>
    <s v="TXN-20251334"/>
    <x v="82"/>
    <x v="1331"/>
    <x v="3"/>
    <n v="12469.11"/>
    <x v="0"/>
    <n v="28"/>
    <s v="Male"/>
    <x v="3"/>
    <x v="0"/>
    <x v="3"/>
  </r>
  <r>
    <s v="TXN-20251335"/>
    <x v="132"/>
    <x v="1332"/>
    <x v="0"/>
    <n v="1392.14"/>
    <x v="0"/>
    <n v="31"/>
    <s v="Male"/>
    <x v="4"/>
    <x v="2"/>
    <x v="0"/>
  </r>
  <r>
    <s v="TXN-20251336"/>
    <x v="342"/>
    <x v="1333"/>
    <x v="1"/>
    <n v="52051.32"/>
    <x v="0"/>
    <n v="42"/>
    <s v="Male"/>
    <x v="5"/>
    <x v="2"/>
    <x v="0"/>
  </r>
  <r>
    <s v="TXN-20251337"/>
    <x v="60"/>
    <x v="1334"/>
    <x v="1"/>
    <n v="1281.04"/>
    <x v="0"/>
    <n v="31"/>
    <s v="Female"/>
    <x v="2"/>
    <x v="2"/>
    <x v="0"/>
  </r>
  <r>
    <s v="TXN-20251338"/>
    <x v="297"/>
    <x v="1335"/>
    <x v="1"/>
    <n v="86603.23"/>
    <x v="0"/>
    <n v="60"/>
    <s v="Male"/>
    <x v="1"/>
    <x v="0"/>
    <x v="2"/>
  </r>
  <r>
    <s v="TXN-20251339"/>
    <x v="86"/>
    <x v="1336"/>
    <x v="3"/>
    <n v="2425.38"/>
    <x v="0"/>
    <n v="40"/>
    <s v="Male"/>
    <x v="4"/>
    <x v="2"/>
    <x v="3"/>
  </r>
  <r>
    <s v="TXN-20251340"/>
    <x v="277"/>
    <x v="1337"/>
    <x v="1"/>
    <n v="6572.97"/>
    <x v="0"/>
    <n v="29"/>
    <s v="Male"/>
    <x v="1"/>
    <x v="3"/>
    <x v="3"/>
  </r>
  <r>
    <s v="TXN-20251341"/>
    <x v="315"/>
    <x v="1338"/>
    <x v="1"/>
    <n v="10669.4"/>
    <x v="0"/>
    <n v="32"/>
    <s v="Female"/>
    <x v="4"/>
    <x v="0"/>
    <x v="2"/>
  </r>
  <r>
    <s v="TXN-20251342"/>
    <x v="327"/>
    <x v="1339"/>
    <x v="1"/>
    <n v="40688.839999999997"/>
    <x v="0"/>
    <n v="40"/>
    <s v="Female"/>
    <x v="6"/>
    <x v="0"/>
    <x v="3"/>
  </r>
  <r>
    <s v="TXN-20251343"/>
    <x v="259"/>
    <x v="1340"/>
    <x v="3"/>
    <n v="3260.13"/>
    <x v="0"/>
    <n v="42"/>
    <s v="Male"/>
    <x v="9"/>
    <x v="0"/>
    <x v="2"/>
  </r>
  <r>
    <s v="TXN-20251344"/>
    <x v="175"/>
    <x v="1341"/>
    <x v="0"/>
    <n v="4714.93"/>
    <x v="0"/>
    <n v="23"/>
    <s v="Female"/>
    <x v="4"/>
    <x v="2"/>
    <x v="0"/>
  </r>
  <r>
    <s v="TXN-20251345"/>
    <x v="77"/>
    <x v="1342"/>
    <x v="1"/>
    <n v="2492.66"/>
    <x v="0"/>
    <n v="37"/>
    <s v="Female"/>
    <x v="6"/>
    <x v="1"/>
    <x v="2"/>
  </r>
  <r>
    <s v="TXN-20251346"/>
    <x v="61"/>
    <x v="1343"/>
    <x v="3"/>
    <n v="8673.16"/>
    <x v="0"/>
    <n v="31"/>
    <s v="Female"/>
    <x v="3"/>
    <x v="3"/>
    <x v="3"/>
  </r>
  <r>
    <s v="TXN-20251347"/>
    <x v="65"/>
    <x v="1344"/>
    <x v="1"/>
    <n v="64983.91"/>
    <x v="0"/>
    <n v="24"/>
    <s v="Male"/>
    <x v="3"/>
    <x v="2"/>
    <x v="3"/>
  </r>
  <r>
    <s v="TXN-20251348"/>
    <x v="17"/>
    <x v="1345"/>
    <x v="1"/>
    <n v="20684.060000000001"/>
    <x v="0"/>
    <n v="42"/>
    <s v="Male"/>
    <x v="7"/>
    <x v="0"/>
    <x v="1"/>
  </r>
  <r>
    <s v="TXN-20251349"/>
    <x v="100"/>
    <x v="1346"/>
    <x v="1"/>
    <n v="11136.95"/>
    <x v="0"/>
    <n v="36"/>
    <s v="Female"/>
    <x v="4"/>
    <x v="0"/>
    <x v="0"/>
  </r>
  <r>
    <s v="TXN-20251350"/>
    <x v="84"/>
    <x v="1347"/>
    <x v="3"/>
    <n v="3574.3"/>
    <x v="0"/>
    <n v="21"/>
    <s v="Male"/>
    <x v="3"/>
    <x v="1"/>
    <x v="3"/>
  </r>
  <r>
    <s v="TXN-20251351"/>
    <x v="299"/>
    <x v="1348"/>
    <x v="3"/>
    <n v="1481.77"/>
    <x v="0"/>
    <n v="43"/>
    <s v="Male"/>
    <x v="8"/>
    <x v="0"/>
    <x v="3"/>
  </r>
  <r>
    <s v="TXN-20251352"/>
    <x v="310"/>
    <x v="1349"/>
    <x v="1"/>
    <n v="2143.33"/>
    <x v="0"/>
    <n v="30"/>
    <s v="Female"/>
    <x v="7"/>
    <x v="2"/>
    <x v="0"/>
  </r>
  <r>
    <s v="TXN-20251353"/>
    <x v="105"/>
    <x v="1350"/>
    <x v="1"/>
    <n v="7453.51"/>
    <x v="0"/>
    <n v="26"/>
    <s v="Female"/>
    <x v="4"/>
    <x v="2"/>
    <x v="0"/>
  </r>
  <r>
    <s v="TXN-20251354"/>
    <x v="295"/>
    <x v="1351"/>
    <x v="4"/>
    <n v="2000"/>
    <x v="0"/>
    <n v="37"/>
    <s v="Female"/>
    <x v="4"/>
    <x v="2"/>
    <x v="0"/>
  </r>
  <r>
    <s v="TXN-20251355"/>
    <x v="287"/>
    <x v="1352"/>
    <x v="3"/>
    <n v="1725.72"/>
    <x v="0"/>
    <n v="38"/>
    <s v="Female"/>
    <x v="9"/>
    <x v="2"/>
    <x v="0"/>
  </r>
  <r>
    <s v="TXN-20251356"/>
    <x v="81"/>
    <x v="1353"/>
    <x v="0"/>
    <n v="1539.22"/>
    <x v="0"/>
    <n v="50"/>
    <s v="Female"/>
    <x v="2"/>
    <x v="2"/>
    <x v="3"/>
  </r>
  <r>
    <s v="TXN-20251357"/>
    <x v="236"/>
    <x v="1354"/>
    <x v="2"/>
    <n v="4432.6899999999996"/>
    <x v="0"/>
    <n v="45"/>
    <s v="Male"/>
    <x v="4"/>
    <x v="3"/>
    <x v="3"/>
  </r>
  <r>
    <s v="TXN-20251358"/>
    <x v="240"/>
    <x v="1355"/>
    <x v="1"/>
    <n v="37069.11"/>
    <x v="0"/>
    <n v="35"/>
    <s v="Male"/>
    <x v="2"/>
    <x v="0"/>
    <x v="3"/>
  </r>
  <r>
    <s v="TXN-20251359"/>
    <x v="28"/>
    <x v="1356"/>
    <x v="0"/>
    <n v="2434.64"/>
    <x v="0"/>
    <n v="36"/>
    <s v="Male"/>
    <x v="9"/>
    <x v="0"/>
    <x v="3"/>
  </r>
  <r>
    <s v="TXN-20251360"/>
    <x v="112"/>
    <x v="1357"/>
    <x v="1"/>
    <n v="71865.95"/>
    <x v="0"/>
    <n v="52"/>
    <s v="Female"/>
    <x v="4"/>
    <x v="0"/>
    <x v="0"/>
  </r>
  <r>
    <s v="TXN-20251361"/>
    <x v="272"/>
    <x v="1358"/>
    <x v="1"/>
    <n v="55465.46"/>
    <x v="1"/>
    <n v="37"/>
    <s v="Male"/>
    <x v="8"/>
    <x v="0"/>
    <x v="0"/>
  </r>
  <r>
    <s v="TXN-20251362"/>
    <x v="292"/>
    <x v="1359"/>
    <x v="0"/>
    <n v="4428.8599999999997"/>
    <x v="0"/>
    <n v="25"/>
    <s v="Female"/>
    <x v="4"/>
    <x v="0"/>
    <x v="2"/>
  </r>
  <r>
    <s v="TXN-20251363"/>
    <x v="139"/>
    <x v="1360"/>
    <x v="1"/>
    <n v="70419.59"/>
    <x v="0"/>
    <n v="55"/>
    <s v="Female"/>
    <x v="9"/>
    <x v="2"/>
    <x v="3"/>
  </r>
  <r>
    <s v="TXN-20251364"/>
    <x v="46"/>
    <x v="1361"/>
    <x v="0"/>
    <n v="773.22"/>
    <x v="0"/>
    <n v="20"/>
    <s v="Male"/>
    <x v="5"/>
    <x v="0"/>
    <x v="0"/>
  </r>
  <r>
    <s v="TXN-20251365"/>
    <x v="62"/>
    <x v="1362"/>
    <x v="1"/>
    <n v="3910.44"/>
    <x v="0"/>
    <n v="24"/>
    <s v="Female"/>
    <x v="4"/>
    <x v="1"/>
    <x v="0"/>
  </r>
  <r>
    <s v="TXN-20251366"/>
    <x v="280"/>
    <x v="1363"/>
    <x v="2"/>
    <n v="4711.99"/>
    <x v="0"/>
    <n v="39"/>
    <s v="Male"/>
    <x v="1"/>
    <x v="0"/>
    <x v="3"/>
  </r>
  <r>
    <s v="TXN-20251367"/>
    <x v="20"/>
    <x v="1364"/>
    <x v="2"/>
    <n v="57255.22"/>
    <x v="0"/>
    <n v="34"/>
    <s v="Female"/>
    <x v="8"/>
    <x v="0"/>
    <x v="3"/>
  </r>
  <r>
    <s v="TXN-20251368"/>
    <x v="338"/>
    <x v="1365"/>
    <x v="1"/>
    <n v="8198.17"/>
    <x v="0"/>
    <n v="32"/>
    <s v="Female"/>
    <x v="2"/>
    <x v="2"/>
    <x v="0"/>
  </r>
  <r>
    <s v="TXN-20251369"/>
    <x v="19"/>
    <x v="1366"/>
    <x v="0"/>
    <n v="1134.18"/>
    <x v="0"/>
    <n v="31"/>
    <s v="Female"/>
    <x v="2"/>
    <x v="0"/>
    <x v="3"/>
  </r>
  <r>
    <s v="TXN-20251370"/>
    <x v="221"/>
    <x v="1367"/>
    <x v="1"/>
    <n v="60447.71"/>
    <x v="0"/>
    <n v="33"/>
    <s v="Female"/>
    <x v="3"/>
    <x v="3"/>
    <x v="3"/>
  </r>
  <r>
    <s v="TXN-20251371"/>
    <x v="149"/>
    <x v="1368"/>
    <x v="1"/>
    <n v="82937.17"/>
    <x v="0"/>
    <n v="35"/>
    <s v="Male"/>
    <x v="4"/>
    <x v="2"/>
    <x v="0"/>
  </r>
  <r>
    <s v="TXN-20251372"/>
    <x v="0"/>
    <x v="1369"/>
    <x v="3"/>
    <n v="13757.95"/>
    <x v="0"/>
    <n v="47"/>
    <s v="Male"/>
    <x v="0"/>
    <x v="0"/>
    <x v="0"/>
  </r>
  <r>
    <s v="TXN-20251373"/>
    <x v="186"/>
    <x v="1370"/>
    <x v="1"/>
    <n v="7026.8"/>
    <x v="0"/>
    <n v="20"/>
    <s v="Male"/>
    <x v="7"/>
    <x v="0"/>
    <x v="0"/>
  </r>
  <r>
    <s v="TXN-20251374"/>
    <x v="266"/>
    <x v="1371"/>
    <x v="0"/>
    <n v="1040.6099999999999"/>
    <x v="0"/>
    <n v="35"/>
    <s v="Female"/>
    <x v="1"/>
    <x v="3"/>
    <x v="0"/>
  </r>
  <r>
    <s v="TXN-20251375"/>
    <x v="21"/>
    <x v="1372"/>
    <x v="4"/>
    <n v="10000"/>
    <x v="0"/>
    <n v="27"/>
    <s v="Female"/>
    <x v="7"/>
    <x v="0"/>
    <x v="0"/>
  </r>
  <r>
    <s v="TXN-20251376"/>
    <x v="86"/>
    <x v="1373"/>
    <x v="2"/>
    <n v="2831.45"/>
    <x v="1"/>
    <n v="40"/>
    <s v="Male"/>
    <x v="4"/>
    <x v="2"/>
    <x v="0"/>
  </r>
  <r>
    <s v="TXN-20251377"/>
    <x v="107"/>
    <x v="1374"/>
    <x v="1"/>
    <n v="30081.06"/>
    <x v="1"/>
    <n v="36"/>
    <s v="Female"/>
    <x v="2"/>
    <x v="0"/>
    <x v="3"/>
  </r>
  <r>
    <s v="TXN-20251378"/>
    <x v="343"/>
    <x v="1375"/>
    <x v="2"/>
    <n v="10584.31"/>
    <x v="0"/>
    <n v="30"/>
    <s v="Male"/>
    <x v="1"/>
    <x v="2"/>
    <x v="0"/>
  </r>
  <r>
    <s v="TXN-20251379"/>
    <x v="171"/>
    <x v="1376"/>
    <x v="1"/>
    <n v="108371.5"/>
    <x v="0"/>
    <n v="51"/>
    <s v="Male"/>
    <x v="1"/>
    <x v="2"/>
    <x v="0"/>
  </r>
  <r>
    <s v="TXN-20251380"/>
    <x v="86"/>
    <x v="1377"/>
    <x v="0"/>
    <n v="10157.74"/>
    <x v="0"/>
    <n v="40"/>
    <s v="Male"/>
    <x v="4"/>
    <x v="2"/>
    <x v="3"/>
  </r>
  <r>
    <s v="TXN-20251381"/>
    <x v="76"/>
    <x v="1378"/>
    <x v="1"/>
    <n v="19087.87"/>
    <x v="1"/>
    <n v="38"/>
    <s v="Female"/>
    <x v="4"/>
    <x v="1"/>
    <x v="0"/>
  </r>
  <r>
    <s v="TXN-20251382"/>
    <x v="172"/>
    <x v="1379"/>
    <x v="4"/>
    <n v="5000"/>
    <x v="0"/>
    <n v="25"/>
    <s v="Male"/>
    <x v="4"/>
    <x v="2"/>
    <x v="0"/>
  </r>
  <r>
    <s v="TXN-20251383"/>
    <x v="126"/>
    <x v="1380"/>
    <x v="2"/>
    <n v="5202.54"/>
    <x v="0"/>
    <n v="24"/>
    <s v="Male"/>
    <x v="6"/>
    <x v="0"/>
    <x v="0"/>
  </r>
  <r>
    <s v="TXN-20251384"/>
    <x v="157"/>
    <x v="1381"/>
    <x v="1"/>
    <n v="1206.6300000000001"/>
    <x v="0"/>
    <n v="31"/>
    <s v="Male"/>
    <x v="4"/>
    <x v="0"/>
    <x v="1"/>
  </r>
  <r>
    <s v="TXN-20251385"/>
    <x v="94"/>
    <x v="1382"/>
    <x v="2"/>
    <n v="12103.49"/>
    <x v="0"/>
    <n v="37"/>
    <s v="Male"/>
    <x v="4"/>
    <x v="1"/>
    <x v="0"/>
  </r>
  <r>
    <s v="TXN-20251386"/>
    <x v="290"/>
    <x v="1383"/>
    <x v="1"/>
    <n v="4016.52"/>
    <x v="0"/>
    <n v="29"/>
    <s v="Male"/>
    <x v="1"/>
    <x v="0"/>
    <x v="0"/>
  </r>
  <r>
    <s v="TXN-20251387"/>
    <x v="141"/>
    <x v="1384"/>
    <x v="0"/>
    <n v="564.35"/>
    <x v="0"/>
    <n v="51"/>
    <s v="Male"/>
    <x v="1"/>
    <x v="0"/>
    <x v="0"/>
  </r>
  <r>
    <s v="TXN-20251388"/>
    <x v="277"/>
    <x v="1385"/>
    <x v="2"/>
    <n v="2604.81"/>
    <x v="0"/>
    <n v="29"/>
    <s v="Male"/>
    <x v="1"/>
    <x v="3"/>
    <x v="3"/>
  </r>
  <r>
    <s v="TXN-20251389"/>
    <x v="201"/>
    <x v="1386"/>
    <x v="2"/>
    <n v="12736.33"/>
    <x v="0"/>
    <n v="28"/>
    <s v="Female"/>
    <x v="4"/>
    <x v="0"/>
    <x v="2"/>
  </r>
  <r>
    <s v="TXN-20251390"/>
    <x v="333"/>
    <x v="1387"/>
    <x v="0"/>
    <n v="1281.42"/>
    <x v="0"/>
    <n v="60"/>
    <s v="Female"/>
    <x v="9"/>
    <x v="0"/>
    <x v="2"/>
  </r>
  <r>
    <s v="TXN-20251391"/>
    <x v="84"/>
    <x v="1388"/>
    <x v="2"/>
    <n v="31910.76"/>
    <x v="0"/>
    <n v="21"/>
    <s v="Male"/>
    <x v="3"/>
    <x v="1"/>
    <x v="0"/>
  </r>
  <r>
    <s v="TXN-20251392"/>
    <x v="166"/>
    <x v="1389"/>
    <x v="1"/>
    <n v="38902.910000000003"/>
    <x v="0"/>
    <n v="30"/>
    <s v="Female"/>
    <x v="1"/>
    <x v="2"/>
    <x v="1"/>
  </r>
  <r>
    <s v="TXN-20251393"/>
    <x v="213"/>
    <x v="1390"/>
    <x v="2"/>
    <n v="43331.47"/>
    <x v="0"/>
    <n v="46"/>
    <s v="Male"/>
    <x v="2"/>
    <x v="1"/>
    <x v="0"/>
  </r>
  <r>
    <s v="TXN-20251394"/>
    <x v="344"/>
    <x v="1391"/>
    <x v="2"/>
    <n v="763.54"/>
    <x v="0"/>
    <n v="46"/>
    <s v="Male"/>
    <x v="9"/>
    <x v="3"/>
    <x v="1"/>
  </r>
  <r>
    <s v="TXN-20251395"/>
    <x v="200"/>
    <x v="1392"/>
    <x v="1"/>
    <n v="42224.08"/>
    <x v="0"/>
    <n v="31"/>
    <s v="Male"/>
    <x v="7"/>
    <x v="0"/>
    <x v="0"/>
  </r>
  <r>
    <s v="TXN-20251396"/>
    <x v="93"/>
    <x v="1393"/>
    <x v="2"/>
    <n v="2012.26"/>
    <x v="0"/>
    <n v="25"/>
    <s v="Male"/>
    <x v="4"/>
    <x v="3"/>
    <x v="1"/>
  </r>
  <r>
    <s v="TXN-20251397"/>
    <x v="124"/>
    <x v="1394"/>
    <x v="0"/>
    <n v="625.79"/>
    <x v="0"/>
    <n v="51"/>
    <s v="Female"/>
    <x v="2"/>
    <x v="2"/>
    <x v="2"/>
  </r>
  <r>
    <s v="TXN-20251398"/>
    <x v="268"/>
    <x v="1395"/>
    <x v="3"/>
    <n v="9023.7199999999993"/>
    <x v="0"/>
    <n v="54"/>
    <s v="Male"/>
    <x v="4"/>
    <x v="0"/>
    <x v="0"/>
  </r>
  <r>
    <s v="TXN-20251399"/>
    <x v="196"/>
    <x v="1396"/>
    <x v="4"/>
    <n v="2000"/>
    <x v="0"/>
    <n v="42"/>
    <s v="Female"/>
    <x v="9"/>
    <x v="1"/>
    <x v="3"/>
  </r>
  <r>
    <s v="TXN-20251400"/>
    <x v="322"/>
    <x v="1397"/>
    <x v="2"/>
    <n v="7621.93"/>
    <x v="0"/>
    <n v="31"/>
    <s v="Male"/>
    <x v="4"/>
    <x v="1"/>
    <x v="3"/>
  </r>
  <r>
    <s v="TXN-20251401"/>
    <x v="92"/>
    <x v="1398"/>
    <x v="0"/>
    <n v="2201.7600000000002"/>
    <x v="1"/>
    <n v="27"/>
    <s v="Female"/>
    <x v="4"/>
    <x v="0"/>
    <x v="0"/>
  </r>
  <r>
    <s v="TXN-20251402"/>
    <x v="163"/>
    <x v="1399"/>
    <x v="2"/>
    <n v="30979.68"/>
    <x v="1"/>
    <n v="31"/>
    <s v="Male"/>
    <x v="4"/>
    <x v="3"/>
    <x v="3"/>
  </r>
  <r>
    <s v="TXN-20251403"/>
    <x v="301"/>
    <x v="1400"/>
    <x v="2"/>
    <n v="3771.06"/>
    <x v="0"/>
    <n v="39"/>
    <s v="Female"/>
    <x v="4"/>
    <x v="0"/>
    <x v="0"/>
  </r>
  <r>
    <s v="TXN-20251404"/>
    <x v="259"/>
    <x v="1401"/>
    <x v="2"/>
    <n v="667.93"/>
    <x v="0"/>
    <n v="42"/>
    <s v="Male"/>
    <x v="9"/>
    <x v="0"/>
    <x v="3"/>
  </r>
  <r>
    <s v="TXN-20251405"/>
    <x v="43"/>
    <x v="1402"/>
    <x v="1"/>
    <n v="57481.97"/>
    <x v="0"/>
    <n v="49"/>
    <s v="Female"/>
    <x v="0"/>
    <x v="0"/>
    <x v="3"/>
  </r>
  <r>
    <s v="TXN-20251406"/>
    <x v="217"/>
    <x v="1403"/>
    <x v="4"/>
    <n v="2000"/>
    <x v="0"/>
    <n v="42"/>
    <s v="Male"/>
    <x v="1"/>
    <x v="0"/>
    <x v="3"/>
  </r>
  <r>
    <s v="TXN-20251407"/>
    <x v="128"/>
    <x v="1404"/>
    <x v="1"/>
    <n v="41892.26"/>
    <x v="0"/>
    <n v="55"/>
    <s v="Male"/>
    <x v="4"/>
    <x v="2"/>
    <x v="0"/>
  </r>
  <r>
    <s v="TXN-20251408"/>
    <x v="63"/>
    <x v="1405"/>
    <x v="2"/>
    <n v="1822.35"/>
    <x v="0"/>
    <n v="33"/>
    <s v="Female"/>
    <x v="4"/>
    <x v="0"/>
    <x v="3"/>
  </r>
  <r>
    <s v="TXN-20251409"/>
    <x v="72"/>
    <x v="1406"/>
    <x v="0"/>
    <n v="3027.53"/>
    <x v="0"/>
    <n v="25"/>
    <s v="Male"/>
    <x v="4"/>
    <x v="0"/>
    <x v="0"/>
  </r>
  <r>
    <s v="TXN-20251410"/>
    <x v="276"/>
    <x v="1407"/>
    <x v="1"/>
    <n v="42934.79"/>
    <x v="0"/>
    <n v="45"/>
    <s v="Female"/>
    <x v="4"/>
    <x v="2"/>
    <x v="0"/>
  </r>
  <r>
    <s v="TXN-20251411"/>
    <x v="342"/>
    <x v="1408"/>
    <x v="1"/>
    <n v="4225.84"/>
    <x v="0"/>
    <n v="42"/>
    <s v="Male"/>
    <x v="5"/>
    <x v="2"/>
    <x v="0"/>
  </r>
  <r>
    <s v="TXN-20251412"/>
    <x v="327"/>
    <x v="1409"/>
    <x v="0"/>
    <n v="2767.27"/>
    <x v="0"/>
    <n v="40"/>
    <s v="Female"/>
    <x v="6"/>
    <x v="0"/>
    <x v="0"/>
  </r>
  <r>
    <s v="TXN-20251413"/>
    <x v="212"/>
    <x v="1410"/>
    <x v="1"/>
    <n v="11673.76"/>
    <x v="0"/>
    <n v="47"/>
    <s v="Male"/>
    <x v="4"/>
    <x v="0"/>
    <x v="0"/>
  </r>
  <r>
    <s v="TXN-20251414"/>
    <x v="227"/>
    <x v="1411"/>
    <x v="2"/>
    <n v="14949.42"/>
    <x v="2"/>
    <n v="51"/>
    <s v="Male"/>
    <x v="4"/>
    <x v="0"/>
    <x v="0"/>
  </r>
  <r>
    <s v="TXN-20251415"/>
    <x v="72"/>
    <x v="1412"/>
    <x v="1"/>
    <n v="2816.43"/>
    <x v="0"/>
    <n v="25"/>
    <s v="Male"/>
    <x v="4"/>
    <x v="0"/>
    <x v="3"/>
  </r>
  <r>
    <s v="TXN-20251416"/>
    <x v="2"/>
    <x v="1413"/>
    <x v="3"/>
    <n v="37674.32"/>
    <x v="0"/>
    <n v="35"/>
    <s v="Male"/>
    <x v="2"/>
    <x v="0"/>
    <x v="2"/>
  </r>
  <r>
    <s v="TXN-20251417"/>
    <x v="173"/>
    <x v="1414"/>
    <x v="1"/>
    <n v="21482.84"/>
    <x v="0"/>
    <n v="30"/>
    <s v="Male"/>
    <x v="6"/>
    <x v="1"/>
    <x v="0"/>
  </r>
  <r>
    <s v="TXN-20251418"/>
    <x v="146"/>
    <x v="1415"/>
    <x v="1"/>
    <n v="27777.89"/>
    <x v="2"/>
    <n v="32"/>
    <s v="Male"/>
    <x v="4"/>
    <x v="0"/>
    <x v="0"/>
  </r>
  <r>
    <s v="TXN-20251419"/>
    <x v="19"/>
    <x v="1416"/>
    <x v="0"/>
    <n v="1092.1300000000001"/>
    <x v="0"/>
    <n v="31"/>
    <s v="Female"/>
    <x v="2"/>
    <x v="0"/>
    <x v="3"/>
  </r>
  <r>
    <s v="TXN-20251420"/>
    <x v="94"/>
    <x v="1417"/>
    <x v="4"/>
    <n v="20000"/>
    <x v="0"/>
    <n v="37"/>
    <s v="Male"/>
    <x v="4"/>
    <x v="1"/>
    <x v="1"/>
  </r>
  <r>
    <s v="TXN-20251421"/>
    <x v="335"/>
    <x v="1418"/>
    <x v="0"/>
    <n v="676.84"/>
    <x v="0"/>
    <n v="39"/>
    <s v="Male"/>
    <x v="2"/>
    <x v="3"/>
    <x v="0"/>
  </r>
  <r>
    <s v="TXN-20251422"/>
    <x v="89"/>
    <x v="1419"/>
    <x v="4"/>
    <n v="10000"/>
    <x v="1"/>
    <n v="35"/>
    <s v="Male"/>
    <x v="4"/>
    <x v="0"/>
    <x v="0"/>
  </r>
  <r>
    <s v="TXN-20251423"/>
    <x v="319"/>
    <x v="1420"/>
    <x v="1"/>
    <n v="4644.8"/>
    <x v="0"/>
    <n v="44"/>
    <s v="Male"/>
    <x v="2"/>
    <x v="1"/>
    <x v="1"/>
  </r>
  <r>
    <s v="TXN-20251424"/>
    <x v="134"/>
    <x v="1421"/>
    <x v="1"/>
    <n v="9443.5"/>
    <x v="0"/>
    <n v="34"/>
    <s v="Male"/>
    <x v="7"/>
    <x v="3"/>
    <x v="0"/>
  </r>
  <r>
    <s v="TXN-20251425"/>
    <x v="124"/>
    <x v="1422"/>
    <x v="0"/>
    <n v="4860.8500000000004"/>
    <x v="0"/>
    <n v="51"/>
    <s v="Female"/>
    <x v="2"/>
    <x v="2"/>
    <x v="0"/>
  </r>
  <r>
    <s v="TXN-20251426"/>
    <x v="58"/>
    <x v="1423"/>
    <x v="0"/>
    <n v="2839.43"/>
    <x v="0"/>
    <n v="30"/>
    <s v="Female"/>
    <x v="4"/>
    <x v="1"/>
    <x v="3"/>
  </r>
  <r>
    <s v="TXN-20251427"/>
    <x v="183"/>
    <x v="1424"/>
    <x v="4"/>
    <n v="40000"/>
    <x v="0"/>
    <n v="27"/>
    <s v="Female"/>
    <x v="1"/>
    <x v="0"/>
    <x v="0"/>
  </r>
  <r>
    <s v="TXN-20251428"/>
    <x v="289"/>
    <x v="1425"/>
    <x v="2"/>
    <n v="1092.4000000000001"/>
    <x v="0"/>
    <n v="27"/>
    <s v="Female"/>
    <x v="0"/>
    <x v="3"/>
    <x v="2"/>
  </r>
  <r>
    <s v="TXN-20251429"/>
    <x v="281"/>
    <x v="1426"/>
    <x v="2"/>
    <n v="2698.42"/>
    <x v="0"/>
    <n v="30"/>
    <s v="Male"/>
    <x v="4"/>
    <x v="1"/>
    <x v="0"/>
  </r>
  <r>
    <s v="TXN-20251430"/>
    <x v="90"/>
    <x v="1427"/>
    <x v="1"/>
    <n v="13112.07"/>
    <x v="0"/>
    <n v="36"/>
    <s v="Male"/>
    <x v="4"/>
    <x v="1"/>
    <x v="3"/>
  </r>
  <r>
    <s v="TXN-20251431"/>
    <x v="268"/>
    <x v="1428"/>
    <x v="3"/>
    <n v="4024.57"/>
    <x v="0"/>
    <n v="54"/>
    <s v="Male"/>
    <x v="4"/>
    <x v="0"/>
    <x v="2"/>
  </r>
  <r>
    <s v="TXN-20251432"/>
    <x v="177"/>
    <x v="1429"/>
    <x v="1"/>
    <n v="4089.13"/>
    <x v="0"/>
    <n v="44"/>
    <s v="Female"/>
    <x v="4"/>
    <x v="3"/>
    <x v="3"/>
  </r>
  <r>
    <s v="TXN-20251433"/>
    <x v="266"/>
    <x v="1430"/>
    <x v="1"/>
    <n v="32558.65"/>
    <x v="0"/>
    <n v="35"/>
    <s v="Female"/>
    <x v="1"/>
    <x v="3"/>
    <x v="2"/>
  </r>
  <r>
    <s v="TXN-20251434"/>
    <x v="144"/>
    <x v="1431"/>
    <x v="1"/>
    <n v="20197.86"/>
    <x v="0"/>
    <n v="40"/>
    <s v="Male"/>
    <x v="4"/>
    <x v="0"/>
    <x v="0"/>
  </r>
  <r>
    <s v="TXN-20251435"/>
    <x v="137"/>
    <x v="1432"/>
    <x v="1"/>
    <n v="12671.72"/>
    <x v="2"/>
    <n v="25"/>
    <s v="Male"/>
    <x v="7"/>
    <x v="2"/>
    <x v="0"/>
  </r>
  <r>
    <s v="TXN-20251436"/>
    <x v="88"/>
    <x v="1433"/>
    <x v="1"/>
    <n v="28093.7"/>
    <x v="0"/>
    <n v="45"/>
    <s v="Male"/>
    <x v="6"/>
    <x v="1"/>
    <x v="0"/>
  </r>
  <r>
    <s v="TXN-20251437"/>
    <x v="276"/>
    <x v="1434"/>
    <x v="1"/>
    <n v="19251.41"/>
    <x v="0"/>
    <n v="45"/>
    <s v="Female"/>
    <x v="4"/>
    <x v="2"/>
    <x v="0"/>
  </r>
  <r>
    <s v="TXN-20251438"/>
    <x v="268"/>
    <x v="1435"/>
    <x v="0"/>
    <n v="778.21"/>
    <x v="0"/>
    <n v="54"/>
    <s v="Male"/>
    <x v="4"/>
    <x v="0"/>
    <x v="2"/>
  </r>
  <r>
    <s v="TXN-20251439"/>
    <x v="320"/>
    <x v="1436"/>
    <x v="3"/>
    <n v="13316.53"/>
    <x v="0"/>
    <n v="42"/>
    <s v="Female"/>
    <x v="1"/>
    <x v="0"/>
    <x v="3"/>
  </r>
  <r>
    <s v="TXN-20251440"/>
    <x v="130"/>
    <x v="1437"/>
    <x v="3"/>
    <n v="9568.42"/>
    <x v="0"/>
    <n v="48"/>
    <s v="Male"/>
    <x v="4"/>
    <x v="0"/>
    <x v="0"/>
  </r>
  <r>
    <s v="TXN-20251441"/>
    <x v="30"/>
    <x v="1438"/>
    <x v="0"/>
    <n v="3179.51"/>
    <x v="1"/>
    <n v="36"/>
    <s v="Male"/>
    <x v="3"/>
    <x v="0"/>
    <x v="1"/>
  </r>
  <r>
    <s v="TXN-20251442"/>
    <x v="205"/>
    <x v="1439"/>
    <x v="1"/>
    <n v="7958.46"/>
    <x v="0"/>
    <n v="57"/>
    <s v="Male"/>
    <x v="4"/>
    <x v="1"/>
    <x v="3"/>
  </r>
  <r>
    <s v="TXN-20251443"/>
    <x v="128"/>
    <x v="1440"/>
    <x v="3"/>
    <n v="9851.82"/>
    <x v="1"/>
    <n v="55"/>
    <s v="Male"/>
    <x v="4"/>
    <x v="2"/>
    <x v="0"/>
  </r>
  <r>
    <s v="TXN-20251444"/>
    <x v="309"/>
    <x v="1441"/>
    <x v="0"/>
    <n v="573.34"/>
    <x v="0"/>
    <n v="40"/>
    <s v="Female"/>
    <x v="7"/>
    <x v="1"/>
    <x v="0"/>
  </r>
  <r>
    <s v="TXN-20251445"/>
    <x v="140"/>
    <x v="1442"/>
    <x v="0"/>
    <n v="662.77"/>
    <x v="0"/>
    <n v="39"/>
    <s v="Female"/>
    <x v="0"/>
    <x v="1"/>
    <x v="0"/>
  </r>
  <r>
    <s v="TXN-20251446"/>
    <x v="197"/>
    <x v="1443"/>
    <x v="2"/>
    <n v="6504.02"/>
    <x v="0"/>
    <n v="34"/>
    <s v="Male"/>
    <x v="6"/>
    <x v="0"/>
    <x v="2"/>
  </r>
  <r>
    <s v="TXN-20251447"/>
    <x v="71"/>
    <x v="1444"/>
    <x v="0"/>
    <n v="1480.39"/>
    <x v="0"/>
    <n v="27"/>
    <s v="Male"/>
    <x v="1"/>
    <x v="0"/>
    <x v="3"/>
  </r>
  <r>
    <s v="TXN-20251448"/>
    <x v="92"/>
    <x v="1445"/>
    <x v="1"/>
    <n v="21833.72"/>
    <x v="0"/>
    <n v="27"/>
    <s v="Female"/>
    <x v="4"/>
    <x v="0"/>
    <x v="2"/>
  </r>
  <r>
    <s v="TXN-20251449"/>
    <x v="74"/>
    <x v="1446"/>
    <x v="1"/>
    <n v="6664.33"/>
    <x v="0"/>
    <n v="31"/>
    <s v="Female"/>
    <x v="0"/>
    <x v="0"/>
    <x v="3"/>
  </r>
  <r>
    <s v="TXN-20251450"/>
    <x v="158"/>
    <x v="1447"/>
    <x v="0"/>
    <n v="2514.4899999999998"/>
    <x v="0"/>
    <n v="35"/>
    <s v="Male"/>
    <x v="2"/>
    <x v="0"/>
    <x v="0"/>
  </r>
  <r>
    <s v="TXN-20251451"/>
    <x v="268"/>
    <x v="1448"/>
    <x v="1"/>
    <n v="4549.54"/>
    <x v="0"/>
    <n v="54"/>
    <s v="Male"/>
    <x v="4"/>
    <x v="0"/>
    <x v="0"/>
  </r>
  <r>
    <s v="TXN-20251452"/>
    <x v="56"/>
    <x v="1449"/>
    <x v="0"/>
    <n v="818.94"/>
    <x v="0"/>
    <n v="31"/>
    <s v="Male"/>
    <x v="4"/>
    <x v="2"/>
    <x v="3"/>
  </r>
  <r>
    <s v="TXN-20251453"/>
    <x v="264"/>
    <x v="1450"/>
    <x v="3"/>
    <n v="4632.47"/>
    <x v="0"/>
    <n v="22"/>
    <s v="Female"/>
    <x v="2"/>
    <x v="2"/>
    <x v="0"/>
  </r>
  <r>
    <s v="TXN-20251454"/>
    <x v="151"/>
    <x v="1451"/>
    <x v="1"/>
    <n v="25504.73"/>
    <x v="1"/>
    <n v="28"/>
    <s v="Female"/>
    <x v="1"/>
    <x v="0"/>
    <x v="2"/>
  </r>
  <r>
    <s v="TXN-20251455"/>
    <x v="330"/>
    <x v="1452"/>
    <x v="1"/>
    <n v="1409.66"/>
    <x v="0"/>
    <n v="30"/>
    <s v="Male"/>
    <x v="8"/>
    <x v="0"/>
    <x v="3"/>
  </r>
  <r>
    <s v="TXN-20251456"/>
    <x v="291"/>
    <x v="1453"/>
    <x v="0"/>
    <n v="4013.31"/>
    <x v="0"/>
    <n v="32"/>
    <s v="Male"/>
    <x v="9"/>
    <x v="1"/>
    <x v="0"/>
  </r>
  <r>
    <s v="TXN-20251457"/>
    <x v="283"/>
    <x v="1454"/>
    <x v="1"/>
    <n v="2067.66"/>
    <x v="0"/>
    <n v="50"/>
    <s v="Male"/>
    <x v="8"/>
    <x v="2"/>
    <x v="3"/>
  </r>
  <r>
    <s v="TXN-20251458"/>
    <x v="322"/>
    <x v="1455"/>
    <x v="1"/>
    <n v="6349.26"/>
    <x v="0"/>
    <n v="31"/>
    <s v="Male"/>
    <x v="4"/>
    <x v="1"/>
    <x v="3"/>
  </r>
  <r>
    <s v="TXN-20251459"/>
    <x v="114"/>
    <x v="1456"/>
    <x v="1"/>
    <n v="45632.53"/>
    <x v="0"/>
    <n v="59"/>
    <s v="Male"/>
    <x v="4"/>
    <x v="0"/>
    <x v="0"/>
  </r>
  <r>
    <s v="TXN-20251460"/>
    <x v="206"/>
    <x v="1457"/>
    <x v="1"/>
    <n v="2522.04"/>
    <x v="0"/>
    <n v="41"/>
    <s v="Male"/>
    <x v="4"/>
    <x v="1"/>
    <x v="2"/>
  </r>
  <r>
    <s v="TXN-20251461"/>
    <x v="226"/>
    <x v="1458"/>
    <x v="1"/>
    <n v="12058.32"/>
    <x v="0"/>
    <n v="22"/>
    <s v="Male"/>
    <x v="4"/>
    <x v="1"/>
    <x v="0"/>
  </r>
  <r>
    <s v="TXN-20251462"/>
    <x v="221"/>
    <x v="1459"/>
    <x v="1"/>
    <n v="16710.97"/>
    <x v="0"/>
    <n v="33"/>
    <s v="Female"/>
    <x v="3"/>
    <x v="3"/>
    <x v="2"/>
  </r>
  <r>
    <s v="TXN-20251463"/>
    <x v="177"/>
    <x v="1460"/>
    <x v="3"/>
    <n v="2920.76"/>
    <x v="0"/>
    <n v="44"/>
    <s v="Female"/>
    <x v="4"/>
    <x v="3"/>
    <x v="3"/>
  </r>
  <r>
    <s v="TXN-20251464"/>
    <x v="166"/>
    <x v="1461"/>
    <x v="0"/>
    <n v="268.60000000000002"/>
    <x v="0"/>
    <n v="30"/>
    <s v="Female"/>
    <x v="1"/>
    <x v="2"/>
    <x v="0"/>
  </r>
  <r>
    <s v="TXN-20251465"/>
    <x v="52"/>
    <x v="1462"/>
    <x v="2"/>
    <n v="4844.8500000000004"/>
    <x v="0"/>
    <n v="49"/>
    <s v="Male"/>
    <x v="7"/>
    <x v="0"/>
    <x v="3"/>
  </r>
  <r>
    <s v="TXN-20251466"/>
    <x v="168"/>
    <x v="1463"/>
    <x v="1"/>
    <n v="15566.3"/>
    <x v="1"/>
    <n v="28"/>
    <s v="Female"/>
    <x v="4"/>
    <x v="1"/>
    <x v="2"/>
  </r>
  <r>
    <s v="TXN-20251467"/>
    <x v="322"/>
    <x v="1464"/>
    <x v="3"/>
    <n v="2210.87"/>
    <x v="0"/>
    <n v="31"/>
    <s v="Male"/>
    <x v="4"/>
    <x v="1"/>
    <x v="1"/>
  </r>
  <r>
    <s v="TXN-20251468"/>
    <x v="162"/>
    <x v="1465"/>
    <x v="2"/>
    <n v="35474.83"/>
    <x v="1"/>
    <n v="31"/>
    <s v="Male"/>
    <x v="9"/>
    <x v="1"/>
    <x v="1"/>
  </r>
  <r>
    <s v="TXN-20251469"/>
    <x v="239"/>
    <x v="1466"/>
    <x v="3"/>
    <n v="4479.43"/>
    <x v="0"/>
    <n v="41"/>
    <s v="Male"/>
    <x v="2"/>
    <x v="0"/>
    <x v="0"/>
  </r>
  <r>
    <s v="TXN-20251470"/>
    <x v="206"/>
    <x v="1467"/>
    <x v="1"/>
    <n v="41914.21"/>
    <x v="0"/>
    <n v="41"/>
    <s v="Male"/>
    <x v="4"/>
    <x v="1"/>
    <x v="0"/>
  </r>
  <r>
    <s v="TXN-20251471"/>
    <x v="338"/>
    <x v="1468"/>
    <x v="1"/>
    <n v="15809.29"/>
    <x v="2"/>
    <n v="32"/>
    <s v="Female"/>
    <x v="2"/>
    <x v="2"/>
    <x v="0"/>
  </r>
  <r>
    <s v="TXN-20251472"/>
    <x v="245"/>
    <x v="1469"/>
    <x v="2"/>
    <n v="4743.3900000000003"/>
    <x v="0"/>
    <n v="21"/>
    <s v="Female"/>
    <x v="2"/>
    <x v="0"/>
    <x v="0"/>
  </r>
  <r>
    <s v="TXN-20251473"/>
    <x v="216"/>
    <x v="1470"/>
    <x v="2"/>
    <n v="8623.9"/>
    <x v="0"/>
    <n v="48"/>
    <s v="Female"/>
    <x v="4"/>
    <x v="0"/>
    <x v="3"/>
  </r>
  <r>
    <s v="TXN-20251474"/>
    <x v="18"/>
    <x v="1471"/>
    <x v="0"/>
    <n v="965.29"/>
    <x v="0"/>
    <n v="33"/>
    <s v="Male"/>
    <x v="1"/>
    <x v="2"/>
    <x v="0"/>
  </r>
  <r>
    <s v="TXN-20251475"/>
    <x v="345"/>
    <x v="1431"/>
    <x v="1"/>
    <n v="16327.3"/>
    <x v="0"/>
    <n v="28"/>
    <s v="Female"/>
    <x v="6"/>
    <x v="0"/>
    <x v="2"/>
  </r>
  <r>
    <s v="TXN-20251476"/>
    <x v="100"/>
    <x v="1472"/>
    <x v="2"/>
    <n v="25299.85"/>
    <x v="0"/>
    <n v="36"/>
    <s v="Female"/>
    <x v="4"/>
    <x v="0"/>
    <x v="1"/>
  </r>
  <r>
    <s v="TXN-20251477"/>
    <x v="137"/>
    <x v="1473"/>
    <x v="0"/>
    <n v="406.05"/>
    <x v="0"/>
    <n v="25"/>
    <s v="Male"/>
    <x v="7"/>
    <x v="2"/>
    <x v="0"/>
  </r>
  <r>
    <s v="TXN-20251478"/>
    <x v="293"/>
    <x v="1474"/>
    <x v="0"/>
    <n v="2905.31"/>
    <x v="1"/>
    <n v="45"/>
    <s v="Female"/>
    <x v="4"/>
    <x v="0"/>
    <x v="3"/>
  </r>
  <r>
    <s v="TXN-20251479"/>
    <x v="223"/>
    <x v="1475"/>
    <x v="2"/>
    <n v="629.21"/>
    <x v="0"/>
    <n v="49"/>
    <s v="Male"/>
    <x v="4"/>
    <x v="0"/>
    <x v="0"/>
  </r>
  <r>
    <s v="TXN-20251480"/>
    <x v="74"/>
    <x v="1476"/>
    <x v="1"/>
    <n v="17509.490000000002"/>
    <x v="0"/>
    <n v="31"/>
    <s v="Female"/>
    <x v="0"/>
    <x v="0"/>
    <x v="0"/>
  </r>
  <r>
    <s v="TXN-20251481"/>
    <x v="1"/>
    <x v="1477"/>
    <x v="1"/>
    <n v="26760.15"/>
    <x v="0"/>
    <n v="43"/>
    <s v="Male"/>
    <x v="1"/>
    <x v="0"/>
    <x v="2"/>
  </r>
  <r>
    <s v="TXN-20251482"/>
    <x v="336"/>
    <x v="1478"/>
    <x v="2"/>
    <n v="55376.76"/>
    <x v="0"/>
    <n v="34"/>
    <s v="Male"/>
    <x v="4"/>
    <x v="0"/>
    <x v="0"/>
  </r>
  <r>
    <s v="TXN-20251483"/>
    <x v="76"/>
    <x v="1479"/>
    <x v="1"/>
    <n v="35003.06"/>
    <x v="0"/>
    <n v="38"/>
    <s v="Female"/>
    <x v="4"/>
    <x v="1"/>
    <x v="0"/>
  </r>
  <r>
    <s v="TXN-20251484"/>
    <x v="319"/>
    <x v="1480"/>
    <x v="1"/>
    <n v="8539.3799999999992"/>
    <x v="0"/>
    <n v="44"/>
    <s v="Male"/>
    <x v="2"/>
    <x v="1"/>
    <x v="0"/>
  </r>
  <r>
    <s v="TXN-20251485"/>
    <x v="23"/>
    <x v="1481"/>
    <x v="1"/>
    <n v="33617.85"/>
    <x v="1"/>
    <n v="33"/>
    <s v="Male"/>
    <x v="4"/>
    <x v="0"/>
    <x v="3"/>
  </r>
  <r>
    <s v="TXN-20251486"/>
    <x v="87"/>
    <x v="1482"/>
    <x v="1"/>
    <n v="8943.75"/>
    <x v="0"/>
    <n v="35"/>
    <s v="Female"/>
    <x v="8"/>
    <x v="0"/>
    <x v="0"/>
  </r>
  <r>
    <s v="TXN-20251487"/>
    <x v="253"/>
    <x v="1483"/>
    <x v="1"/>
    <n v="53153.63"/>
    <x v="0"/>
    <n v="40"/>
    <s v="Male"/>
    <x v="0"/>
    <x v="0"/>
    <x v="3"/>
  </r>
  <r>
    <s v="TXN-20251488"/>
    <x v="167"/>
    <x v="1484"/>
    <x v="3"/>
    <n v="2597.2600000000002"/>
    <x v="0"/>
    <n v="28"/>
    <s v="Male"/>
    <x v="1"/>
    <x v="1"/>
    <x v="0"/>
  </r>
  <r>
    <s v="TXN-20251489"/>
    <x v="115"/>
    <x v="1485"/>
    <x v="1"/>
    <n v="57055.27"/>
    <x v="2"/>
    <n v="60"/>
    <s v="Female"/>
    <x v="1"/>
    <x v="0"/>
    <x v="0"/>
  </r>
  <r>
    <s v="TXN-20251490"/>
    <x v="270"/>
    <x v="1486"/>
    <x v="0"/>
    <n v="984.64"/>
    <x v="0"/>
    <n v="43"/>
    <s v="Male"/>
    <x v="2"/>
    <x v="3"/>
    <x v="1"/>
  </r>
  <r>
    <s v="TXN-20251491"/>
    <x v="249"/>
    <x v="1487"/>
    <x v="1"/>
    <n v="9613.0499999999993"/>
    <x v="0"/>
    <n v="44"/>
    <s v="Female"/>
    <x v="9"/>
    <x v="1"/>
    <x v="0"/>
  </r>
  <r>
    <s v="TXN-20251492"/>
    <x v="346"/>
    <x v="1488"/>
    <x v="1"/>
    <n v="26569.84"/>
    <x v="0"/>
    <n v="27"/>
    <s v="Male"/>
    <x v="1"/>
    <x v="2"/>
    <x v="1"/>
  </r>
  <r>
    <s v="TXN-20251493"/>
    <x v="59"/>
    <x v="1489"/>
    <x v="2"/>
    <n v="3900.14"/>
    <x v="0"/>
    <n v="39"/>
    <s v="Male"/>
    <x v="4"/>
    <x v="1"/>
    <x v="0"/>
  </r>
  <r>
    <s v="TXN-20251494"/>
    <x v="295"/>
    <x v="1490"/>
    <x v="0"/>
    <n v="1500.38"/>
    <x v="0"/>
    <n v="37"/>
    <s v="Female"/>
    <x v="4"/>
    <x v="2"/>
    <x v="1"/>
  </r>
  <r>
    <s v="TXN-20251495"/>
    <x v="45"/>
    <x v="1491"/>
    <x v="1"/>
    <n v="15575.89"/>
    <x v="0"/>
    <n v="38"/>
    <s v="Female"/>
    <x v="6"/>
    <x v="0"/>
    <x v="3"/>
  </r>
  <r>
    <s v="TXN-20251496"/>
    <x v="26"/>
    <x v="1492"/>
    <x v="1"/>
    <n v="24387.7"/>
    <x v="0"/>
    <n v="22"/>
    <s v="Female"/>
    <x v="6"/>
    <x v="2"/>
    <x v="2"/>
  </r>
  <r>
    <s v="TXN-20251497"/>
    <x v="70"/>
    <x v="1493"/>
    <x v="1"/>
    <n v="17653.16"/>
    <x v="0"/>
    <n v="28"/>
    <s v="Female"/>
    <x v="4"/>
    <x v="0"/>
    <x v="2"/>
  </r>
  <r>
    <s v="TXN-20251498"/>
    <x v="75"/>
    <x v="1494"/>
    <x v="1"/>
    <n v="14555.69"/>
    <x v="0"/>
    <n v="40"/>
    <s v="Female"/>
    <x v="4"/>
    <x v="2"/>
    <x v="0"/>
  </r>
  <r>
    <s v="TXN-20251499"/>
    <x v="151"/>
    <x v="1495"/>
    <x v="1"/>
    <n v="7797.82"/>
    <x v="0"/>
    <n v="28"/>
    <s v="Female"/>
    <x v="1"/>
    <x v="0"/>
    <x v="1"/>
  </r>
  <r>
    <s v="TXN-20251500"/>
    <x v="195"/>
    <x v="1496"/>
    <x v="1"/>
    <n v="11654.88"/>
    <x v="0"/>
    <n v="23"/>
    <s v="Female"/>
    <x v="0"/>
    <x v="2"/>
    <x v="2"/>
  </r>
  <r>
    <s v="TXN-20251501"/>
    <x v="259"/>
    <x v="1497"/>
    <x v="1"/>
    <n v="14871.07"/>
    <x v="0"/>
    <n v="42"/>
    <s v="Male"/>
    <x v="9"/>
    <x v="0"/>
    <x v="3"/>
  </r>
  <r>
    <s v="TXN-20251502"/>
    <x v="317"/>
    <x v="1498"/>
    <x v="0"/>
    <n v="1361.13"/>
    <x v="0"/>
    <n v="25"/>
    <s v="Female"/>
    <x v="4"/>
    <x v="0"/>
    <x v="2"/>
  </r>
  <r>
    <s v="TXN-20251503"/>
    <x v="226"/>
    <x v="1499"/>
    <x v="0"/>
    <n v="1673.03"/>
    <x v="0"/>
    <n v="22"/>
    <s v="Male"/>
    <x v="4"/>
    <x v="1"/>
    <x v="2"/>
  </r>
  <r>
    <s v="TXN-20251504"/>
    <x v="125"/>
    <x v="1139"/>
    <x v="2"/>
    <n v="1278.8699999999999"/>
    <x v="0"/>
    <n v="56"/>
    <s v="Female"/>
    <x v="7"/>
    <x v="2"/>
    <x v="0"/>
  </r>
  <r>
    <s v="TXN-20251505"/>
    <x v="293"/>
    <x v="1500"/>
    <x v="0"/>
    <n v="479.26"/>
    <x v="0"/>
    <n v="45"/>
    <s v="Female"/>
    <x v="4"/>
    <x v="0"/>
    <x v="0"/>
  </r>
  <r>
    <s v="TXN-20251506"/>
    <x v="300"/>
    <x v="1501"/>
    <x v="3"/>
    <n v="10262.75"/>
    <x v="0"/>
    <n v="35"/>
    <s v="Female"/>
    <x v="4"/>
    <x v="2"/>
    <x v="3"/>
  </r>
  <r>
    <s v="TXN-20251507"/>
    <x v="114"/>
    <x v="1502"/>
    <x v="1"/>
    <n v="61790.720000000001"/>
    <x v="0"/>
    <n v="59"/>
    <s v="Male"/>
    <x v="4"/>
    <x v="0"/>
    <x v="1"/>
  </r>
  <r>
    <s v="TXN-20251508"/>
    <x v="68"/>
    <x v="1503"/>
    <x v="0"/>
    <n v="1234.1400000000001"/>
    <x v="0"/>
    <n v="34"/>
    <s v="Male"/>
    <x v="6"/>
    <x v="0"/>
    <x v="3"/>
  </r>
  <r>
    <s v="TXN-20251509"/>
    <x v="67"/>
    <x v="1504"/>
    <x v="1"/>
    <n v="11668.77"/>
    <x v="0"/>
    <n v="38"/>
    <s v="Male"/>
    <x v="4"/>
    <x v="0"/>
    <x v="3"/>
  </r>
  <r>
    <s v="TXN-20251510"/>
    <x v="148"/>
    <x v="1505"/>
    <x v="1"/>
    <n v="37470.82"/>
    <x v="2"/>
    <n v="52"/>
    <s v="Male"/>
    <x v="4"/>
    <x v="0"/>
    <x v="0"/>
  </r>
  <r>
    <s v="TXN-20251511"/>
    <x v="120"/>
    <x v="1506"/>
    <x v="0"/>
    <n v="3107.23"/>
    <x v="0"/>
    <n v="27"/>
    <s v="Male"/>
    <x v="4"/>
    <x v="2"/>
    <x v="0"/>
  </r>
  <r>
    <s v="TXN-20251512"/>
    <x v="219"/>
    <x v="1507"/>
    <x v="3"/>
    <n v="6776.84"/>
    <x v="0"/>
    <n v="47"/>
    <s v="Female"/>
    <x v="4"/>
    <x v="2"/>
    <x v="2"/>
  </r>
  <r>
    <s v="TXN-20251513"/>
    <x v="235"/>
    <x v="1508"/>
    <x v="2"/>
    <n v="8692.49"/>
    <x v="0"/>
    <n v="50"/>
    <s v="Male"/>
    <x v="4"/>
    <x v="2"/>
    <x v="1"/>
  </r>
  <r>
    <s v="TXN-20251514"/>
    <x v="222"/>
    <x v="1509"/>
    <x v="1"/>
    <n v="32837.699999999997"/>
    <x v="0"/>
    <n v="43"/>
    <s v="Male"/>
    <x v="6"/>
    <x v="2"/>
    <x v="0"/>
  </r>
  <r>
    <s v="TXN-20251515"/>
    <x v="25"/>
    <x v="1510"/>
    <x v="1"/>
    <n v="9153.2800000000007"/>
    <x v="0"/>
    <n v="25"/>
    <s v="Female"/>
    <x v="4"/>
    <x v="2"/>
    <x v="0"/>
  </r>
  <r>
    <s v="TXN-20251516"/>
    <x v="328"/>
    <x v="1511"/>
    <x v="1"/>
    <n v="3306.18"/>
    <x v="0"/>
    <n v="36"/>
    <s v="Male"/>
    <x v="7"/>
    <x v="2"/>
    <x v="0"/>
  </r>
  <r>
    <s v="TXN-20251517"/>
    <x v="284"/>
    <x v="1512"/>
    <x v="2"/>
    <n v="1481.09"/>
    <x v="0"/>
    <n v="56"/>
    <s v="Female"/>
    <x v="4"/>
    <x v="0"/>
    <x v="1"/>
  </r>
  <r>
    <s v="TXN-20251518"/>
    <x v="252"/>
    <x v="1513"/>
    <x v="1"/>
    <n v="26019.37"/>
    <x v="2"/>
    <n v="20"/>
    <s v="Male"/>
    <x v="6"/>
    <x v="0"/>
    <x v="0"/>
  </r>
  <r>
    <s v="TXN-20251519"/>
    <x v="22"/>
    <x v="1514"/>
    <x v="0"/>
    <n v="787.01"/>
    <x v="0"/>
    <n v="20"/>
    <s v="Female"/>
    <x v="1"/>
    <x v="0"/>
    <x v="0"/>
  </r>
  <r>
    <s v="TXN-20251520"/>
    <x v="327"/>
    <x v="1515"/>
    <x v="1"/>
    <n v="13605.61"/>
    <x v="1"/>
    <n v="40"/>
    <s v="Female"/>
    <x v="6"/>
    <x v="0"/>
    <x v="3"/>
  </r>
  <r>
    <s v="TXN-20251521"/>
    <x v="195"/>
    <x v="1516"/>
    <x v="4"/>
    <n v="2000"/>
    <x v="0"/>
    <n v="23"/>
    <s v="Female"/>
    <x v="0"/>
    <x v="2"/>
    <x v="0"/>
  </r>
  <r>
    <s v="TXN-20251522"/>
    <x v="180"/>
    <x v="1517"/>
    <x v="2"/>
    <n v="3316.85"/>
    <x v="2"/>
    <n v="39"/>
    <s v="Female"/>
    <x v="7"/>
    <x v="3"/>
    <x v="0"/>
  </r>
  <r>
    <s v="TXN-20251523"/>
    <x v="297"/>
    <x v="1518"/>
    <x v="1"/>
    <n v="2604.85"/>
    <x v="0"/>
    <n v="60"/>
    <s v="Male"/>
    <x v="1"/>
    <x v="0"/>
    <x v="0"/>
  </r>
  <r>
    <s v="TXN-20251524"/>
    <x v="208"/>
    <x v="1519"/>
    <x v="1"/>
    <n v="9517.4500000000007"/>
    <x v="0"/>
    <n v="39"/>
    <s v="Female"/>
    <x v="4"/>
    <x v="0"/>
    <x v="0"/>
  </r>
  <r>
    <s v="TXN-20251525"/>
    <x v="60"/>
    <x v="1520"/>
    <x v="0"/>
    <n v="504.02"/>
    <x v="0"/>
    <n v="31"/>
    <s v="Female"/>
    <x v="2"/>
    <x v="2"/>
    <x v="0"/>
  </r>
  <r>
    <s v="TXN-20251526"/>
    <x v="41"/>
    <x v="1521"/>
    <x v="0"/>
    <n v="846"/>
    <x v="0"/>
    <n v="21"/>
    <s v="Female"/>
    <x v="0"/>
    <x v="0"/>
    <x v="0"/>
  </r>
  <r>
    <s v="TXN-20251527"/>
    <x v="214"/>
    <x v="1522"/>
    <x v="0"/>
    <n v="1846.14"/>
    <x v="0"/>
    <n v="39"/>
    <s v="Male"/>
    <x v="6"/>
    <x v="0"/>
    <x v="0"/>
  </r>
  <r>
    <s v="TXN-20251528"/>
    <x v="240"/>
    <x v="1523"/>
    <x v="1"/>
    <n v="19862.32"/>
    <x v="0"/>
    <n v="35"/>
    <s v="Male"/>
    <x v="2"/>
    <x v="0"/>
    <x v="1"/>
  </r>
  <r>
    <s v="TXN-20251529"/>
    <x v="139"/>
    <x v="1524"/>
    <x v="1"/>
    <n v="22155.05"/>
    <x v="0"/>
    <n v="55"/>
    <s v="Female"/>
    <x v="9"/>
    <x v="2"/>
    <x v="0"/>
  </r>
  <r>
    <s v="TXN-20251530"/>
    <x v="237"/>
    <x v="1525"/>
    <x v="0"/>
    <n v="583.35"/>
    <x v="0"/>
    <n v="24"/>
    <s v="Female"/>
    <x v="4"/>
    <x v="1"/>
    <x v="0"/>
  </r>
  <r>
    <s v="TXN-20251531"/>
    <x v="200"/>
    <x v="1526"/>
    <x v="1"/>
    <n v="3867.54"/>
    <x v="0"/>
    <n v="31"/>
    <s v="Male"/>
    <x v="7"/>
    <x v="0"/>
    <x v="2"/>
  </r>
  <r>
    <s v="TXN-20251532"/>
    <x v="129"/>
    <x v="1527"/>
    <x v="0"/>
    <n v="1995.84"/>
    <x v="0"/>
    <n v="27"/>
    <s v="Female"/>
    <x v="5"/>
    <x v="0"/>
    <x v="2"/>
  </r>
  <r>
    <s v="TXN-20251533"/>
    <x v="27"/>
    <x v="1528"/>
    <x v="0"/>
    <n v="1265.56"/>
    <x v="0"/>
    <n v="31"/>
    <s v="Female"/>
    <x v="7"/>
    <x v="1"/>
    <x v="0"/>
  </r>
  <r>
    <s v="TXN-20251534"/>
    <x v="230"/>
    <x v="1529"/>
    <x v="0"/>
    <n v="2974.12"/>
    <x v="0"/>
    <n v="27"/>
    <s v="Female"/>
    <x v="4"/>
    <x v="0"/>
    <x v="3"/>
  </r>
  <r>
    <s v="TXN-20251535"/>
    <x v="267"/>
    <x v="1530"/>
    <x v="2"/>
    <n v="810.76"/>
    <x v="1"/>
    <n v="26"/>
    <s v="Male"/>
    <x v="4"/>
    <x v="0"/>
    <x v="0"/>
  </r>
  <r>
    <s v="TXN-20251536"/>
    <x v="175"/>
    <x v="1531"/>
    <x v="2"/>
    <n v="34747.5"/>
    <x v="0"/>
    <n v="23"/>
    <s v="Female"/>
    <x v="4"/>
    <x v="2"/>
    <x v="0"/>
  </r>
  <r>
    <s v="TXN-20251537"/>
    <x v="75"/>
    <x v="1532"/>
    <x v="2"/>
    <n v="9538.9500000000007"/>
    <x v="0"/>
    <n v="40"/>
    <s v="Female"/>
    <x v="4"/>
    <x v="2"/>
    <x v="1"/>
  </r>
  <r>
    <s v="TXN-20251538"/>
    <x v="57"/>
    <x v="1533"/>
    <x v="1"/>
    <n v="2962.05"/>
    <x v="0"/>
    <n v="22"/>
    <s v="Female"/>
    <x v="4"/>
    <x v="3"/>
    <x v="2"/>
  </r>
  <r>
    <s v="TXN-20251539"/>
    <x v="220"/>
    <x v="1534"/>
    <x v="0"/>
    <n v="1566.98"/>
    <x v="0"/>
    <n v="33"/>
    <s v="Male"/>
    <x v="5"/>
    <x v="0"/>
    <x v="0"/>
  </r>
  <r>
    <s v="TXN-20251540"/>
    <x v="8"/>
    <x v="1535"/>
    <x v="1"/>
    <n v="38173.47"/>
    <x v="0"/>
    <n v="53"/>
    <s v="Male"/>
    <x v="6"/>
    <x v="2"/>
    <x v="0"/>
  </r>
  <r>
    <s v="TXN-20251541"/>
    <x v="209"/>
    <x v="1536"/>
    <x v="2"/>
    <n v="14600.54"/>
    <x v="0"/>
    <n v="53"/>
    <s v="Female"/>
    <x v="1"/>
    <x v="0"/>
    <x v="0"/>
  </r>
  <r>
    <s v="TXN-20251542"/>
    <x v="225"/>
    <x v="1537"/>
    <x v="1"/>
    <n v="89880.19"/>
    <x v="0"/>
    <n v="20"/>
    <s v="Female"/>
    <x v="4"/>
    <x v="3"/>
    <x v="1"/>
  </r>
  <r>
    <s v="TXN-20251543"/>
    <x v="134"/>
    <x v="1538"/>
    <x v="3"/>
    <n v="1312.44"/>
    <x v="0"/>
    <n v="34"/>
    <s v="Male"/>
    <x v="7"/>
    <x v="3"/>
    <x v="3"/>
  </r>
  <r>
    <s v="TXN-20251544"/>
    <x v="134"/>
    <x v="1539"/>
    <x v="0"/>
    <n v="409.65"/>
    <x v="0"/>
    <n v="34"/>
    <s v="Male"/>
    <x v="7"/>
    <x v="3"/>
    <x v="3"/>
  </r>
  <r>
    <s v="TXN-20251545"/>
    <x v="10"/>
    <x v="1540"/>
    <x v="0"/>
    <n v="738.08"/>
    <x v="0"/>
    <n v="60"/>
    <s v="Female"/>
    <x v="4"/>
    <x v="2"/>
    <x v="3"/>
  </r>
  <r>
    <s v="TXN-20251546"/>
    <x v="256"/>
    <x v="1541"/>
    <x v="2"/>
    <n v="28604.85"/>
    <x v="0"/>
    <n v="33"/>
    <s v="Female"/>
    <x v="1"/>
    <x v="0"/>
    <x v="2"/>
  </r>
  <r>
    <s v="TXN-20251547"/>
    <x v="252"/>
    <x v="1542"/>
    <x v="2"/>
    <n v="5521.99"/>
    <x v="1"/>
    <n v="20"/>
    <s v="Male"/>
    <x v="6"/>
    <x v="0"/>
    <x v="1"/>
  </r>
  <r>
    <s v="TXN-20251548"/>
    <x v="23"/>
    <x v="1543"/>
    <x v="0"/>
    <n v="1945.68"/>
    <x v="0"/>
    <n v="33"/>
    <s v="Male"/>
    <x v="4"/>
    <x v="0"/>
    <x v="0"/>
  </r>
  <r>
    <s v="TXN-20251549"/>
    <x v="125"/>
    <x v="1544"/>
    <x v="1"/>
    <n v="4013.95"/>
    <x v="1"/>
    <n v="56"/>
    <s v="Female"/>
    <x v="7"/>
    <x v="2"/>
    <x v="1"/>
  </r>
  <r>
    <s v="TXN-20251550"/>
    <x v="164"/>
    <x v="1545"/>
    <x v="0"/>
    <n v="376.22"/>
    <x v="0"/>
    <n v="28"/>
    <s v="Male"/>
    <x v="7"/>
    <x v="1"/>
    <x v="3"/>
  </r>
  <r>
    <s v="TXN-20251551"/>
    <x v="90"/>
    <x v="1546"/>
    <x v="2"/>
    <n v="579.04"/>
    <x v="0"/>
    <n v="36"/>
    <s v="Male"/>
    <x v="4"/>
    <x v="1"/>
    <x v="0"/>
  </r>
  <r>
    <s v="TXN-20251552"/>
    <x v="84"/>
    <x v="1547"/>
    <x v="2"/>
    <n v="31311.79"/>
    <x v="0"/>
    <n v="21"/>
    <s v="Male"/>
    <x v="3"/>
    <x v="1"/>
    <x v="0"/>
  </r>
  <r>
    <s v="TXN-20251553"/>
    <x v="337"/>
    <x v="1548"/>
    <x v="1"/>
    <n v="8957.52"/>
    <x v="1"/>
    <n v="37"/>
    <s v="Female"/>
    <x v="9"/>
    <x v="2"/>
    <x v="0"/>
  </r>
  <r>
    <s v="TXN-20251554"/>
    <x v="279"/>
    <x v="1549"/>
    <x v="0"/>
    <n v="360.93"/>
    <x v="0"/>
    <n v="28"/>
    <s v="Male"/>
    <x v="4"/>
    <x v="0"/>
    <x v="0"/>
  </r>
  <r>
    <s v="TXN-20251555"/>
    <x v="321"/>
    <x v="1550"/>
    <x v="3"/>
    <n v="2475.35"/>
    <x v="0"/>
    <n v="54"/>
    <s v="Female"/>
    <x v="9"/>
    <x v="3"/>
    <x v="3"/>
  </r>
  <r>
    <s v="TXN-20251556"/>
    <x v="309"/>
    <x v="1551"/>
    <x v="1"/>
    <n v="34040.089999999997"/>
    <x v="0"/>
    <n v="40"/>
    <s v="Female"/>
    <x v="7"/>
    <x v="1"/>
    <x v="0"/>
  </r>
  <r>
    <s v="TXN-20251557"/>
    <x v="50"/>
    <x v="1552"/>
    <x v="1"/>
    <n v="12100.91"/>
    <x v="0"/>
    <n v="49"/>
    <s v="Male"/>
    <x v="1"/>
    <x v="1"/>
    <x v="1"/>
  </r>
  <r>
    <s v="TXN-20251558"/>
    <x v="73"/>
    <x v="1553"/>
    <x v="1"/>
    <n v="18355.189999999999"/>
    <x v="0"/>
    <n v="48"/>
    <s v="Female"/>
    <x v="7"/>
    <x v="2"/>
    <x v="2"/>
  </r>
  <r>
    <s v="TXN-20251559"/>
    <x v="290"/>
    <x v="1554"/>
    <x v="1"/>
    <n v="4776.49"/>
    <x v="0"/>
    <n v="29"/>
    <s v="Male"/>
    <x v="1"/>
    <x v="0"/>
    <x v="2"/>
  </r>
  <r>
    <s v="TXN-20251560"/>
    <x v="119"/>
    <x v="1555"/>
    <x v="1"/>
    <n v="1092.49"/>
    <x v="1"/>
    <n v="31"/>
    <s v="Male"/>
    <x v="4"/>
    <x v="3"/>
    <x v="0"/>
  </r>
  <r>
    <s v="TXN-20251561"/>
    <x v="210"/>
    <x v="1556"/>
    <x v="1"/>
    <n v="16300.77"/>
    <x v="0"/>
    <n v="32"/>
    <s v="Male"/>
    <x v="4"/>
    <x v="1"/>
    <x v="3"/>
  </r>
  <r>
    <s v="TXN-20251562"/>
    <x v="92"/>
    <x v="1557"/>
    <x v="1"/>
    <n v="12937.75"/>
    <x v="0"/>
    <n v="27"/>
    <s v="Female"/>
    <x v="4"/>
    <x v="0"/>
    <x v="2"/>
  </r>
  <r>
    <s v="TXN-20251563"/>
    <x v="55"/>
    <x v="1558"/>
    <x v="1"/>
    <n v="13960.04"/>
    <x v="0"/>
    <n v="52"/>
    <s v="Male"/>
    <x v="4"/>
    <x v="0"/>
    <x v="1"/>
  </r>
  <r>
    <s v="TXN-20251564"/>
    <x v="215"/>
    <x v="1559"/>
    <x v="0"/>
    <n v="997.71"/>
    <x v="1"/>
    <n v="57"/>
    <s v="Male"/>
    <x v="9"/>
    <x v="0"/>
    <x v="3"/>
  </r>
  <r>
    <s v="TXN-20251565"/>
    <x v="209"/>
    <x v="1560"/>
    <x v="1"/>
    <n v="22214.080000000002"/>
    <x v="0"/>
    <n v="53"/>
    <s v="Female"/>
    <x v="1"/>
    <x v="0"/>
    <x v="0"/>
  </r>
  <r>
    <s v="TXN-20251566"/>
    <x v="191"/>
    <x v="1561"/>
    <x v="0"/>
    <n v="3364.54"/>
    <x v="0"/>
    <n v="27"/>
    <s v="Male"/>
    <x v="7"/>
    <x v="1"/>
    <x v="0"/>
  </r>
  <r>
    <s v="TXN-20251567"/>
    <x v="216"/>
    <x v="1562"/>
    <x v="2"/>
    <n v="3552.87"/>
    <x v="0"/>
    <n v="48"/>
    <s v="Female"/>
    <x v="4"/>
    <x v="0"/>
    <x v="1"/>
  </r>
  <r>
    <s v="TXN-20251568"/>
    <x v="307"/>
    <x v="1563"/>
    <x v="1"/>
    <n v="5106.25"/>
    <x v="0"/>
    <n v="40"/>
    <s v="Male"/>
    <x v="4"/>
    <x v="3"/>
    <x v="2"/>
  </r>
  <r>
    <s v="TXN-20251569"/>
    <x v="247"/>
    <x v="1564"/>
    <x v="1"/>
    <n v="1567.83"/>
    <x v="0"/>
    <n v="36"/>
    <s v="Female"/>
    <x v="5"/>
    <x v="2"/>
    <x v="0"/>
  </r>
  <r>
    <s v="TXN-20251570"/>
    <x v="298"/>
    <x v="1565"/>
    <x v="0"/>
    <n v="4844.5200000000004"/>
    <x v="0"/>
    <n v="38"/>
    <s v="Female"/>
    <x v="1"/>
    <x v="0"/>
    <x v="1"/>
  </r>
  <r>
    <s v="TXN-20251571"/>
    <x v="235"/>
    <x v="1566"/>
    <x v="0"/>
    <n v="324.99"/>
    <x v="2"/>
    <n v="50"/>
    <s v="Male"/>
    <x v="4"/>
    <x v="2"/>
    <x v="1"/>
  </r>
  <r>
    <s v="TXN-20251572"/>
    <x v="266"/>
    <x v="1567"/>
    <x v="0"/>
    <n v="254.5"/>
    <x v="0"/>
    <n v="35"/>
    <s v="Female"/>
    <x v="1"/>
    <x v="3"/>
    <x v="2"/>
  </r>
  <r>
    <s v="TXN-20251573"/>
    <x v="218"/>
    <x v="1568"/>
    <x v="0"/>
    <n v="1402.47"/>
    <x v="1"/>
    <n v="25"/>
    <s v="Male"/>
    <x v="9"/>
    <x v="2"/>
    <x v="2"/>
  </r>
  <r>
    <s v="TXN-20251574"/>
    <x v="241"/>
    <x v="1569"/>
    <x v="0"/>
    <n v="603.52"/>
    <x v="0"/>
    <n v="44"/>
    <s v="Male"/>
    <x v="4"/>
    <x v="1"/>
    <x v="3"/>
  </r>
  <r>
    <s v="TXN-20251575"/>
    <x v="240"/>
    <x v="1570"/>
    <x v="1"/>
    <n v="45225.46"/>
    <x v="0"/>
    <n v="35"/>
    <s v="Male"/>
    <x v="2"/>
    <x v="0"/>
    <x v="0"/>
  </r>
  <r>
    <s v="TXN-20251576"/>
    <x v="347"/>
    <x v="1571"/>
    <x v="0"/>
    <n v="2494.04"/>
    <x v="0"/>
    <n v="41"/>
    <s v="Male"/>
    <x v="4"/>
    <x v="3"/>
    <x v="3"/>
  </r>
  <r>
    <s v="TXN-20251577"/>
    <x v="224"/>
    <x v="1572"/>
    <x v="0"/>
    <n v="1422.93"/>
    <x v="0"/>
    <n v="29"/>
    <s v="Female"/>
    <x v="7"/>
    <x v="0"/>
    <x v="0"/>
  </r>
  <r>
    <s v="TXN-20251578"/>
    <x v="319"/>
    <x v="1573"/>
    <x v="1"/>
    <n v="3231.66"/>
    <x v="0"/>
    <n v="44"/>
    <s v="Male"/>
    <x v="2"/>
    <x v="1"/>
    <x v="3"/>
  </r>
  <r>
    <s v="TXN-20251579"/>
    <x v="47"/>
    <x v="1574"/>
    <x v="3"/>
    <n v="951.12"/>
    <x v="0"/>
    <n v="26"/>
    <s v="Male"/>
    <x v="2"/>
    <x v="2"/>
    <x v="3"/>
  </r>
  <r>
    <s v="TXN-20251580"/>
    <x v="97"/>
    <x v="1575"/>
    <x v="1"/>
    <n v="42570.06"/>
    <x v="0"/>
    <n v="35"/>
    <s v="Male"/>
    <x v="2"/>
    <x v="0"/>
    <x v="0"/>
  </r>
  <r>
    <s v="TXN-20251581"/>
    <x v="58"/>
    <x v="1576"/>
    <x v="3"/>
    <n v="10102.51"/>
    <x v="0"/>
    <n v="30"/>
    <s v="Female"/>
    <x v="4"/>
    <x v="1"/>
    <x v="2"/>
  </r>
  <r>
    <s v="TXN-20251582"/>
    <x v="101"/>
    <x v="1577"/>
    <x v="0"/>
    <n v="1007.94"/>
    <x v="0"/>
    <n v="26"/>
    <s v="Female"/>
    <x v="8"/>
    <x v="0"/>
    <x v="2"/>
  </r>
  <r>
    <s v="TXN-20251583"/>
    <x v="317"/>
    <x v="1578"/>
    <x v="4"/>
    <n v="40000"/>
    <x v="0"/>
    <n v="25"/>
    <s v="Female"/>
    <x v="4"/>
    <x v="0"/>
    <x v="0"/>
  </r>
  <r>
    <s v="TXN-20251584"/>
    <x v="198"/>
    <x v="1579"/>
    <x v="2"/>
    <n v="3588.74"/>
    <x v="0"/>
    <n v="30"/>
    <s v="Female"/>
    <x v="7"/>
    <x v="1"/>
    <x v="0"/>
  </r>
  <r>
    <s v="TXN-20251585"/>
    <x v="325"/>
    <x v="1580"/>
    <x v="1"/>
    <n v="16211.54"/>
    <x v="0"/>
    <n v="32"/>
    <s v="Male"/>
    <x v="4"/>
    <x v="1"/>
    <x v="0"/>
  </r>
  <r>
    <s v="TXN-20251586"/>
    <x v="50"/>
    <x v="1581"/>
    <x v="0"/>
    <n v="744.85"/>
    <x v="0"/>
    <n v="49"/>
    <s v="Male"/>
    <x v="1"/>
    <x v="1"/>
    <x v="3"/>
  </r>
  <r>
    <s v="TXN-20251587"/>
    <x v="305"/>
    <x v="1582"/>
    <x v="1"/>
    <n v="4648.12"/>
    <x v="0"/>
    <n v="24"/>
    <s v="Male"/>
    <x v="2"/>
    <x v="0"/>
    <x v="3"/>
  </r>
  <r>
    <s v="TXN-20251588"/>
    <x v="325"/>
    <x v="1583"/>
    <x v="2"/>
    <n v="1711.28"/>
    <x v="0"/>
    <n v="32"/>
    <s v="Male"/>
    <x v="4"/>
    <x v="1"/>
    <x v="2"/>
  </r>
  <r>
    <s v="TXN-20251589"/>
    <x v="170"/>
    <x v="1584"/>
    <x v="2"/>
    <n v="6401.14"/>
    <x v="0"/>
    <n v="31"/>
    <s v="Female"/>
    <x v="2"/>
    <x v="2"/>
    <x v="2"/>
  </r>
  <r>
    <s v="TXN-20251590"/>
    <x v="157"/>
    <x v="1585"/>
    <x v="0"/>
    <n v="2624.36"/>
    <x v="0"/>
    <n v="31"/>
    <s v="Male"/>
    <x v="4"/>
    <x v="0"/>
    <x v="2"/>
  </r>
  <r>
    <s v="TXN-20251591"/>
    <x v="41"/>
    <x v="1586"/>
    <x v="1"/>
    <n v="1263.68"/>
    <x v="1"/>
    <n v="21"/>
    <s v="Female"/>
    <x v="0"/>
    <x v="0"/>
    <x v="2"/>
  </r>
  <r>
    <s v="TXN-20251592"/>
    <x v="291"/>
    <x v="1587"/>
    <x v="0"/>
    <n v="966.47"/>
    <x v="0"/>
    <n v="32"/>
    <s v="Male"/>
    <x v="9"/>
    <x v="1"/>
    <x v="2"/>
  </r>
  <r>
    <s v="TXN-20251593"/>
    <x v="219"/>
    <x v="1588"/>
    <x v="2"/>
    <n v="7840.94"/>
    <x v="0"/>
    <n v="47"/>
    <s v="Female"/>
    <x v="4"/>
    <x v="2"/>
    <x v="0"/>
  </r>
  <r>
    <s v="TXN-20251594"/>
    <x v="157"/>
    <x v="1589"/>
    <x v="1"/>
    <n v="7275.92"/>
    <x v="0"/>
    <n v="31"/>
    <s v="Male"/>
    <x v="4"/>
    <x v="0"/>
    <x v="0"/>
  </r>
  <r>
    <s v="TXN-20251595"/>
    <x v="342"/>
    <x v="1590"/>
    <x v="1"/>
    <n v="16681.169999999998"/>
    <x v="0"/>
    <n v="42"/>
    <s v="Male"/>
    <x v="5"/>
    <x v="2"/>
    <x v="0"/>
  </r>
  <r>
    <s v="TXN-20251596"/>
    <x v="304"/>
    <x v="1591"/>
    <x v="4"/>
    <n v="20000"/>
    <x v="0"/>
    <n v="43"/>
    <s v="Male"/>
    <x v="8"/>
    <x v="0"/>
    <x v="0"/>
  </r>
  <r>
    <s v="TXN-20251597"/>
    <x v="175"/>
    <x v="1592"/>
    <x v="0"/>
    <n v="759.65"/>
    <x v="0"/>
    <n v="23"/>
    <s v="Female"/>
    <x v="4"/>
    <x v="2"/>
    <x v="0"/>
  </r>
  <r>
    <s v="TXN-20251598"/>
    <x v="61"/>
    <x v="1593"/>
    <x v="2"/>
    <n v="26866.46"/>
    <x v="1"/>
    <n v="31"/>
    <s v="Female"/>
    <x v="3"/>
    <x v="3"/>
    <x v="3"/>
  </r>
  <r>
    <s v="TXN-20251599"/>
    <x v="206"/>
    <x v="1594"/>
    <x v="1"/>
    <n v="34850.980000000003"/>
    <x v="0"/>
    <n v="41"/>
    <s v="Male"/>
    <x v="4"/>
    <x v="1"/>
    <x v="3"/>
  </r>
  <r>
    <s v="TXN-20251600"/>
    <x v="16"/>
    <x v="1595"/>
    <x v="1"/>
    <n v="72219.73"/>
    <x v="0"/>
    <n v="42"/>
    <s v="Male"/>
    <x v="4"/>
    <x v="1"/>
    <x v="3"/>
  </r>
  <r>
    <s v="TXN-20251601"/>
    <x v="110"/>
    <x v="1596"/>
    <x v="2"/>
    <n v="3020.94"/>
    <x v="0"/>
    <n v="29"/>
    <s v="Male"/>
    <x v="4"/>
    <x v="2"/>
    <x v="3"/>
  </r>
  <r>
    <s v="TXN-20251602"/>
    <x v="80"/>
    <x v="1597"/>
    <x v="0"/>
    <n v="299.5"/>
    <x v="0"/>
    <n v="30"/>
    <s v="Male"/>
    <x v="0"/>
    <x v="0"/>
    <x v="0"/>
  </r>
  <r>
    <s v="TXN-20251603"/>
    <x v="233"/>
    <x v="1598"/>
    <x v="1"/>
    <n v="2416.3200000000002"/>
    <x v="0"/>
    <n v="24"/>
    <s v="Female"/>
    <x v="6"/>
    <x v="0"/>
    <x v="0"/>
  </r>
  <r>
    <s v="TXN-20251604"/>
    <x v="133"/>
    <x v="1599"/>
    <x v="1"/>
    <n v="4548.3900000000003"/>
    <x v="0"/>
    <n v="36"/>
    <s v="Female"/>
    <x v="2"/>
    <x v="1"/>
    <x v="0"/>
  </r>
  <r>
    <s v="TXN-20251605"/>
    <x v="47"/>
    <x v="1600"/>
    <x v="2"/>
    <n v="21731.37"/>
    <x v="0"/>
    <n v="26"/>
    <s v="Male"/>
    <x v="2"/>
    <x v="2"/>
    <x v="3"/>
  </r>
  <r>
    <s v="TXN-20251606"/>
    <x v="188"/>
    <x v="1601"/>
    <x v="0"/>
    <n v="1563.59"/>
    <x v="1"/>
    <n v="41"/>
    <s v="Female"/>
    <x v="6"/>
    <x v="0"/>
    <x v="2"/>
  </r>
  <r>
    <s v="TXN-20251607"/>
    <x v="214"/>
    <x v="1602"/>
    <x v="1"/>
    <n v="22067.27"/>
    <x v="0"/>
    <n v="39"/>
    <s v="Male"/>
    <x v="6"/>
    <x v="0"/>
    <x v="0"/>
  </r>
  <r>
    <s v="TXN-20251608"/>
    <x v="91"/>
    <x v="1603"/>
    <x v="0"/>
    <n v="2867.71"/>
    <x v="0"/>
    <n v="46"/>
    <s v="Male"/>
    <x v="8"/>
    <x v="1"/>
    <x v="2"/>
  </r>
  <r>
    <s v="TXN-20251609"/>
    <x v="104"/>
    <x v="1604"/>
    <x v="2"/>
    <n v="5137.34"/>
    <x v="0"/>
    <n v="50"/>
    <s v="Female"/>
    <x v="7"/>
    <x v="2"/>
    <x v="0"/>
  </r>
  <r>
    <s v="TXN-20251610"/>
    <x v="126"/>
    <x v="1605"/>
    <x v="2"/>
    <n v="29441.19"/>
    <x v="0"/>
    <n v="24"/>
    <s v="Male"/>
    <x v="6"/>
    <x v="0"/>
    <x v="0"/>
  </r>
  <r>
    <s v="TXN-20251611"/>
    <x v="24"/>
    <x v="1606"/>
    <x v="1"/>
    <n v="31043.23"/>
    <x v="0"/>
    <n v="41"/>
    <s v="Female"/>
    <x v="7"/>
    <x v="0"/>
    <x v="0"/>
  </r>
  <r>
    <s v="TXN-20251612"/>
    <x v="208"/>
    <x v="1607"/>
    <x v="1"/>
    <n v="11737.32"/>
    <x v="0"/>
    <n v="39"/>
    <s v="Female"/>
    <x v="4"/>
    <x v="0"/>
    <x v="3"/>
  </r>
  <r>
    <s v="TXN-20251613"/>
    <x v="300"/>
    <x v="1608"/>
    <x v="2"/>
    <n v="34141.760000000002"/>
    <x v="0"/>
    <n v="35"/>
    <s v="Female"/>
    <x v="4"/>
    <x v="2"/>
    <x v="0"/>
  </r>
  <r>
    <s v="TXN-20251614"/>
    <x v="176"/>
    <x v="1609"/>
    <x v="1"/>
    <n v="25179.59"/>
    <x v="0"/>
    <n v="35"/>
    <s v="Male"/>
    <x v="0"/>
    <x v="0"/>
    <x v="2"/>
  </r>
  <r>
    <s v="TXN-20251615"/>
    <x v="144"/>
    <x v="1610"/>
    <x v="0"/>
    <n v="856.1"/>
    <x v="0"/>
    <n v="40"/>
    <s v="Male"/>
    <x v="4"/>
    <x v="0"/>
    <x v="0"/>
  </r>
  <r>
    <s v="TXN-20251616"/>
    <x v="216"/>
    <x v="1611"/>
    <x v="1"/>
    <n v="55047.6"/>
    <x v="0"/>
    <n v="48"/>
    <s v="Female"/>
    <x v="4"/>
    <x v="0"/>
    <x v="2"/>
  </r>
  <r>
    <s v="TXN-20251617"/>
    <x v="159"/>
    <x v="1612"/>
    <x v="1"/>
    <n v="49163.1"/>
    <x v="0"/>
    <n v="52"/>
    <s v="Female"/>
    <x v="6"/>
    <x v="2"/>
    <x v="0"/>
  </r>
  <r>
    <s v="TXN-20251618"/>
    <x v="340"/>
    <x v="1613"/>
    <x v="3"/>
    <n v="16808.580000000002"/>
    <x v="1"/>
    <n v="28"/>
    <s v="Male"/>
    <x v="6"/>
    <x v="0"/>
    <x v="0"/>
  </r>
  <r>
    <s v="TXN-20251619"/>
    <x v="132"/>
    <x v="1614"/>
    <x v="1"/>
    <n v="36961.61"/>
    <x v="0"/>
    <n v="31"/>
    <s v="Male"/>
    <x v="4"/>
    <x v="2"/>
    <x v="0"/>
  </r>
  <r>
    <s v="TXN-20251620"/>
    <x v="269"/>
    <x v="1615"/>
    <x v="1"/>
    <n v="22707.39"/>
    <x v="0"/>
    <n v="37"/>
    <s v="Male"/>
    <x v="7"/>
    <x v="1"/>
    <x v="0"/>
  </r>
  <r>
    <s v="TXN-20251621"/>
    <x v="72"/>
    <x v="1616"/>
    <x v="0"/>
    <n v="1721.44"/>
    <x v="0"/>
    <n v="25"/>
    <s v="Male"/>
    <x v="4"/>
    <x v="0"/>
    <x v="0"/>
  </r>
  <r>
    <s v="TXN-20251622"/>
    <x v="298"/>
    <x v="1617"/>
    <x v="2"/>
    <n v="36721.4"/>
    <x v="0"/>
    <n v="38"/>
    <s v="Female"/>
    <x v="1"/>
    <x v="0"/>
    <x v="0"/>
  </r>
  <r>
    <s v="TXN-20251623"/>
    <x v="246"/>
    <x v="1618"/>
    <x v="1"/>
    <n v="7864"/>
    <x v="0"/>
    <n v="40"/>
    <s v="Male"/>
    <x v="4"/>
    <x v="0"/>
    <x v="3"/>
  </r>
  <r>
    <s v="TXN-20251624"/>
    <x v="194"/>
    <x v="1619"/>
    <x v="1"/>
    <n v="7429.27"/>
    <x v="0"/>
    <n v="29"/>
    <s v="Male"/>
    <x v="4"/>
    <x v="2"/>
    <x v="0"/>
  </r>
  <r>
    <s v="TXN-20251625"/>
    <x v="11"/>
    <x v="1620"/>
    <x v="0"/>
    <n v="962.99"/>
    <x v="0"/>
    <n v="64"/>
    <s v="Female"/>
    <x v="3"/>
    <x v="2"/>
    <x v="1"/>
  </r>
  <r>
    <s v="TXN-20251626"/>
    <x v="327"/>
    <x v="1621"/>
    <x v="1"/>
    <n v="32939.03"/>
    <x v="0"/>
    <n v="40"/>
    <s v="Female"/>
    <x v="6"/>
    <x v="0"/>
    <x v="0"/>
  </r>
  <r>
    <s v="TXN-20251627"/>
    <x v="291"/>
    <x v="1622"/>
    <x v="0"/>
    <n v="1342.18"/>
    <x v="0"/>
    <n v="32"/>
    <s v="Male"/>
    <x v="9"/>
    <x v="1"/>
    <x v="3"/>
  </r>
  <r>
    <s v="TXN-20251628"/>
    <x v="161"/>
    <x v="1623"/>
    <x v="0"/>
    <n v="634.27"/>
    <x v="0"/>
    <n v="53"/>
    <s v="Female"/>
    <x v="4"/>
    <x v="0"/>
    <x v="3"/>
  </r>
  <r>
    <s v="TXN-20251629"/>
    <x v="324"/>
    <x v="1624"/>
    <x v="1"/>
    <n v="1113.58"/>
    <x v="0"/>
    <n v="32"/>
    <s v="Male"/>
    <x v="9"/>
    <x v="0"/>
    <x v="3"/>
  </r>
  <r>
    <s v="TXN-20251630"/>
    <x v="126"/>
    <x v="1625"/>
    <x v="4"/>
    <n v="2000"/>
    <x v="1"/>
    <n v="24"/>
    <s v="Male"/>
    <x v="6"/>
    <x v="0"/>
    <x v="0"/>
  </r>
  <r>
    <s v="TXN-20251631"/>
    <x v="277"/>
    <x v="1626"/>
    <x v="3"/>
    <n v="5450"/>
    <x v="1"/>
    <n v="29"/>
    <s v="Male"/>
    <x v="1"/>
    <x v="3"/>
    <x v="2"/>
  </r>
  <r>
    <s v="TXN-20251632"/>
    <x v="346"/>
    <x v="1627"/>
    <x v="3"/>
    <n v="3641.65"/>
    <x v="0"/>
    <n v="27"/>
    <s v="Male"/>
    <x v="1"/>
    <x v="2"/>
    <x v="3"/>
  </r>
  <r>
    <s v="TXN-20251633"/>
    <x v="253"/>
    <x v="1628"/>
    <x v="3"/>
    <n v="3775.07"/>
    <x v="0"/>
    <n v="40"/>
    <s v="Male"/>
    <x v="0"/>
    <x v="0"/>
    <x v="0"/>
  </r>
  <r>
    <s v="TXN-20251634"/>
    <x v="157"/>
    <x v="1629"/>
    <x v="1"/>
    <n v="6387.81"/>
    <x v="0"/>
    <n v="31"/>
    <s v="Male"/>
    <x v="4"/>
    <x v="0"/>
    <x v="3"/>
  </r>
  <r>
    <s v="TXN-20251635"/>
    <x v="284"/>
    <x v="1630"/>
    <x v="1"/>
    <n v="2315.37"/>
    <x v="0"/>
    <n v="56"/>
    <s v="Female"/>
    <x v="4"/>
    <x v="0"/>
    <x v="0"/>
  </r>
  <r>
    <s v="TXN-20251636"/>
    <x v="64"/>
    <x v="1631"/>
    <x v="4"/>
    <n v="10000"/>
    <x v="0"/>
    <n v="51"/>
    <s v="Female"/>
    <x v="2"/>
    <x v="0"/>
    <x v="1"/>
  </r>
  <r>
    <s v="TXN-20251637"/>
    <x v="320"/>
    <x v="1632"/>
    <x v="2"/>
    <n v="6854.27"/>
    <x v="0"/>
    <n v="42"/>
    <s v="Female"/>
    <x v="1"/>
    <x v="0"/>
    <x v="1"/>
  </r>
  <r>
    <s v="TXN-20251638"/>
    <x v="177"/>
    <x v="1633"/>
    <x v="2"/>
    <n v="8986.09"/>
    <x v="0"/>
    <n v="44"/>
    <s v="Female"/>
    <x v="4"/>
    <x v="3"/>
    <x v="0"/>
  </r>
  <r>
    <s v="TXN-20251639"/>
    <x v="202"/>
    <x v="1634"/>
    <x v="0"/>
    <n v="2218.13"/>
    <x v="0"/>
    <n v="37"/>
    <s v="Male"/>
    <x v="4"/>
    <x v="2"/>
    <x v="3"/>
  </r>
  <r>
    <s v="TXN-20251640"/>
    <x v="23"/>
    <x v="1635"/>
    <x v="1"/>
    <n v="1882.74"/>
    <x v="0"/>
    <n v="33"/>
    <s v="Male"/>
    <x v="4"/>
    <x v="0"/>
    <x v="2"/>
  </r>
  <r>
    <s v="TXN-20251641"/>
    <x v="204"/>
    <x v="1636"/>
    <x v="1"/>
    <n v="30480.87"/>
    <x v="0"/>
    <n v="46"/>
    <s v="Male"/>
    <x v="5"/>
    <x v="0"/>
    <x v="0"/>
  </r>
  <r>
    <s v="TXN-20251642"/>
    <x v="177"/>
    <x v="1637"/>
    <x v="0"/>
    <n v="2675.85"/>
    <x v="0"/>
    <n v="44"/>
    <s v="Female"/>
    <x v="4"/>
    <x v="3"/>
    <x v="1"/>
  </r>
  <r>
    <s v="TXN-20251643"/>
    <x v="163"/>
    <x v="1638"/>
    <x v="2"/>
    <n v="13229.57"/>
    <x v="1"/>
    <n v="31"/>
    <s v="Male"/>
    <x v="4"/>
    <x v="3"/>
    <x v="0"/>
  </r>
  <r>
    <s v="TXN-20251644"/>
    <x v="60"/>
    <x v="1639"/>
    <x v="1"/>
    <n v="7605.42"/>
    <x v="0"/>
    <n v="31"/>
    <s v="Female"/>
    <x v="2"/>
    <x v="2"/>
    <x v="2"/>
  </r>
  <r>
    <s v="TXN-20251645"/>
    <x v="171"/>
    <x v="1640"/>
    <x v="1"/>
    <n v="9097.09"/>
    <x v="0"/>
    <n v="51"/>
    <s v="Male"/>
    <x v="1"/>
    <x v="2"/>
    <x v="3"/>
  </r>
  <r>
    <s v="TXN-20251646"/>
    <x v="56"/>
    <x v="1641"/>
    <x v="3"/>
    <n v="2472.54"/>
    <x v="1"/>
    <n v="31"/>
    <s v="Male"/>
    <x v="4"/>
    <x v="2"/>
    <x v="2"/>
  </r>
  <r>
    <s v="TXN-20251647"/>
    <x v="292"/>
    <x v="1642"/>
    <x v="2"/>
    <n v="6280.56"/>
    <x v="0"/>
    <n v="25"/>
    <s v="Female"/>
    <x v="4"/>
    <x v="0"/>
    <x v="3"/>
  </r>
  <r>
    <s v="TXN-20251648"/>
    <x v="310"/>
    <x v="1643"/>
    <x v="3"/>
    <n v="2056.79"/>
    <x v="0"/>
    <n v="30"/>
    <s v="Female"/>
    <x v="7"/>
    <x v="2"/>
    <x v="0"/>
  </r>
  <r>
    <s v="TXN-20251649"/>
    <x v="276"/>
    <x v="1644"/>
    <x v="3"/>
    <n v="8956.1"/>
    <x v="0"/>
    <n v="45"/>
    <s v="Female"/>
    <x v="4"/>
    <x v="2"/>
    <x v="2"/>
  </r>
  <r>
    <s v="TXN-20251650"/>
    <x v="348"/>
    <x v="1645"/>
    <x v="0"/>
    <n v="636.42999999999995"/>
    <x v="0"/>
    <n v="46"/>
    <s v="Female"/>
    <x v="7"/>
    <x v="0"/>
    <x v="0"/>
  </r>
  <r>
    <s v="TXN-20251651"/>
    <x v="138"/>
    <x v="1646"/>
    <x v="4"/>
    <n v="20000"/>
    <x v="0"/>
    <n v="38"/>
    <s v="Male"/>
    <x v="4"/>
    <x v="0"/>
    <x v="2"/>
  </r>
  <r>
    <s v="TXN-20251652"/>
    <x v="226"/>
    <x v="1647"/>
    <x v="3"/>
    <n v="21439.05"/>
    <x v="0"/>
    <n v="22"/>
    <s v="Male"/>
    <x v="4"/>
    <x v="1"/>
    <x v="2"/>
  </r>
  <r>
    <s v="TXN-20251653"/>
    <x v="271"/>
    <x v="1648"/>
    <x v="1"/>
    <n v="18569.64"/>
    <x v="0"/>
    <n v="28"/>
    <s v="Female"/>
    <x v="4"/>
    <x v="0"/>
    <x v="0"/>
  </r>
  <r>
    <s v="TXN-20251654"/>
    <x v="128"/>
    <x v="1649"/>
    <x v="2"/>
    <n v="8941.99"/>
    <x v="0"/>
    <n v="55"/>
    <s v="Male"/>
    <x v="4"/>
    <x v="2"/>
    <x v="3"/>
  </r>
  <r>
    <s v="TXN-20251655"/>
    <x v="287"/>
    <x v="1650"/>
    <x v="0"/>
    <n v="2711.66"/>
    <x v="0"/>
    <n v="38"/>
    <s v="Female"/>
    <x v="9"/>
    <x v="2"/>
    <x v="3"/>
  </r>
  <r>
    <s v="TXN-20251656"/>
    <x v="249"/>
    <x v="1651"/>
    <x v="1"/>
    <n v="11048.24"/>
    <x v="0"/>
    <n v="44"/>
    <s v="Female"/>
    <x v="9"/>
    <x v="1"/>
    <x v="3"/>
  </r>
  <r>
    <s v="TXN-20251657"/>
    <x v="186"/>
    <x v="1652"/>
    <x v="0"/>
    <n v="447.27"/>
    <x v="0"/>
    <n v="20"/>
    <s v="Male"/>
    <x v="7"/>
    <x v="0"/>
    <x v="2"/>
  </r>
  <r>
    <s v="TXN-20251658"/>
    <x v="337"/>
    <x v="1653"/>
    <x v="2"/>
    <n v="5572.74"/>
    <x v="0"/>
    <n v="37"/>
    <s v="Female"/>
    <x v="9"/>
    <x v="2"/>
    <x v="3"/>
  </r>
  <r>
    <s v="TXN-20251659"/>
    <x v="62"/>
    <x v="1654"/>
    <x v="4"/>
    <n v="10000"/>
    <x v="0"/>
    <n v="24"/>
    <s v="Female"/>
    <x v="4"/>
    <x v="1"/>
    <x v="0"/>
  </r>
  <r>
    <s v="TXN-20251660"/>
    <x v="218"/>
    <x v="1655"/>
    <x v="0"/>
    <n v="3029.27"/>
    <x v="0"/>
    <n v="25"/>
    <s v="Male"/>
    <x v="9"/>
    <x v="2"/>
    <x v="2"/>
  </r>
  <r>
    <s v="TXN-20251661"/>
    <x v="337"/>
    <x v="1656"/>
    <x v="1"/>
    <n v="47444.56"/>
    <x v="0"/>
    <n v="37"/>
    <s v="Female"/>
    <x v="9"/>
    <x v="2"/>
    <x v="1"/>
  </r>
  <r>
    <s v="TXN-20251662"/>
    <x v="297"/>
    <x v="1657"/>
    <x v="1"/>
    <n v="17560.3"/>
    <x v="0"/>
    <n v="60"/>
    <s v="Male"/>
    <x v="1"/>
    <x v="0"/>
    <x v="3"/>
  </r>
  <r>
    <s v="TXN-20251663"/>
    <x v="150"/>
    <x v="1658"/>
    <x v="0"/>
    <n v="2866.86"/>
    <x v="0"/>
    <n v="28"/>
    <s v="Female"/>
    <x v="2"/>
    <x v="0"/>
    <x v="0"/>
  </r>
  <r>
    <s v="TXN-20251664"/>
    <x v="135"/>
    <x v="1659"/>
    <x v="0"/>
    <n v="833.04"/>
    <x v="0"/>
    <n v="32"/>
    <s v="Female"/>
    <x v="8"/>
    <x v="3"/>
    <x v="0"/>
  </r>
  <r>
    <s v="TXN-20251665"/>
    <x v="246"/>
    <x v="1660"/>
    <x v="2"/>
    <n v="8717.49"/>
    <x v="0"/>
    <n v="40"/>
    <s v="Male"/>
    <x v="4"/>
    <x v="0"/>
    <x v="0"/>
  </r>
  <r>
    <s v="TXN-20251666"/>
    <x v="272"/>
    <x v="1661"/>
    <x v="1"/>
    <n v="3369.11"/>
    <x v="0"/>
    <n v="37"/>
    <s v="Male"/>
    <x v="8"/>
    <x v="0"/>
    <x v="0"/>
  </r>
  <r>
    <s v="TXN-20251667"/>
    <x v="271"/>
    <x v="1662"/>
    <x v="1"/>
    <n v="22478.07"/>
    <x v="0"/>
    <n v="28"/>
    <s v="Female"/>
    <x v="4"/>
    <x v="0"/>
    <x v="2"/>
  </r>
  <r>
    <s v="TXN-20251668"/>
    <x v="189"/>
    <x v="1663"/>
    <x v="1"/>
    <n v="1064.27"/>
    <x v="0"/>
    <n v="42"/>
    <s v="Female"/>
    <x v="4"/>
    <x v="0"/>
    <x v="3"/>
  </r>
  <r>
    <s v="TXN-20251669"/>
    <x v="189"/>
    <x v="1664"/>
    <x v="0"/>
    <n v="464.5"/>
    <x v="0"/>
    <n v="42"/>
    <s v="Female"/>
    <x v="4"/>
    <x v="0"/>
    <x v="0"/>
  </r>
  <r>
    <s v="TXN-20251670"/>
    <x v="17"/>
    <x v="1665"/>
    <x v="1"/>
    <n v="65667.360000000001"/>
    <x v="0"/>
    <n v="42"/>
    <s v="Male"/>
    <x v="7"/>
    <x v="0"/>
    <x v="2"/>
  </r>
  <r>
    <s v="TXN-20251671"/>
    <x v="202"/>
    <x v="1666"/>
    <x v="0"/>
    <n v="3290.39"/>
    <x v="0"/>
    <n v="37"/>
    <s v="Male"/>
    <x v="4"/>
    <x v="2"/>
    <x v="1"/>
  </r>
  <r>
    <s v="TXN-20251672"/>
    <x v="130"/>
    <x v="1667"/>
    <x v="1"/>
    <n v="20632.240000000002"/>
    <x v="0"/>
    <n v="48"/>
    <s v="Male"/>
    <x v="4"/>
    <x v="0"/>
    <x v="1"/>
  </r>
  <r>
    <s v="TXN-20251673"/>
    <x v="299"/>
    <x v="1668"/>
    <x v="2"/>
    <n v="10233.39"/>
    <x v="0"/>
    <n v="43"/>
    <s v="Male"/>
    <x v="8"/>
    <x v="0"/>
    <x v="0"/>
  </r>
  <r>
    <s v="TXN-20251674"/>
    <x v="125"/>
    <x v="1669"/>
    <x v="2"/>
    <n v="20981.040000000001"/>
    <x v="0"/>
    <n v="56"/>
    <s v="Female"/>
    <x v="7"/>
    <x v="2"/>
    <x v="0"/>
  </r>
  <r>
    <s v="TXN-20251675"/>
    <x v="1"/>
    <x v="1670"/>
    <x v="3"/>
    <n v="14679.88"/>
    <x v="1"/>
    <n v="43"/>
    <s v="Male"/>
    <x v="1"/>
    <x v="0"/>
    <x v="3"/>
  </r>
  <r>
    <s v="TXN-20251676"/>
    <x v="33"/>
    <x v="1671"/>
    <x v="1"/>
    <n v="7696.05"/>
    <x v="0"/>
    <n v="42"/>
    <s v="Male"/>
    <x v="4"/>
    <x v="2"/>
    <x v="0"/>
  </r>
  <r>
    <s v="TXN-20251677"/>
    <x v="50"/>
    <x v="1672"/>
    <x v="1"/>
    <n v="29137.19"/>
    <x v="1"/>
    <n v="49"/>
    <s v="Male"/>
    <x v="1"/>
    <x v="1"/>
    <x v="0"/>
  </r>
  <r>
    <s v="TXN-20251678"/>
    <x v="270"/>
    <x v="1673"/>
    <x v="0"/>
    <n v="798.14"/>
    <x v="0"/>
    <n v="43"/>
    <s v="Male"/>
    <x v="2"/>
    <x v="3"/>
    <x v="2"/>
  </r>
  <r>
    <s v="TXN-20251679"/>
    <x v="54"/>
    <x v="1674"/>
    <x v="1"/>
    <n v="3813.24"/>
    <x v="0"/>
    <n v="56"/>
    <s v="Female"/>
    <x v="5"/>
    <x v="0"/>
    <x v="3"/>
  </r>
  <r>
    <s v="TXN-20251680"/>
    <x v="191"/>
    <x v="1675"/>
    <x v="2"/>
    <n v="19260.03"/>
    <x v="0"/>
    <n v="27"/>
    <s v="Male"/>
    <x v="7"/>
    <x v="1"/>
    <x v="0"/>
  </r>
  <r>
    <s v="TXN-20251681"/>
    <x v="95"/>
    <x v="1676"/>
    <x v="1"/>
    <n v="19310.96"/>
    <x v="0"/>
    <n v="49"/>
    <s v="Female"/>
    <x v="0"/>
    <x v="0"/>
    <x v="0"/>
  </r>
  <r>
    <s v="TXN-20251682"/>
    <x v="110"/>
    <x v="1677"/>
    <x v="0"/>
    <n v="1134.81"/>
    <x v="0"/>
    <n v="29"/>
    <s v="Male"/>
    <x v="4"/>
    <x v="2"/>
    <x v="0"/>
  </r>
  <r>
    <s v="TXN-20251683"/>
    <x v="29"/>
    <x v="1678"/>
    <x v="0"/>
    <n v="2502.59"/>
    <x v="1"/>
    <n v="31"/>
    <s v="Male"/>
    <x v="2"/>
    <x v="0"/>
    <x v="0"/>
  </r>
  <r>
    <s v="TXN-20251684"/>
    <x v="159"/>
    <x v="1679"/>
    <x v="2"/>
    <n v="1142.79"/>
    <x v="0"/>
    <n v="52"/>
    <s v="Female"/>
    <x v="6"/>
    <x v="2"/>
    <x v="2"/>
  </r>
  <r>
    <s v="TXN-20251685"/>
    <x v="116"/>
    <x v="1680"/>
    <x v="2"/>
    <n v="10029.56"/>
    <x v="0"/>
    <n v="32"/>
    <s v="Female"/>
    <x v="6"/>
    <x v="0"/>
    <x v="1"/>
  </r>
  <r>
    <s v="TXN-20251686"/>
    <x v="50"/>
    <x v="1681"/>
    <x v="1"/>
    <n v="10325.16"/>
    <x v="0"/>
    <n v="49"/>
    <s v="Male"/>
    <x v="1"/>
    <x v="1"/>
    <x v="2"/>
  </r>
  <r>
    <s v="TXN-20251687"/>
    <x v="198"/>
    <x v="1682"/>
    <x v="0"/>
    <n v="1615.17"/>
    <x v="0"/>
    <n v="30"/>
    <s v="Female"/>
    <x v="7"/>
    <x v="1"/>
    <x v="3"/>
  </r>
  <r>
    <s v="TXN-20251688"/>
    <x v="314"/>
    <x v="1683"/>
    <x v="0"/>
    <n v="1715.82"/>
    <x v="0"/>
    <n v="36"/>
    <s v="Female"/>
    <x v="4"/>
    <x v="3"/>
    <x v="0"/>
  </r>
  <r>
    <s v="TXN-20251689"/>
    <x v="121"/>
    <x v="1684"/>
    <x v="1"/>
    <n v="125207.39"/>
    <x v="0"/>
    <n v="49"/>
    <s v="Male"/>
    <x v="7"/>
    <x v="0"/>
    <x v="2"/>
  </r>
  <r>
    <s v="TXN-20251690"/>
    <x v="96"/>
    <x v="1685"/>
    <x v="0"/>
    <n v="644.66999999999996"/>
    <x v="0"/>
    <n v="30"/>
    <s v="Male"/>
    <x v="7"/>
    <x v="2"/>
    <x v="1"/>
  </r>
  <r>
    <s v="TXN-20251691"/>
    <x v="319"/>
    <x v="1686"/>
    <x v="3"/>
    <n v="676.72"/>
    <x v="0"/>
    <n v="44"/>
    <s v="Male"/>
    <x v="2"/>
    <x v="1"/>
    <x v="3"/>
  </r>
  <r>
    <s v="TXN-20251692"/>
    <x v="51"/>
    <x v="1687"/>
    <x v="0"/>
    <n v="1002.95"/>
    <x v="0"/>
    <n v="49"/>
    <s v="Female"/>
    <x v="4"/>
    <x v="0"/>
    <x v="0"/>
  </r>
  <r>
    <s v="TXN-20251693"/>
    <x v="201"/>
    <x v="1688"/>
    <x v="0"/>
    <n v="1015.84"/>
    <x v="0"/>
    <n v="28"/>
    <s v="Female"/>
    <x v="4"/>
    <x v="0"/>
    <x v="3"/>
  </r>
  <r>
    <s v="TXN-20251694"/>
    <x v="228"/>
    <x v="1689"/>
    <x v="0"/>
    <n v="200.05"/>
    <x v="0"/>
    <n v="47"/>
    <s v="Male"/>
    <x v="6"/>
    <x v="2"/>
    <x v="3"/>
  </r>
  <r>
    <s v="TXN-20251695"/>
    <x v="19"/>
    <x v="1690"/>
    <x v="1"/>
    <n v="6356.45"/>
    <x v="0"/>
    <n v="31"/>
    <s v="Female"/>
    <x v="2"/>
    <x v="0"/>
    <x v="3"/>
  </r>
  <r>
    <s v="TXN-20251696"/>
    <x v="70"/>
    <x v="1691"/>
    <x v="3"/>
    <n v="6808.79"/>
    <x v="0"/>
    <n v="28"/>
    <s v="Female"/>
    <x v="4"/>
    <x v="0"/>
    <x v="0"/>
  </r>
  <r>
    <s v="TXN-20251697"/>
    <x v="21"/>
    <x v="1692"/>
    <x v="1"/>
    <n v="1228.21"/>
    <x v="0"/>
    <n v="27"/>
    <s v="Female"/>
    <x v="7"/>
    <x v="0"/>
    <x v="3"/>
  </r>
  <r>
    <s v="TXN-20251698"/>
    <x v="284"/>
    <x v="1693"/>
    <x v="1"/>
    <n v="6226.93"/>
    <x v="0"/>
    <n v="56"/>
    <s v="Female"/>
    <x v="4"/>
    <x v="0"/>
    <x v="0"/>
  </r>
  <r>
    <s v="TXN-20251699"/>
    <x v="335"/>
    <x v="1694"/>
    <x v="2"/>
    <n v="27481.759999999998"/>
    <x v="0"/>
    <n v="39"/>
    <s v="Male"/>
    <x v="2"/>
    <x v="3"/>
    <x v="3"/>
  </r>
  <r>
    <s v="TXN-20251700"/>
    <x v="267"/>
    <x v="1695"/>
    <x v="3"/>
    <n v="2893.85"/>
    <x v="0"/>
    <n v="26"/>
    <s v="Male"/>
    <x v="4"/>
    <x v="0"/>
    <x v="3"/>
  </r>
  <r>
    <s v="TXN-20251701"/>
    <x v="292"/>
    <x v="1696"/>
    <x v="3"/>
    <n v="2750.49"/>
    <x v="0"/>
    <n v="25"/>
    <s v="Female"/>
    <x v="4"/>
    <x v="0"/>
    <x v="2"/>
  </r>
  <r>
    <s v="TXN-20251702"/>
    <x v="97"/>
    <x v="1697"/>
    <x v="2"/>
    <n v="3976.17"/>
    <x v="0"/>
    <n v="35"/>
    <s v="Male"/>
    <x v="2"/>
    <x v="0"/>
    <x v="1"/>
  </r>
  <r>
    <s v="TXN-20251703"/>
    <x v="98"/>
    <x v="1698"/>
    <x v="0"/>
    <n v="250"/>
    <x v="0"/>
    <n v="29"/>
    <s v="Male"/>
    <x v="2"/>
    <x v="0"/>
    <x v="3"/>
  </r>
  <r>
    <s v="TXN-20251704"/>
    <x v="176"/>
    <x v="1699"/>
    <x v="1"/>
    <n v="5129.54"/>
    <x v="0"/>
    <n v="35"/>
    <s v="Male"/>
    <x v="0"/>
    <x v="0"/>
    <x v="0"/>
  </r>
  <r>
    <s v="TXN-20251705"/>
    <x v="30"/>
    <x v="1700"/>
    <x v="1"/>
    <n v="19737.98"/>
    <x v="0"/>
    <n v="36"/>
    <s v="Male"/>
    <x v="3"/>
    <x v="0"/>
    <x v="0"/>
  </r>
  <r>
    <s v="TXN-20251706"/>
    <x v="33"/>
    <x v="1701"/>
    <x v="4"/>
    <n v="5000"/>
    <x v="0"/>
    <n v="42"/>
    <s v="Male"/>
    <x v="4"/>
    <x v="2"/>
    <x v="2"/>
  </r>
  <r>
    <s v="TXN-20251707"/>
    <x v="232"/>
    <x v="1017"/>
    <x v="1"/>
    <n v="3513.86"/>
    <x v="0"/>
    <n v="23"/>
    <s v="Female"/>
    <x v="0"/>
    <x v="1"/>
    <x v="3"/>
  </r>
  <r>
    <s v="TXN-20251708"/>
    <x v="209"/>
    <x v="1702"/>
    <x v="1"/>
    <n v="4615.46"/>
    <x v="1"/>
    <n v="53"/>
    <s v="Female"/>
    <x v="1"/>
    <x v="0"/>
    <x v="2"/>
  </r>
  <r>
    <s v="TXN-20251709"/>
    <x v="125"/>
    <x v="1703"/>
    <x v="1"/>
    <n v="9497.2199999999993"/>
    <x v="0"/>
    <n v="56"/>
    <s v="Female"/>
    <x v="7"/>
    <x v="2"/>
    <x v="2"/>
  </r>
  <r>
    <s v="TXN-20251710"/>
    <x v="88"/>
    <x v="1704"/>
    <x v="1"/>
    <n v="70452.34"/>
    <x v="0"/>
    <n v="45"/>
    <s v="Male"/>
    <x v="6"/>
    <x v="1"/>
    <x v="1"/>
  </r>
  <r>
    <s v="TXN-20251711"/>
    <x v="35"/>
    <x v="1705"/>
    <x v="0"/>
    <n v="1221.3599999999999"/>
    <x v="0"/>
    <n v="38"/>
    <s v="Male"/>
    <x v="1"/>
    <x v="0"/>
    <x v="0"/>
  </r>
  <r>
    <s v="TXN-20251712"/>
    <x v="168"/>
    <x v="1706"/>
    <x v="1"/>
    <n v="3847.66"/>
    <x v="0"/>
    <n v="28"/>
    <s v="Female"/>
    <x v="4"/>
    <x v="1"/>
    <x v="0"/>
  </r>
  <r>
    <s v="TXN-20251713"/>
    <x v="187"/>
    <x v="1707"/>
    <x v="1"/>
    <n v="15962.51"/>
    <x v="0"/>
    <n v="28"/>
    <s v="Male"/>
    <x v="3"/>
    <x v="0"/>
    <x v="0"/>
  </r>
  <r>
    <s v="TXN-20251714"/>
    <x v="335"/>
    <x v="1708"/>
    <x v="2"/>
    <n v="26497.58"/>
    <x v="0"/>
    <n v="39"/>
    <s v="Male"/>
    <x v="2"/>
    <x v="3"/>
    <x v="0"/>
  </r>
  <r>
    <s v="TXN-20251715"/>
    <x v="269"/>
    <x v="1709"/>
    <x v="0"/>
    <n v="1265.0999999999999"/>
    <x v="0"/>
    <n v="37"/>
    <s v="Male"/>
    <x v="7"/>
    <x v="1"/>
    <x v="1"/>
  </r>
  <r>
    <s v="TXN-20251716"/>
    <x v="103"/>
    <x v="1710"/>
    <x v="2"/>
    <n v="8782.09"/>
    <x v="0"/>
    <n v="39"/>
    <s v="Male"/>
    <x v="1"/>
    <x v="0"/>
    <x v="3"/>
  </r>
  <r>
    <s v="TXN-20251717"/>
    <x v="103"/>
    <x v="1711"/>
    <x v="1"/>
    <n v="31233.67"/>
    <x v="0"/>
    <n v="39"/>
    <s v="Male"/>
    <x v="1"/>
    <x v="0"/>
    <x v="2"/>
  </r>
  <r>
    <s v="TXN-20251718"/>
    <x v="319"/>
    <x v="1712"/>
    <x v="1"/>
    <n v="67432.09"/>
    <x v="0"/>
    <n v="44"/>
    <s v="Male"/>
    <x v="2"/>
    <x v="1"/>
    <x v="0"/>
  </r>
  <r>
    <s v="TXN-20251719"/>
    <x v="313"/>
    <x v="1713"/>
    <x v="2"/>
    <n v="1318.36"/>
    <x v="0"/>
    <n v="33"/>
    <s v="Female"/>
    <x v="4"/>
    <x v="3"/>
    <x v="3"/>
  </r>
  <r>
    <s v="TXN-20251720"/>
    <x v="146"/>
    <x v="1714"/>
    <x v="1"/>
    <n v="1396.5"/>
    <x v="0"/>
    <n v="32"/>
    <s v="Male"/>
    <x v="4"/>
    <x v="0"/>
    <x v="2"/>
  </r>
  <r>
    <s v="TXN-20251721"/>
    <x v="264"/>
    <x v="1715"/>
    <x v="1"/>
    <n v="20095.78"/>
    <x v="0"/>
    <n v="22"/>
    <s v="Female"/>
    <x v="2"/>
    <x v="2"/>
    <x v="2"/>
  </r>
  <r>
    <s v="TXN-20251722"/>
    <x v="253"/>
    <x v="1716"/>
    <x v="1"/>
    <n v="1131.78"/>
    <x v="0"/>
    <n v="40"/>
    <s v="Male"/>
    <x v="0"/>
    <x v="0"/>
    <x v="3"/>
  </r>
  <r>
    <s v="TXN-20251723"/>
    <x v="197"/>
    <x v="1717"/>
    <x v="4"/>
    <n v="2000"/>
    <x v="0"/>
    <n v="34"/>
    <s v="Male"/>
    <x v="6"/>
    <x v="0"/>
    <x v="1"/>
  </r>
  <r>
    <s v="TXN-20251724"/>
    <x v="157"/>
    <x v="1718"/>
    <x v="1"/>
    <n v="20826.45"/>
    <x v="0"/>
    <n v="31"/>
    <s v="Male"/>
    <x v="4"/>
    <x v="0"/>
    <x v="2"/>
  </r>
  <r>
    <s v="TXN-20251725"/>
    <x v="116"/>
    <x v="1719"/>
    <x v="1"/>
    <n v="1896.45"/>
    <x v="0"/>
    <n v="32"/>
    <s v="Female"/>
    <x v="6"/>
    <x v="0"/>
    <x v="0"/>
  </r>
  <r>
    <s v="TXN-20251726"/>
    <x v="161"/>
    <x v="1720"/>
    <x v="0"/>
    <n v="393.9"/>
    <x v="1"/>
    <n v="53"/>
    <s v="Female"/>
    <x v="4"/>
    <x v="0"/>
    <x v="0"/>
  </r>
  <r>
    <s v="TXN-20251727"/>
    <x v="98"/>
    <x v="1721"/>
    <x v="1"/>
    <n v="29750.09"/>
    <x v="0"/>
    <n v="29"/>
    <s v="Male"/>
    <x v="2"/>
    <x v="0"/>
    <x v="3"/>
  </r>
  <r>
    <s v="TXN-20251728"/>
    <x v="212"/>
    <x v="1722"/>
    <x v="1"/>
    <n v="2145.77"/>
    <x v="0"/>
    <n v="47"/>
    <s v="Male"/>
    <x v="4"/>
    <x v="0"/>
    <x v="0"/>
  </r>
  <r>
    <s v="TXN-20251729"/>
    <x v="248"/>
    <x v="1723"/>
    <x v="1"/>
    <n v="27734.48"/>
    <x v="0"/>
    <n v="45"/>
    <s v="Male"/>
    <x v="9"/>
    <x v="1"/>
    <x v="1"/>
  </r>
  <r>
    <s v="TXN-20251730"/>
    <x v="173"/>
    <x v="1724"/>
    <x v="0"/>
    <n v="308.63"/>
    <x v="0"/>
    <n v="30"/>
    <s v="Male"/>
    <x v="6"/>
    <x v="1"/>
    <x v="0"/>
  </r>
  <r>
    <s v="TXN-20251731"/>
    <x v="311"/>
    <x v="1725"/>
    <x v="0"/>
    <n v="2313.35"/>
    <x v="0"/>
    <n v="60"/>
    <s v="Male"/>
    <x v="4"/>
    <x v="1"/>
    <x v="3"/>
  </r>
  <r>
    <s v="TXN-20251732"/>
    <x v="320"/>
    <x v="1726"/>
    <x v="1"/>
    <n v="41392.74"/>
    <x v="0"/>
    <n v="42"/>
    <s v="Female"/>
    <x v="1"/>
    <x v="0"/>
    <x v="3"/>
  </r>
  <r>
    <s v="TXN-20251733"/>
    <x v="340"/>
    <x v="1727"/>
    <x v="0"/>
    <n v="500.16"/>
    <x v="0"/>
    <n v="28"/>
    <s v="Male"/>
    <x v="6"/>
    <x v="0"/>
    <x v="0"/>
  </r>
  <r>
    <s v="TXN-20251734"/>
    <x v="65"/>
    <x v="1728"/>
    <x v="1"/>
    <n v="39077.699999999997"/>
    <x v="1"/>
    <n v="24"/>
    <s v="Male"/>
    <x v="3"/>
    <x v="2"/>
    <x v="3"/>
  </r>
  <r>
    <s v="TXN-20251735"/>
    <x v="88"/>
    <x v="1729"/>
    <x v="0"/>
    <n v="635.27"/>
    <x v="0"/>
    <n v="45"/>
    <s v="Male"/>
    <x v="6"/>
    <x v="1"/>
    <x v="0"/>
  </r>
  <r>
    <s v="TXN-20251736"/>
    <x v="119"/>
    <x v="1730"/>
    <x v="1"/>
    <n v="6152.85"/>
    <x v="0"/>
    <n v="31"/>
    <s v="Male"/>
    <x v="4"/>
    <x v="3"/>
    <x v="0"/>
  </r>
  <r>
    <s v="TXN-20251737"/>
    <x v="212"/>
    <x v="1731"/>
    <x v="0"/>
    <n v="3132.97"/>
    <x v="0"/>
    <n v="47"/>
    <s v="Male"/>
    <x v="4"/>
    <x v="0"/>
    <x v="3"/>
  </r>
  <r>
    <s v="TXN-20251738"/>
    <x v="83"/>
    <x v="1732"/>
    <x v="1"/>
    <n v="14398.96"/>
    <x v="0"/>
    <n v="57"/>
    <s v="Male"/>
    <x v="4"/>
    <x v="1"/>
    <x v="2"/>
  </r>
  <r>
    <s v="TXN-20251739"/>
    <x v="190"/>
    <x v="1733"/>
    <x v="0"/>
    <n v="919.58"/>
    <x v="0"/>
    <n v="34"/>
    <s v="Male"/>
    <x v="1"/>
    <x v="0"/>
    <x v="0"/>
  </r>
  <r>
    <s v="TXN-20251740"/>
    <x v="206"/>
    <x v="1734"/>
    <x v="0"/>
    <n v="692.53"/>
    <x v="0"/>
    <n v="41"/>
    <s v="Male"/>
    <x v="4"/>
    <x v="1"/>
    <x v="2"/>
  </r>
  <r>
    <s v="TXN-20251741"/>
    <x v="155"/>
    <x v="1735"/>
    <x v="1"/>
    <n v="9436.8799999999992"/>
    <x v="0"/>
    <n v="32"/>
    <s v="Male"/>
    <x v="2"/>
    <x v="0"/>
    <x v="0"/>
  </r>
  <r>
    <s v="TXN-20251742"/>
    <x v="213"/>
    <x v="1736"/>
    <x v="1"/>
    <n v="12024.97"/>
    <x v="0"/>
    <n v="46"/>
    <s v="Male"/>
    <x v="2"/>
    <x v="1"/>
    <x v="0"/>
  </r>
  <r>
    <s v="TXN-20251743"/>
    <x v="159"/>
    <x v="1737"/>
    <x v="2"/>
    <n v="1275.21"/>
    <x v="0"/>
    <n v="52"/>
    <s v="Female"/>
    <x v="6"/>
    <x v="2"/>
    <x v="3"/>
  </r>
  <r>
    <s v="TXN-20251744"/>
    <x v="335"/>
    <x v="1738"/>
    <x v="3"/>
    <n v="9750.43"/>
    <x v="0"/>
    <n v="39"/>
    <s v="Male"/>
    <x v="2"/>
    <x v="3"/>
    <x v="0"/>
  </r>
  <r>
    <s v="TXN-20251745"/>
    <x v="150"/>
    <x v="1739"/>
    <x v="4"/>
    <n v="20000"/>
    <x v="0"/>
    <n v="28"/>
    <s v="Female"/>
    <x v="2"/>
    <x v="0"/>
    <x v="3"/>
  </r>
  <r>
    <s v="TXN-20251746"/>
    <x v="300"/>
    <x v="1740"/>
    <x v="1"/>
    <n v="21550.38"/>
    <x v="0"/>
    <n v="35"/>
    <s v="Female"/>
    <x v="4"/>
    <x v="2"/>
    <x v="1"/>
  </r>
  <r>
    <s v="TXN-20251747"/>
    <x v="163"/>
    <x v="1741"/>
    <x v="0"/>
    <n v="1758.3"/>
    <x v="0"/>
    <n v="31"/>
    <s v="Male"/>
    <x v="4"/>
    <x v="3"/>
    <x v="2"/>
  </r>
  <r>
    <s v="TXN-20251748"/>
    <x v="0"/>
    <x v="1742"/>
    <x v="0"/>
    <n v="1928.39"/>
    <x v="0"/>
    <n v="47"/>
    <s v="Male"/>
    <x v="0"/>
    <x v="0"/>
    <x v="0"/>
  </r>
  <r>
    <s v="TXN-20251749"/>
    <x v="217"/>
    <x v="1743"/>
    <x v="0"/>
    <n v="986.8"/>
    <x v="1"/>
    <n v="42"/>
    <s v="Male"/>
    <x v="1"/>
    <x v="0"/>
    <x v="3"/>
  </r>
  <r>
    <s v="TXN-20251750"/>
    <x v="256"/>
    <x v="1744"/>
    <x v="2"/>
    <n v="8799.85"/>
    <x v="0"/>
    <n v="33"/>
    <s v="Female"/>
    <x v="1"/>
    <x v="0"/>
    <x v="3"/>
  </r>
  <r>
    <s v="TXN-20251751"/>
    <x v="249"/>
    <x v="1745"/>
    <x v="1"/>
    <n v="64389.82"/>
    <x v="1"/>
    <n v="44"/>
    <s v="Female"/>
    <x v="9"/>
    <x v="1"/>
    <x v="0"/>
  </r>
  <r>
    <s v="TXN-20251752"/>
    <x v="290"/>
    <x v="1746"/>
    <x v="1"/>
    <n v="9289.4699999999993"/>
    <x v="0"/>
    <n v="29"/>
    <s v="Male"/>
    <x v="1"/>
    <x v="0"/>
    <x v="0"/>
  </r>
  <r>
    <s v="TXN-20251753"/>
    <x v="75"/>
    <x v="1747"/>
    <x v="0"/>
    <n v="701.66"/>
    <x v="0"/>
    <n v="40"/>
    <s v="Female"/>
    <x v="4"/>
    <x v="2"/>
    <x v="3"/>
  </r>
  <r>
    <s v="TXN-20251754"/>
    <x v="278"/>
    <x v="1748"/>
    <x v="2"/>
    <n v="16020.36"/>
    <x v="0"/>
    <n v="32"/>
    <s v="Male"/>
    <x v="4"/>
    <x v="0"/>
    <x v="2"/>
  </r>
  <r>
    <s v="TXN-20251755"/>
    <x v="230"/>
    <x v="1749"/>
    <x v="1"/>
    <n v="27811.88"/>
    <x v="0"/>
    <n v="27"/>
    <s v="Female"/>
    <x v="4"/>
    <x v="0"/>
    <x v="0"/>
  </r>
  <r>
    <s v="TXN-20251756"/>
    <x v="38"/>
    <x v="1750"/>
    <x v="0"/>
    <n v="2501.4699999999998"/>
    <x v="0"/>
    <n v="42"/>
    <s v="Female"/>
    <x v="4"/>
    <x v="1"/>
    <x v="0"/>
  </r>
  <r>
    <s v="TXN-20251757"/>
    <x v="204"/>
    <x v="1751"/>
    <x v="3"/>
    <n v="8818.1200000000008"/>
    <x v="0"/>
    <n v="46"/>
    <s v="Male"/>
    <x v="5"/>
    <x v="0"/>
    <x v="0"/>
  </r>
  <r>
    <s v="TXN-20251758"/>
    <x v="337"/>
    <x v="1752"/>
    <x v="1"/>
    <n v="15352.59"/>
    <x v="0"/>
    <n v="37"/>
    <s v="Female"/>
    <x v="9"/>
    <x v="2"/>
    <x v="0"/>
  </r>
  <r>
    <s v="TXN-20251759"/>
    <x v="313"/>
    <x v="1753"/>
    <x v="1"/>
    <n v="114862.51"/>
    <x v="0"/>
    <n v="33"/>
    <s v="Female"/>
    <x v="4"/>
    <x v="3"/>
    <x v="0"/>
  </r>
  <r>
    <s v="TXN-20251760"/>
    <x v="230"/>
    <x v="1754"/>
    <x v="3"/>
    <n v="38185.410000000003"/>
    <x v="0"/>
    <n v="27"/>
    <s v="Female"/>
    <x v="4"/>
    <x v="0"/>
    <x v="3"/>
  </r>
  <r>
    <s v="TXN-20251761"/>
    <x v="129"/>
    <x v="1755"/>
    <x v="1"/>
    <n v="18225"/>
    <x v="1"/>
    <n v="27"/>
    <s v="Female"/>
    <x v="5"/>
    <x v="0"/>
    <x v="0"/>
  </r>
  <r>
    <s v="TXN-20251762"/>
    <x v="166"/>
    <x v="1756"/>
    <x v="0"/>
    <n v="2776.51"/>
    <x v="0"/>
    <n v="30"/>
    <s v="Female"/>
    <x v="1"/>
    <x v="2"/>
    <x v="3"/>
  </r>
  <r>
    <s v="TXN-20251763"/>
    <x v="243"/>
    <x v="1757"/>
    <x v="1"/>
    <n v="34647.129999999997"/>
    <x v="0"/>
    <n v="23"/>
    <s v="Female"/>
    <x v="4"/>
    <x v="0"/>
    <x v="0"/>
  </r>
  <r>
    <s v="TXN-20251764"/>
    <x v="85"/>
    <x v="1758"/>
    <x v="1"/>
    <n v="12682.92"/>
    <x v="0"/>
    <n v="43"/>
    <s v="Male"/>
    <x v="7"/>
    <x v="2"/>
    <x v="3"/>
  </r>
  <r>
    <s v="TXN-20251765"/>
    <x v="73"/>
    <x v="1759"/>
    <x v="1"/>
    <n v="41601.32"/>
    <x v="0"/>
    <n v="48"/>
    <s v="Female"/>
    <x v="7"/>
    <x v="2"/>
    <x v="1"/>
  </r>
  <r>
    <s v="TXN-20251766"/>
    <x v="329"/>
    <x v="1760"/>
    <x v="1"/>
    <n v="14327.8"/>
    <x v="1"/>
    <n v="38"/>
    <s v="Male"/>
    <x v="1"/>
    <x v="0"/>
    <x v="3"/>
  </r>
  <r>
    <s v="TXN-20251767"/>
    <x v="86"/>
    <x v="1761"/>
    <x v="2"/>
    <n v="7550.07"/>
    <x v="0"/>
    <n v="40"/>
    <s v="Male"/>
    <x v="4"/>
    <x v="2"/>
    <x v="1"/>
  </r>
  <r>
    <s v="TXN-20251768"/>
    <x v="52"/>
    <x v="1762"/>
    <x v="0"/>
    <n v="344.03"/>
    <x v="0"/>
    <n v="49"/>
    <s v="Male"/>
    <x v="7"/>
    <x v="0"/>
    <x v="3"/>
  </r>
  <r>
    <s v="TXN-20251769"/>
    <x v="201"/>
    <x v="1763"/>
    <x v="1"/>
    <n v="26738.55"/>
    <x v="0"/>
    <n v="28"/>
    <s v="Female"/>
    <x v="4"/>
    <x v="0"/>
    <x v="0"/>
  </r>
  <r>
    <s v="TXN-20251770"/>
    <x v="61"/>
    <x v="1764"/>
    <x v="1"/>
    <n v="8832.98"/>
    <x v="0"/>
    <n v="31"/>
    <s v="Female"/>
    <x v="3"/>
    <x v="3"/>
    <x v="1"/>
  </r>
  <r>
    <s v="TXN-20251771"/>
    <x v="173"/>
    <x v="1765"/>
    <x v="1"/>
    <n v="23003.919999999998"/>
    <x v="0"/>
    <n v="30"/>
    <s v="Male"/>
    <x v="6"/>
    <x v="1"/>
    <x v="3"/>
  </r>
  <r>
    <s v="TXN-20251772"/>
    <x v="37"/>
    <x v="1766"/>
    <x v="2"/>
    <n v="811.86"/>
    <x v="0"/>
    <n v="60"/>
    <s v="Female"/>
    <x v="8"/>
    <x v="0"/>
    <x v="0"/>
  </r>
  <r>
    <s v="TXN-20251773"/>
    <x v="4"/>
    <x v="1767"/>
    <x v="1"/>
    <n v="2396.35"/>
    <x v="0"/>
    <n v="53"/>
    <s v="Male"/>
    <x v="4"/>
    <x v="0"/>
    <x v="0"/>
  </r>
  <r>
    <s v="TXN-20251774"/>
    <x v="232"/>
    <x v="1768"/>
    <x v="0"/>
    <n v="1513.74"/>
    <x v="0"/>
    <n v="23"/>
    <s v="Female"/>
    <x v="0"/>
    <x v="1"/>
    <x v="0"/>
  </r>
  <r>
    <s v="TXN-20251775"/>
    <x v="291"/>
    <x v="1769"/>
    <x v="1"/>
    <n v="8411.4500000000007"/>
    <x v="0"/>
    <n v="32"/>
    <s v="Male"/>
    <x v="9"/>
    <x v="1"/>
    <x v="0"/>
  </r>
  <r>
    <s v="TXN-20251776"/>
    <x v="197"/>
    <x v="1770"/>
    <x v="2"/>
    <n v="13353.53"/>
    <x v="0"/>
    <n v="34"/>
    <s v="Male"/>
    <x v="6"/>
    <x v="0"/>
    <x v="3"/>
  </r>
  <r>
    <s v="TXN-20251777"/>
    <x v="86"/>
    <x v="1771"/>
    <x v="1"/>
    <n v="16867.150000000001"/>
    <x v="0"/>
    <n v="40"/>
    <s v="Male"/>
    <x v="4"/>
    <x v="2"/>
    <x v="2"/>
  </r>
  <r>
    <s v="TXN-20251778"/>
    <x v="218"/>
    <x v="1772"/>
    <x v="2"/>
    <n v="10747.07"/>
    <x v="0"/>
    <n v="25"/>
    <s v="Male"/>
    <x v="9"/>
    <x v="2"/>
    <x v="3"/>
  </r>
  <r>
    <s v="TXN-20251779"/>
    <x v="108"/>
    <x v="1773"/>
    <x v="1"/>
    <n v="6561.64"/>
    <x v="0"/>
    <n v="50"/>
    <s v="Female"/>
    <x v="9"/>
    <x v="2"/>
    <x v="0"/>
  </r>
  <r>
    <s v="TXN-20251780"/>
    <x v="318"/>
    <x v="1774"/>
    <x v="1"/>
    <n v="40446.120000000003"/>
    <x v="0"/>
    <n v="57"/>
    <s v="Female"/>
    <x v="0"/>
    <x v="1"/>
    <x v="2"/>
  </r>
  <r>
    <s v="TXN-20251781"/>
    <x v="46"/>
    <x v="1775"/>
    <x v="1"/>
    <n v="5497.05"/>
    <x v="0"/>
    <n v="20"/>
    <s v="Male"/>
    <x v="5"/>
    <x v="0"/>
    <x v="0"/>
  </r>
  <r>
    <s v="TXN-20251782"/>
    <x v="57"/>
    <x v="1776"/>
    <x v="0"/>
    <n v="6517.15"/>
    <x v="0"/>
    <n v="22"/>
    <s v="Female"/>
    <x v="4"/>
    <x v="3"/>
    <x v="0"/>
  </r>
  <r>
    <s v="TXN-20251783"/>
    <x v="115"/>
    <x v="1777"/>
    <x v="1"/>
    <n v="2601.06"/>
    <x v="1"/>
    <n v="60"/>
    <s v="Female"/>
    <x v="1"/>
    <x v="0"/>
    <x v="3"/>
  </r>
  <r>
    <s v="TXN-20251784"/>
    <x v="125"/>
    <x v="1778"/>
    <x v="0"/>
    <n v="1790.21"/>
    <x v="0"/>
    <n v="56"/>
    <s v="Female"/>
    <x v="7"/>
    <x v="2"/>
    <x v="3"/>
  </r>
  <r>
    <s v="TXN-20251785"/>
    <x v="9"/>
    <x v="1779"/>
    <x v="0"/>
    <n v="229.22"/>
    <x v="0"/>
    <n v="30"/>
    <s v="Female"/>
    <x v="6"/>
    <x v="3"/>
    <x v="0"/>
  </r>
  <r>
    <s v="TXN-20251786"/>
    <x v="289"/>
    <x v="1780"/>
    <x v="2"/>
    <n v="9104.1299999999992"/>
    <x v="0"/>
    <n v="27"/>
    <s v="Female"/>
    <x v="0"/>
    <x v="3"/>
    <x v="1"/>
  </r>
  <r>
    <s v="TXN-20251787"/>
    <x v="263"/>
    <x v="1781"/>
    <x v="1"/>
    <n v="4895.49"/>
    <x v="1"/>
    <n v="28"/>
    <s v="Female"/>
    <x v="4"/>
    <x v="0"/>
    <x v="2"/>
  </r>
  <r>
    <s v="TXN-20251788"/>
    <x v="18"/>
    <x v="1782"/>
    <x v="2"/>
    <n v="1056.99"/>
    <x v="0"/>
    <n v="33"/>
    <s v="Male"/>
    <x v="1"/>
    <x v="2"/>
    <x v="0"/>
  </r>
  <r>
    <s v="TXN-20251789"/>
    <x v="315"/>
    <x v="1783"/>
    <x v="1"/>
    <n v="21262.15"/>
    <x v="0"/>
    <n v="32"/>
    <s v="Female"/>
    <x v="4"/>
    <x v="0"/>
    <x v="0"/>
  </r>
  <r>
    <s v="TXN-20251790"/>
    <x v="261"/>
    <x v="1784"/>
    <x v="0"/>
    <n v="2454.0100000000002"/>
    <x v="0"/>
    <n v="24"/>
    <s v="Male"/>
    <x v="4"/>
    <x v="0"/>
    <x v="0"/>
  </r>
  <r>
    <s v="TXN-20251791"/>
    <x v="270"/>
    <x v="1785"/>
    <x v="3"/>
    <n v="888.64"/>
    <x v="0"/>
    <n v="43"/>
    <s v="Male"/>
    <x v="2"/>
    <x v="3"/>
    <x v="1"/>
  </r>
  <r>
    <s v="TXN-20251792"/>
    <x v="14"/>
    <x v="1786"/>
    <x v="4"/>
    <n v="20000"/>
    <x v="0"/>
    <n v="51"/>
    <s v="Female"/>
    <x v="2"/>
    <x v="1"/>
    <x v="0"/>
  </r>
  <r>
    <s v="TXN-20251793"/>
    <x v="98"/>
    <x v="1787"/>
    <x v="1"/>
    <n v="11402.17"/>
    <x v="0"/>
    <n v="29"/>
    <s v="Male"/>
    <x v="2"/>
    <x v="0"/>
    <x v="3"/>
  </r>
  <r>
    <s v="TXN-20251794"/>
    <x v="136"/>
    <x v="1788"/>
    <x v="0"/>
    <n v="613.76"/>
    <x v="0"/>
    <n v="31"/>
    <s v="Male"/>
    <x v="3"/>
    <x v="2"/>
    <x v="0"/>
  </r>
  <r>
    <s v="TXN-20251795"/>
    <x v="149"/>
    <x v="1789"/>
    <x v="3"/>
    <n v="1147.3800000000001"/>
    <x v="0"/>
    <n v="35"/>
    <s v="Male"/>
    <x v="4"/>
    <x v="2"/>
    <x v="3"/>
  </r>
  <r>
    <s v="TXN-20251796"/>
    <x v="223"/>
    <x v="1790"/>
    <x v="1"/>
    <n v="14083.03"/>
    <x v="1"/>
    <n v="49"/>
    <s v="Male"/>
    <x v="4"/>
    <x v="0"/>
    <x v="0"/>
  </r>
  <r>
    <s v="TXN-20251797"/>
    <x v="138"/>
    <x v="1791"/>
    <x v="1"/>
    <n v="6209.6"/>
    <x v="0"/>
    <n v="38"/>
    <s v="Male"/>
    <x v="4"/>
    <x v="0"/>
    <x v="0"/>
  </r>
  <r>
    <s v="TXN-20251798"/>
    <x v="220"/>
    <x v="1792"/>
    <x v="1"/>
    <n v="14492.63"/>
    <x v="1"/>
    <n v="33"/>
    <s v="Male"/>
    <x v="5"/>
    <x v="0"/>
    <x v="0"/>
  </r>
  <r>
    <s v="TXN-20251799"/>
    <x v="146"/>
    <x v="1793"/>
    <x v="3"/>
    <n v="28450.91"/>
    <x v="0"/>
    <n v="32"/>
    <s v="Male"/>
    <x v="4"/>
    <x v="0"/>
    <x v="0"/>
  </r>
  <r>
    <s v="TXN-20251800"/>
    <x v="80"/>
    <x v="1794"/>
    <x v="1"/>
    <n v="41913.919999999998"/>
    <x v="0"/>
    <n v="30"/>
    <s v="Male"/>
    <x v="0"/>
    <x v="0"/>
    <x v="0"/>
  </r>
  <r>
    <s v="TXN-20251801"/>
    <x v="9"/>
    <x v="1795"/>
    <x v="0"/>
    <n v="335.33"/>
    <x v="0"/>
    <n v="30"/>
    <s v="Female"/>
    <x v="6"/>
    <x v="3"/>
    <x v="3"/>
  </r>
  <r>
    <s v="TXN-20251802"/>
    <x v="14"/>
    <x v="1796"/>
    <x v="1"/>
    <n v="14509.79"/>
    <x v="0"/>
    <n v="51"/>
    <s v="Female"/>
    <x v="2"/>
    <x v="1"/>
    <x v="1"/>
  </r>
  <r>
    <s v="TXN-20251803"/>
    <x v="247"/>
    <x v="1797"/>
    <x v="1"/>
    <n v="35534.58"/>
    <x v="0"/>
    <n v="36"/>
    <s v="Female"/>
    <x v="5"/>
    <x v="2"/>
    <x v="0"/>
  </r>
  <r>
    <s v="TXN-20251804"/>
    <x v="152"/>
    <x v="1798"/>
    <x v="0"/>
    <n v="4326.09"/>
    <x v="1"/>
    <n v="39"/>
    <s v="Male"/>
    <x v="5"/>
    <x v="0"/>
    <x v="0"/>
  </r>
  <r>
    <s v="TXN-20251805"/>
    <x v="251"/>
    <x v="1799"/>
    <x v="2"/>
    <n v="2069.0700000000002"/>
    <x v="0"/>
    <n v="44"/>
    <s v="Male"/>
    <x v="1"/>
    <x v="0"/>
    <x v="3"/>
  </r>
  <r>
    <s v="TXN-20251806"/>
    <x v="327"/>
    <x v="1800"/>
    <x v="3"/>
    <n v="1093.6099999999999"/>
    <x v="0"/>
    <n v="40"/>
    <s v="Female"/>
    <x v="6"/>
    <x v="0"/>
    <x v="3"/>
  </r>
  <r>
    <s v="TXN-20251807"/>
    <x v="37"/>
    <x v="1801"/>
    <x v="0"/>
    <n v="264.92"/>
    <x v="0"/>
    <n v="60"/>
    <s v="Female"/>
    <x v="8"/>
    <x v="0"/>
    <x v="2"/>
  </r>
  <r>
    <s v="TXN-20251808"/>
    <x v="321"/>
    <x v="1802"/>
    <x v="0"/>
    <n v="1474.83"/>
    <x v="0"/>
    <n v="54"/>
    <s v="Female"/>
    <x v="9"/>
    <x v="3"/>
    <x v="0"/>
  </r>
  <r>
    <s v="TXN-20251809"/>
    <x v="182"/>
    <x v="1803"/>
    <x v="1"/>
    <n v="1182.81"/>
    <x v="0"/>
    <n v="50"/>
    <s v="Female"/>
    <x v="2"/>
    <x v="0"/>
    <x v="0"/>
  </r>
  <r>
    <s v="TXN-20251810"/>
    <x v="214"/>
    <x v="1804"/>
    <x v="2"/>
    <n v="5385.63"/>
    <x v="1"/>
    <n v="39"/>
    <s v="Male"/>
    <x v="6"/>
    <x v="0"/>
    <x v="0"/>
  </r>
  <r>
    <s v="TXN-20251811"/>
    <x v="218"/>
    <x v="1805"/>
    <x v="1"/>
    <n v="20043.990000000002"/>
    <x v="0"/>
    <n v="25"/>
    <s v="Male"/>
    <x v="9"/>
    <x v="2"/>
    <x v="2"/>
  </r>
  <r>
    <s v="TXN-20251812"/>
    <x v="347"/>
    <x v="1806"/>
    <x v="2"/>
    <n v="40586.07"/>
    <x v="0"/>
    <n v="41"/>
    <s v="Male"/>
    <x v="4"/>
    <x v="3"/>
    <x v="0"/>
  </r>
  <r>
    <s v="TXN-20251813"/>
    <x v="282"/>
    <x v="1807"/>
    <x v="1"/>
    <n v="3841.79"/>
    <x v="1"/>
    <n v="26"/>
    <s v="Male"/>
    <x v="4"/>
    <x v="0"/>
    <x v="0"/>
  </r>
  <r>
    <s v="TXN-20251814"/>
    <x v="314"/>
    <x v="1808"/>
    <x v="2"/>
    <n v="4358.62"/>
    <x v="0"/>
    <n v="36"/>
    <s v="Female"/>
    <x v="4"/>
    <x v="3"/>
    <x v="0"/>
  </r>
  <r>
    <s v="TXN-20251815"/>
    <x v="47"/>
    <x v="1809"/>
    <x v="1"/>
    <n v="7775.01"/>
    <x v="0"/>
    <n v="26"/>
    <s v="Male"/>
    <x v="2"/>
    <x v="2"/>
    <x v="2"/>
  </r>
  <r>
    <s v="TXN-20251816"/>
    <x v="163"/>
    <x v="1810"/>
    <x v="0"/>
    <n v="2939.38"/>
    <x v="0"/>
    <n v="31"/>
    <s v="Male"/>
    <x v="4"/>
    <x v="3"/>
    <x v="1"/>
  </r>
  <r>
    <s v="TXN-20251817"/>
    <x v="53"/>
    <x v="1811"/>
    <x v="1"/>
    <n v="25977.08"/>
    <x v="0"/>
    <n v="24"/>
    <s v="Male"/>
    <x v="7"/>
    <x v="0"/>
    <x v="3"/>
  </r>
  <r>
    <s v="TXN-20251818"/>
    <x v="114"/>
    <x v="1812"/>
    <x v="0"/>
    <n v="525.45000000000005"/>
    <x v="0"/>
    <n v="59"/>
    <s v="Male"/>
    <x v="4"/>
    <x v="0"/>
    <x v="1"/>
  </r>
  <r>
    <s v="TXN-20251819"/>
    <x v="159"/>
    <x v="1813"/>
    <x v="0"/>
    <n v="2591.38"/>
    <x v="0"/>
    <n v="52"/>
    <s v="Female"/>
    <x v="6"/>
    <x v="2"/>
    <x v="0"/>
  </r>
  <r>
    <s v="TXN-20251820"/>
    <x v="58"/>
    <x v="1814"/>
    <x v="1"/>
    <n v="55402.69"/>
    <x v="0"/>
    <n v="30"/>
    <s v="Female"/>
    <x v="4"/>
    <x v="1"/>
    <x v="1"/>
  </r>
  <r>
    <s v="TXN-20251821"/>
    <x v="95"/>
    <x v="1815"/>
    <x v="0"/>
    <n v="6674.38"/>
    <x v="0"/>
    <n v="49"/>
    <s v="Female"/>
    <x v="0"/>
    <x v="0"/>
    <x v="0"/>
  </r>
  <r>
    <s v="TXN-20251822"/>
    <x v="93"/>
    <x v="1816"/>
    <x v="3"/>
    <n v="10737.57"/>
    <x v="0"/>
    <n v="25"/>
    <s v="Male"/>
    <x v="4"/>
    <x v="3"/>
    <x v="0"/>
  </r>
  <r>
    <s v="TXN-20251823"/>
    <x v="128"/>
    <x v="1817"/>
    <x v="0"/>
    <n v="316.27999999999997"/>
    <x v="0"/>
    <n v="55"/>
    <s v="Male"/>
    <x v="4"/>
    <x v="2"/>
    <x v="0"/>
  </r>
  <r>
    <s v="TXN-20251824"/>
    <x v="331"/>
    <x v="1818"/>
    <x v="0"/>
    <n v="1470.74"/>
    <x v="0"/>
    <n v="29"/>
    <s v="Female"/>
    <x v="2"/>
    <x v="0"/>
    <x v="3"/>
  </r>
  <r>
    <s v="TXN-20251825"/>
    <x v="9"/>
    <x v="1819"/>
    <x v="3"/>
    <n v="25943.93"/>
    <x v="0"/>
    <n v="30"/>
    <s v="Female"/>
    <x v="6"/>
    <x v="3"/>
    <x v="0"/>
  </r>
  <r>
    <s v="TXN-20251826"/>
    <x v="333"/>
    <x v="1820"/>
    <x v="1"/>
    <n v="20800.29"/>
    <x v="0"/>
    <n v="60"/>
    <s v="Female"/>
    <x v="9"/>
    <x v="0"/>
    <x v="0"/>
  </r>
  <r>
    <s v="TXN-20251827"/>
    <x v="234"/>
    <x v="1821"/>
    <x v="3"/>
    <n v="23136.49"/>
    <x v="0"/>
    <n v="55"/>
    <s v="Male"/>
    <x v="3"/>
    <x v="1"/>
    <x v="0"/>
  </r>
  <r>
    <s v="TXN-20251828"/>
    <x v="103"/>
    <x v="1822"/>
    <x v="1"/>
    <n v="33057.919999999998"/>
    <x v="0"/>
    <n v="39"/>
    <s v="Male"/>
    <x v="1"/>
    <x v="0"/>
    <x v="2"/>
  </r>
  <r>
    <s v="TXN-20251829"/>
    <x v="164"/>
    <x v="1823"/>
    <x v="2"/>
    <n v="1681.11"/>
    <x v="0"/>
    <n v="28"/>
    <s v="Male"/>
    <x v="7"/>
    <x v="1"/>
    <x v="3"/>
  </r>
  <r>
    <s v="TXN-20251830"/>
    <x v="334"/>
    <x v="1824"/>
    <x v="1"/>
    <n v="3967.47"/>
    <x v="1"/>
    <n v="37"/>
    <s v="Male"/>
    <x v="3"/>
    <x v="2"/>
    <x v="0"/>
  </r>
  <r>
    <s v="TXN-20251831"/>
    <x v="275"/>
    <x v="1825"/>
    <x v="0"/>
    <n v="1038.23"/>
    <x v="0"/>
    <n v="39"/>
    <s v="Male"/>
    <x v="7"/>
    <x v="0"/>
    <x v="0"/>
  </r>
  <r>
    <s v="TXN-20251832"/>
    <x v="289"/>
    <x v="1826"/>
    <x v="0"/>
    <n v="3903.86"/>
    <x v="0"/>
    <n v="27"/>
    <s v="Female"/>
    <x v="0"/>
    <x v="3"/>
    <x v="1"/>
  </r>
  <r>
    <s v="TXN-20251833"/>
    <x v="283"/>
    <x v="1827"/>
    <x v="0"/>
    <n v="336.14"/>
    <x v="0"/>
    <n v="50"/>
    <s v="Male"/>
    <x v="8"/>
    <x v="2"/>
    <x v="0"/>
  </r>
  <r>
    <s v="TXN-20251834"/>
    <x v="107"/>
    <x v="1828"/>
    <x v="2"/>
    <n v="15599.27"/>
    <x v="0"/>
    <n v="36"/>
    <s v="Female"/>
    <x v="2"/>
    <x v="0"/>
    <x v="3"/>
  </r>
  <r>
    <s v="TXN-20251835"/>
    <x v="296"/>
    <x v="1829"/>
    <x v="0"/>
    <n v="940.58"/>
    <x v="0"/>
    <n v="51"/>
    <s v="Female"/>
    <x v="6"/>
    <x v="2"/>
    <x v="0"/>
  </r>
  <r>
    <s v="TXN-20251836"/>
    <x v="211"/>
    <x v="1830"/>
    <x v="2"/>
    <n v="1698.59"/>
    <x v="0"/>
    <n v="23"/>
    <s v="Male"/>
    <x v="2"/>
    <x v="0"/>
    <x v="3"/>
  </r>
  <r>
    <s v="TXN-20251837"/>
    <x v="6"/>
    <x v="1831"/>
    <x v="0"/>
    <n v="995.3"/>
    <x v="0"/>
    <n v="36"/>
    <s v="Female"/>
    <x v="4"/>
    <x v="0"/>
    <x v="3"/>
  </r>
  <r>
    <s v="TXN-20251838"/>
    <x v="271"/>
    <x v="1832"/>
    <x v="1"/>
    <n v="14000.56"/>
    <x v="0"/>
    <n v="28"/>
    <s v="Female"/>
    <x v="4"/>
    <x v="0"/>
    <x v="0"/>
  </r>
  <r>
    <s v="TXN-20251839"/>
    <x v="249"/>
    <x v="1833"/>
    <x v="2"/>
    <n v="7014.72"/>
    <x v="0"/>
    <n v="44"/>
    <s v="Female"/>
    <x v="9"/>
    <x v="1"/>
    <x v="2"/>
  </r>
  <r>
    <s v="TXN-20251840"/>
    <x v="20"/>
    <x v="1834"/>
    <x v="0"/>
    <n v="1535.91"/>
    <x v="0"/>
    <n v="34"/>
    <s v="Female"/>
    <x v="8"/>
    <x v="0"/>
    <x v="0"/>
  </r>
  <r>
    <s v="TXN-20251841"/>
    <x v="34"/>
    <x v="1835"/>
    <x v="1"/>
    <n v="5846.1"/>
    <x v="0"/>
    <n v="43"/>
    <s v="Female"/>
    <x v="1"/>
    <x v="2"/>
    <x v="1"/>
  </r>
  <r>
    <s v="TXN-20251842"/>
    <x v="313"/>
    <x v="1836"/>
    <x v="2"/>
    <n v="5290.86"/>
    <x v="0"/>
    <n v="33"/>
    <s v="Female"/>
    <x v="4"/>
    <x v="3"/>
    <x v="0"/>
  </r>
  <r>
    <s v="TXN-20251843"/>
    <x v="262"/>
    <x v="1837"/>
    <x v="1"/>
    <n v="8050.05"/>
    <x v="0"/>
    <n v="33"/>
    <s v="Male"/>
    <x v="4"/>
    <x v="1"/>
    <x v="0"/>
  </r>
  <r>
    <s v="TXN-20251844"/>
    <x v="22"/>
    <x v="1838"/>
    <x v="0"/>
    <n v="3242.02"/>
    <x v="0"/>
    <n v="20"/>
    <s v="Female"/>
    <x v="1"/>
    <x v="0"/>
    <x v="0"/>
  </r>
  <r>
    <s v="TXN-20251845"/>
    <x v="118"/>
    <x v="1839"/>
    <x v="3"/>
    <n v="31407.93"/>
    <x v="0"/>
    <n v="36"/>
    <s v="Male"/>
    <x v="4"/>
    <x v="0"/>
    <x v="0"/>
  </r>
  <r>
    <s v="TXN-20251846"/>
    <x v="6"/>
    <x v="1840"/>
    <x v="0"/>
    <n v="2453.87"/>
    <x v="1"/>
    <n v="36"/>
    <s v="Female"/>
    <x v="4"/>
    <x v="0"/>
    <x v="0"/>
  </r>
  <r>
    <s v="TXN-20251847"/>
    <x v="317"/>
    <x v="1841"/>
    <x v="1"/>
    <n v="31193.59"/>
    <x v="0"/>
    <n v="25"/>
    <s v="Female"/>
    <x v="4"/>
    <x v="0"/>
    <x v="3"/>
  </r>
  <r>
    <s v="TXN-20251848"/>
    <x v="275"/>
    <x v="1842"/>
    <x v="1"/>
    <n v="30201.279999999999"/>
    <x v="2"/>
    <n v="39"/>
    <s v="Male"/>
    <x v="7"/>
    <x v="0"/>
    <x v="0"/>
  </r>
  <r>
    <s v="TXN-20251849"/>
    <x v="158"/>
    <x v="1843"/>
    <x v="3"/>
    <n v="10086.92"/>
    <x v="0"/>
    <n v="35"/>
    <s v="Male"/>
    <x v="2"/>
    <x v="0"/>
    <x v="3"/>
  </r>
  <r>
    <s v="TXN-20251850"/>
    <x v="52"/>
    <x v="1844"/>
    <x v="0"/>
    <n v="379.5"/>
    <x v="1"/>
    <n v="49"/>
    <s v="Male"/>
    <x v="7"/>
    <x v="0"/>
    <x v="2"/>
  </r>
  <r>
    <s v="TXN-20251851"/>
    <x v="195"/>
    <x v="1845"/>
    <x v="1"/>
    <n v="13707.21"/>
    <x v="0"/>
    <n v="23"/>
    <s v="Female"/>
    <x v="0"/>
    <x v="2"/>
    <x v="0"/>
  </r>
  <r>
    <s v="TXN-20251852"/>
    <x v="232"/>
    <x v="1846"/>
    <x v="1"/>
    <n v="3006.19"/>
    <x v="0"/>
    <n v="23"/>
    <s v="Female"/>
    <x v="0"/>
    <x v="1"/>
    <x v="0"/>
  </r>
  <r>
    <s v="TXN-20251853"/>
    <x v="41"/>
    <x v="1847"/>
    <x v="1"/>
    <n v="15551.84"/>
    <x v="1"/>
    <n v="21"/>
    <s v="Female"/>
    <x v="0"/>
    <x v="0"/>
    <x v="2"/>
  </r>
  <r>
    <s v="TXN-20251854"/>
    <x v="109"/>
    <x v="1848"/>
    <x v="0"/>
    <n v="1866.05"/>
    <x v="0"/>
    <n v="42"/>
    <s v="Female"/>
    <x v="7"/>
    <x v="0"/>
    <x v="3"/>
  </r>
  <r>
    <s v="TXN-20251855"/>
    <x v="2"/>
    <x v="1849"/>
    <x v="0"/>
    <n v="3603.21"/>
    <x v="0"/>
    <n v="35"/>
    <s v="Male"/>
    <x v="2"/>
    <x v="0"/>
    <x v="2"/>
  </r>
  <r>
    <s v="TXN-20251856"/>
    <x v="161"/>
    <x v="1850"/>
    <x v="1"/>
    <n v="10558.39"/>
    <x v="0"/>
    <n v="53"/>
    <s v="Female"/>
    <x v="4"/>
    <x v="0"/>
    <x v="0"/>
  </r>
  <r>
    <s v="TXN-20251857"/>
    <x v="139"/>
    <x v="1851"/>
    <x v="4"/>
    <n v="2000"/>
    <x v="0"/>
    <n v="55"/>
    <s v="Female"/>
    <x v="9"/>
    <x v="2"/>
    <x v="2"/>
  </r>
  <r>
    <s v="TXN-20251858"/>
    <x v="228"/>
    <x v="1852"/>
    <x v="0"/>
    <n v="3476.08"/>
    <x v="0"/>
    <n v="47"/>
    <s v="Male"/>
    <x v="6"/>
    <x v="2"/>
    <x v="0"/>
  </r>
  <r>
    <s v="TXN-20251859"/>
    <x v="37"/>
    <x v="1853"/>
    <x v="2"/>
    <n v="6837.39"/>
    <x v="0"/>
    <n v="60"/>
    <s v="Female"/>
    <x v="8"/>
    <x v="0"/>
    <x v="3"/>
  </r>
  <r>
    <s v="TXN-20251860"/>
    <x v="117"/>
    <x v="1854"/>
    <x v="2"/>
    <n v="908.78"/>
    <x v="0"/>
    <n v="39"/>
    <s v="Male"/>
    <x v="2"/>
    <x v="0"/>
    <x v="2"/>
  </r>
  <r>
    <s v="TXN-20251861"/>
    <x v="144"/>
    <x v="1855"/>
    <x v="1"/>
    <n v="8839.68"/>
    <x v="0"/>
    <n v="40"/>
    <s v="Male"/>
    <x v="4"/>
    <x v="0"/>
    <x v="0"/>
  </r>
  <r>
    <s v="TXN-20251862"/>
    <x v="121"/>
    <x v="1856"/>
    <x v="2"/>
    <n v="3291.08"/>
    <x v="0"/>
    <n v="49"/>
    <s v="Male"/>
    <x v="7"/>
    <x v="0"/>
    <x v="3"/>
  </r>
  <r>
    <s v="TXN-20251863"/>
    <x v="272"/>
    <x v="1857"/>
    <x v="0"/>
    <n v="1260.1199999999999"/>
    <x v="0"/>
    <n v="37"/>
    <s v="Male"/>
    <x v="8"/>
    <x v="0"/>
    <x v="3"/>
  </r>
  <r>
    <s v="TXN-20251864"/>
    <x v="118"/>
    <x v="1858"/>
    <x v="2"/>
    <n v="7902.06"/>
    <x v="0"/>
    <n v="36"/>
    <s v="Male"/>
    <x v="4"/>
    <x v="0"/>
    <x v="0"/>
  </r>
  <r>
    <s v="TXN-20251865"/>
    <x v="16"/>
    <x v="1859"/>
    <x v="1"/>
    <n v="145483.07"/>
    <x v="0"/>
    <n v="42"/>
    <s v="Male"/>
    <x v="4"/>
    <x v="1"/>
    <x v="1"/>
  </r>
  <r>
    <s v="TXN-20251866"/>
    <x v="58"/>
    <x v="1860"/>
    <x v="0"/>
    <n v="512.38"/>
    <x v="0"/>
    <n v="30"/>
    <s v="Female"/>
    <x v="4"/>
    <x v="1"/>
    <x v="0"/>
  </r>
  <r>
    <s v="TXN-20251867"/>
    <x v="81"/>
    <x v="1861"/>
    <x v="1"/>
    <n v="4895.34"/>
    <x v="0"/>
    <n v="50"/>
    <s v="Female"/>
    <x v="2"/>
    <x v="2"/>
    <x v="0"/>
  </r>
  <r>
    <s v="TXN-20251868"/>
    <x v="124"/>
    <x v="1862"/>
    <x v="2"/>
    <n v="12327.21"/>
    <x v="0"/>
    <n v="51"/>
    <s v="Female"/>
    <x v="2"/>
    <x v="2"/>
    <x v="0"/>
  </r>
  <r>
    <s v="TXN-20251869"/>
    <x v="42"/>
    <x v="1863"/>
    <x v="1"/>
    <n v="20189.96"/>
    <x v="0"/>
    <n v="39"/>
    <s v="Male"/>
    <x v="0"/>
    <x v="3"/>
    <x v="0"/>
  </r>
  <r>
    <s v="TXN-20251870"/>
    <x v="116"/>
    <x v="1864"/>
    <x v="0"/>
    <n v="653.41999999999996"/>
    <x v="0"/>
    <n v="32"/>
    <s v="Female"/>
    <x v="6"/>
    <x v="0"/>
    <x v="2"/>
  </r>
  <r>
    <s v="TXN-20251871"/>
    <x v="15"/>
    <x v="1865"/>
    <x v="0"/>
    <n v="781.39"/>
    <x v="0"/>
    <n v="29"/>
    <s v="Male"/>
    <x v="4"/>
    <x v="1"/>
    <x v="2"/>
  </r>
  <r>
    <s v="TXN-20251872"/>
    <x v="299"/>
    <x v="70"/>
    <x v="0"/>
    <n v="519.42999999999995"/>
    <x v="0"/>
    <n v="43"/>
    <s v="Male"/>
    <x v="8"/>
    <x v="0"/>
    <x v="1"/>
  </r>
  <r>
    <s v="TXN-20251873"/>
    <x v="106"/>
    <x v="1866"/>
    <x v="0"/>
    <n v="476.63"/>
    <x v="0"/>
    <n v="47"/>
    <s v="Female"/>
    <x v="9"/>
    <x v="1"/>
    <x v="0"/>
  </r>
  <r>
    <s v="TXN-20251874"/>
    <x v="138"/>
    <x v="1867"/>
    <x v="4"/>
    <n v="40000"/>
    <x v="0"/>
    <n v="38"/>
    <s v="Male"/>
    <x v="4"/>
    <x v="0"/>
    <x v="0"/>
  </r>
  <r>
    <s v="TXN-20251875"/>
    <x v="117"/>
    <x v="1868"/>
    <x v="2"/>
    <n v="3107.32"/>
    <x v="0"/>
    <n v="39"/>
    <s v="Male"/>
    <x v="2"/>
    <x v="0"/>
    <x v="0"/>
  </r>
  <r>
    <s v="TXN-20251876"/>
    <x v="75"/>
    <x v="1869"/>
    <x v="1"/>
    <n v="8639.3700000000008"/>
    <x v="0"/>
    <n v="40"/>
    <s v="Female"/>
    <x v="4"/>
    <x v="2"/>
    <x v="2"/>
  </r>
  <r>
    <s v="TXN-20251877"/>
    <x v="331"/>
    <x v="1870"/>
    <x v="3"/>
    <n v="5819.22"/>
    <x v="0"/>
    <n v="29"/>
    <s v="Female"/>
    <x v="2"/>
    <x v="0"/>
    <x v="1"/>
  </r>
  <r>
    <s v="TXN-20251878"/>
    <x v="120"/>
    <x v="1871"/>
    <x v="2"/>
    <n v="1955.39"/>
    <x v="1"/>
    <n v="27"/>
    <s v="Male"/>
    <x v="4"/>
    <x v="2"/>
    <x v="2"/>
  </r>
  <r>
    <s v="TXN-20251879"/>
    <x v="37"/>
    <x v="1872"/>
    <x v="1"/>
    <n v="18157.349999999999"/>
    <x v="0"/>
    <n v="60"/>
    <s v="Female"/>
    <x v="8"/>
    <x v="0"/>
    <x v="0"/>
  </r>
  <r>
    <s v="TXN-20251880"/>
    <x v="158"/>
    <x v="1873"/>
    <x v="2"/>
    <n v="11098.01"/>
    <x v="0"/>
    <n v="35"/>
    <s v="Male"/>
    <x v="2"/>
    <x v="0"/>
    <x v="0"/>
  </r>
  <r>
    <s v="TXN-20251881"/>
    <x v="317"/>
    <x v="1874"/>
    <x v="0"/>
    <n v="1938.34"/>
    <x v="0"/>
    <n v="25"/>
    <s v="Female"/>
    <x v="4"/>
    <x v="0"/>
    <x v="3"/>
  </r>
  <r>
    <s v="TXN-20251882"/>
    <x v="89"/>
    <x v="1875"/>
    <x v="1"/>
    <n v="6329.87"/>
    <x v="0"/>
    <n v="35"/>
    <s v="Male"/>
    <x v="4"/>
    <x v="0"/>
    <x v="0"/>
  </r>
  <r>
    <s v="TXN-20251883"/>
    <x v="157"/>
    <x v="1876"/>
    <x v="3"/>
    <n v="3051.5"/>
    <x v="0"/>
    <n v="31"/>
    <s v="Male"/>
    <x v="4"/>
    <x v="0"/>
    <x v="0"/>
  </r>
  <r>
    <s v="TXN-20251884"/>
    <x v="241"/>
    <x v="1877"/>
    <x v="0"/>
    <n v="521.53"/>
    <x v="0"/>
    <n v="44"/>
    <s v="Male"/>
    <x v="4"/>
    <x v="1"/>
    <x v="0"/>
  </r>
  <r>
    <s v="TXN-20251885"/>
    <x v="126"/>
    <x v="1878"/>
    <x v="1"/>
    <n v="17091.2"/>
    <x v="2"/>
    <n v="24"/>
    <s v="Male"/>
    <x v="6"/>
    <x v="0"/>
    <x v="0"/>
  </r>
  <r>
    <s v="TXN-20251886"/>
    <x v="18"/>
    <x v="1879"/>
    <x v="2"/>
    <n v="1649.96"/>
    <x v="0"/>
    <n v="33"/>
    <s v="Male"/>
    <x v="1"/>
    <x v="2"/>
    <x v="0"/>
  </r>
  <r>
    <s v="TXN-20251887"/>
    <x v="79"/>
    <x v="1880"/>
    <x v="1"/>
    <n v="66451.350000000006"/>
    <x v="0"/>
    <n v="50"/>
    <s v="Male"/>
    <x v="7"/>
    <x v="1"/>
    <x v="1"/>
  </r>
  <r>
    <s v="TXN-20251888"/>
    <x v="199"/>
    <x v="1881"/>
    <x v="1"/>
    <n v="53620.32"/>
    <x v="0"/>
    <n v="42"/>
    <s v="Male"/>
    <x v="4"/>
    <x v="3"/>
    <x v="0"/>
  </r>
  <r>
    <s v="TXN-20251889"/>
    <x v="137"/>
    <x v="1882"/>
    <x v="1"/>
    <n v="7916.44"/>
    <x v="0"/>
    <n v="25"/>
    <s v="Male"/>
    <x v="7"/>
    <x v="2"/>
    <x v="0"/>
  </r>
  <r>
    <s v="TXN-20251890"/>
    <x v="334"/>
    <x v="1883"/>
    <x v="1"/>
    <n v="16955.349999999999"/>
    <x v="0"/>
    <n v="37"/>
    <s v="Male"/>
    <x v="3"/>
    <x v="2"/>
    <x v="1"/>
  </r>
  <r>
    <s v="TXN-20251891"/>
    <x v="317"/>
    <x v="1884"/>
    <x v="0"/>
    <n v="1127.1199999999999"/>
    <x v="0"/>
    <n v="25"/>
    <s v="Female"/>
    <x v="4"/>
    <x v="0"/>
    <x v="3"/>
  </r>
  <r>
    <s v="TXN-20251892"/>
    <x v="122"/>
    <x v="1885"/>
    <x v="1"/>
    <n v="30657.29"/>
    <x v="0"/>
    <n v="45"/>
    <s v="Female"/>
    <x v="6"/>
    <x v="0"/>
    <x v="1"/>
  </r>
  <r>
    <s v="TXN-20251893"/>
    <x v="65"/>
    <x v="1886"/>
    <x v="0"/>
    <n v="875.17"/>
    <x v="0"/>
    <n v="24"/>
    <s v="Male"/>
    <x v="3"/>
    <x v="2"/>
    <x v="1"/>
  </r>
  <r>
    <s v="TXN-20251894"/>
    <x v="130"/>
    <x v="1887"/>
    <x v="1"/>
    <n v="52553.57"/>
    <x v="1"/>
    <n v="48"/>
    <s v="Male"/>
    <x v="4"/>
    <x v="0"/>
    <x v="0"/>
  </r>
  <r>
    <s v="TXN-20251895"/>
    <x v="165"/>
    <x v="1888"/>
    <x v="4"/>
    <n v="40000"/>
    <x v="0"/>
    <n v="25"/>
    <s v="Male"/>
    <x v="6"/>
    <x v="1"/>
    <x v="0"/>
  </r>
  <r>
    <s v="TXN-20251896"/>
    <x v="227"/>
    <x v="1889"/>
    <x v="1"/>
    <n v="19472.68"/>
    <x v="1"/>
    <n v="51"/>
    <s v="Male"/>
    <x v="4"/>
    <x v="0"/>
    <x v="2"/>
  </r>
  <r>
    <s v="TXN-20251897"/>
    <x v="251"/>
    <x v="1890"/>
    <x v="2"/>
    <n v="2760.5"/>
    <x v="0"/>
    <n v="44"/>
    <s v="Male"/>
    <x v="1"/>
    <x v="0"/>
    <x v="3"/>
  </r>
  <r>
    <s v="TXN-20251898"/>
    <x v="11"/>
    <x v="1891"/>
    <x v="1"/>
    <n v="20529.39"/>
    <x v="0"/>
    <n v="64"/>
    <s v="Female"/>
    <x v="3"/>
    <x v="2"/>
    <x v="0"/>
  </r>
  <r>
    <s v="TXN-20251899"/>
    <x v="263"/>
    <x v="1892"/>
    <x v="1"/>
    <n v="2736.04"/>
    <x v="0"/>
    <n v="28"/>
    <s v="Female"/>
    <x v="4"/>
    <x v="0"/>
    <x v="0"/>
  </r>
  <r>
    <s v="TXN-20251900"/>
    <x v="121"/>
    <x v="1893"/>
    <x v="0"/>
    <n v="2293.4899999999998"/>
    <x v="0"/>
    <n v="49"/>
    <s v="Male"/>
    <x v="7"/>
    <x v="0"/>
    <x v="0"/>
  </r>
  <r>
    <s v="TXN-20251901"/>
    <x v="137"/>
    <x v="1894"/>
    <x v="0"/>
    <n v="865.01"/>
    <x v="2"/>
    <n v="25"/>
    <s v="Male"/>
    <x v="7"/>
    <x v="2"/>
    <x v="0"/>
  </r>
  <r>
    <s v="TXN-20251902"/>
    <x v="249"/>
    <x v="1895"/>
    <x v="1"/>
    <n v="72149.83"/>
    <x v="0"/>
    <n v="44"/>
    <s v="Female"/>
    <x v="9"/>
    <x v="1"/>
    <x v="0"/>
  </r>
  <r>
    <s v="TXN-20251903"/>
    <x v="234"/>
    <x v="1896"/>
    <x v="1"/>
    <n v="19895.2"/>
    <x v="0"/>
    <n v="55"/>
    <s v="Male"/>
    <x v="3"/>
    <x v="1"/>
    <x v="0"/>
  </r>
  <r>
    <s v="TXN-20251904"/>
    <x v="31"/>
    <x v="1897"/>
    <x v="1"/>
    <n v="3974.25"/>
    <x v="0"/>
    <n v="45"/>
    <s v="Female"/>
    <x v="4"/>
    <x v="0"/>
    <x v="2"/>
  </r>
  <r>
    <s v="TXN-20251905"/>
    <x v="9"/>
    <x v="1898"/>
    <x v="0"/>
    <n v="1042.92"/>
    <x v="0"/>
    <n v="30"/>
    <s v="Female"/>
    <x v="6"/>
    <x v="3"/>
    <x v="0"/>
  </r>
  <r>
    <s v="TXN-20251906"/>
    <x v="329"/>
    <x v="1899"/>
    <x v="1"/>
    <n v="50050.32"/>
    <x v="0"/>
    <n v="38"/>
    <s v="Male"/>
    <x v="1"/>
    <x v="0"/>
    <x v="2"/>
  </r>
  <r>
    <s v="TXN-20251907"/>
    <x v="323"/>
    <x v="1900"/>
    <x v="1"/>
    <n v="20602.03"/>
    <x v="0"/>
    <n v="21"/>
    <s v="Female"/>
    <x v="4"/>
    <x v="1"/>
    <x v="1"/>
  </r>
  <r>
    <s v="TXN-20251908"/>
    <x v="329"/>
    <x v="1901"/>
    <x v="1"/>
    <n v="66146.490000000005"/>
    <x v="0"/>
    <n v="38"/>
    <s v="Male"/>
    <x v="1"/>
    <x v="0"/>
    <x v="0"/>
  </r>
  <r>
    <s v="TXN-20251909"/>
    <x v="119"/>
    <x v="1902"/>
    <x v="2"/>
    <n v="13675.78"/>
    <x v="0"/>
    <n v="31"/>
    <s v="Male"/>
    <x v="4"/>
    <x v="3"/>
    <x v="0"/>
  </r>
  <r>
    <s v="TXN-20251910"/>
    <x v="5"/>
    <x v="1903"/>
    <x v="0"/>
    <n v="2615.2399999999998"/>
    <x v="0"/>
    <n v="29"/>
    <s v="Male"/>
    <x v="2"/>
    <x v="0"/>
    <x v="0"/>
  </r>
  <r>
    <s v="TXN-20251911"/>
    <x v="314"/>
    <x v="1904"/>
    <x v="0"/>
    <n v="230.32"/>
    <x v="0"/>
    <n v="36"/>
    <s v="Female"/>
    <x v="4"/>
    <x v="3"/>
    <x v="3"/>
  </r>
  <r>
    <s v="TXN-20251912"/>
    <x v="271"/>
    <x v="1905"/>
    <x v="0"/>
    <n v="551.51"/>
    <x v="1"/>
    <n v="28"/>
    <s v="Female"/>
    <x v="4"/>
    <x v="0"/>
    <x v="1"/>
  </r>
  <r>
    <s v="TXN-20251913"/>
    <x v="321"/>
    <x v="1906"/>
    <x v="3"/>
    <n v="1056.17"/>
    <x v="0"/>
    <n v="54"/>
    <s v="Female"/>
    <x v="9"/>
    <x v="3"/>
    <x v="1"/>
  </r>
  <r>
    <s v="TXN-20251914"/>
    <x v="82"/>
    <x v="1907"/>
    <x v="1"/>
    <n v="90775.360000000001"/>
    <x v="1"/>
    <n v="28"/>
    <s v="Male"/>
    <x v="3"/>
    <x v="0"/>
    <x v="0"/>
  </r>
  <r>
    <s v="TXN-20251915"/>
    <x v="32"/>
    <x v="1908"/>
    <x v="1"/>
    <n v="77446.789999999994"/>
    <x v="0"/>
    <n v="43"/>
    <s v="Female"/>
    <x v="4"/>
    <x v="0"/>
    <x v="0"/>
  </r>
  <r>
    <s v="TXN-20251916"/>
    <x v="332"/>
    <x v="1909"/>
    <x v="3"/>
    <n v="502.34"/>
    <x v="0"/>
    <n v="53"/>
    <s v="Female"/>
    <x v="0"/>
    <x v="2"/>
    <x v="3"/>
  </r>
  <r>
    <s v="TXN-20251917"/>
    <x v="26"/>
    <x v="1910"/>
    <x v="0"/>
    <n v="374.87"/>
    <x v="0"/>
    <n v="22"/>
    <s v="Female"/>
    <x v="6"/>
    <x v="2"/>
    <x v="1"/>
  </r>
  <r>
    <s v="TXN-20251918"/>
    <x v="131"/>
    <x v="1911"/>
    <x v="0"/>
    <n v="601.34"/>
    <x v="1"/>
    <n v="48"/>
    <s v="Male"/>
    <x v="4"/>
    <x v="0"/>
    <x v="0"/>
  </r>
  <r>
    <s v="TXN-20251919"/>
    <x v="97"/>
    <x v="1912"/>
    <x v="1"/>
    <n v="8245.6"/>
    <x v="0"/>
    <n v="35"/>
    <s v="Male"/>
    <x v="2"/>
    <x v="0"/>
    <x v="0"/>
  </r>
  <r>
    <s v="TXN-20251920"/>
    <x v="120"/>
    <x v="1913"/>
    <x v="1"/>
    <n v="73544.17"/>
    <x v="0"/>
    <n v="27"/>
    <s v="Male"/>
    <x v="4"/>
    <x v="2"/>
    <x v="3"/>
  </r>
  <r>
    <s v="TXN-20251921"/>
    <x v="329"/>
    <x v="1914"/>
    <x v="2"/>
    <n v="961.25"/>
    <x v="0"/>
    <n v="38"/>
    <s v="Male"/>
    <x v="1"/>
    <x v="0"/>
    <x v="0"/>
  </r>
  <r>
    <s v="TXN-20251922"/>
    <x v="160"/>
    <x v="1915"/>
    <x v="0"/>
    <n v="1722.26"/>
    <x v="0"/>
    <n v="24"/>
    <s v="Male"/>
    <x v="1"/>
    <x v="0"/>
    <x v="3"/>
  </r>
  <r>
    <s v="TXN-20251923"/>
    <x v="110"/>
    <x v="1916"/>
    <x v="0"/>
    <n v="2278.2399999999998"/>
    <x v="0"/>
    <n v="29"/>
    <s v="Male"/>
    <x v="4"/>
    <x v="2"/>
    <x v="3"/>
  </r>
  <r>
    <s v="TXN-20251924"/>
    <x v="337"/>
    <x v="1917"/>
    <x v="0"/>
    <n v="1127.72"/>
    <x v="0"/>
    <n v="37"/>
    <s v="Female"/>
    <x v="9"/>
    <x v="2"/>
    <x v="1"/>
  </r>
  <r>
    <s v="TXN-20251925"/>
    <x v="174"/>
    <x v="1918"/>
    <x v="1"/>
    <n v="27681.39"/>
    <x v="0"/>
    <n v="27"/>
    <s v="Male"/>
    <x v="4"/>
    <x v="0"/>
    <x v="0"/>
  </r>
  <r>
    <s v="TXN-20251926"/>
    <x v="68"/>
    <x v="1919"/>
    <x v="1"/>
    <n v="3459.12"/>
    <x v="0"/>
    <n v="34"/>
    <s v="Male"/>
    <x v="6"/>
    <x v="0"/>
    <x v="3"/>
  </r>
  <r>
    <s v="TXN-20251927"/>
    <x v="33"/>
    <x v="1920"/>
    <x v="0"/>
    <n v="1485.44"/>
    <x v="0"/>
    <n v="42"/>
    <s v="Male"/>
    <x v="4"/>
    <x v="2"/>
    <x v="2"/>
  </r>
  <r>
    <s v="TXN-20251928"/>
    <x v="289"/>
    <x v="1921"/>
    <x v="0"/>
    <n v="623.22"/>
    <x v="2"/>
    <n v="27"/>
    <s v="Female"/>
    <x v="0"/>
    <x v="3"/>
    <x v="3"/>
  </r>
  <r>
    <s v="TXN-20251929"/>
    <x v="324"/>
    <x v="1922"/>
    <x v="1"/>
    <n v="74517.039999999994"/>
    <x v="1"/>
    <n v="32"/>
    <s v="Male"/>
    <x v="9"/>
    <x v="0"/>
    <x v="3"/>
  </r>
  <r>
    <s v="TXN-20251930"/>
    <x v="77"/>
    <x v="1923"/>
    <x v="1"/>
    <n v="5307.57"/>
    <x v="0"/>
    <n v="37"/>
    <s v="Female"/>
    <x v="6"/>
    <x v="1"/>
    <x v="2"/>
  </r>
  <r>
    <s v="TXN-20251931"/>
    <x v="325"/>
    <x v="1924"/>
    <x v="1"/>
    <n v="5967.17"/>
    <x v="0"/>
    <n v="32"/>
    <s v="Male"/>
    <x v="4"/>
    <x v="1"/>
    <x v="0"/>
  </r>
  <r>
    <s v="TXN-20251932"/>
    <x v="11"/>
    <x v="1925"/>
    <x v="3"/>
    <n v="6664.03"/>
    <x v="0"/>
    <n v="64"/>
    <s v="Female"/>
    <x v="3"/>
    <x v="2"/>
    <x v="3"/>
  </r>
  <r>
    <s v="TXN-20251933"/>
    <x v="54"/>
    <x v="1926"/>
    <x v="1"/>
    <n v="54943.040000000001"/>
    <x v="1"/>
    <n v="56"/>
    <s v="Female"/>
    <x v="5"/>
    <x v="0"/>
    <x v="3"/>
  </r>
  <r>
    <s v="TXN-20251934"/>
    <x v="241"/>
    <x v="1927"/>
    <x v="2"/>
    <n v="31500.03"/>
    <x v="0"/>
    <n v="44"/>
    <s v="Male"/>
    <x v="4"/>
    <x v="1"/>
    <x v="0"/>
  </r>
  <r>
    <s v="TXN-20251935"/>
    <x v="324"/>
    <x v="1928"/>
    <x v="1"/>
    <n v="3939.78"/>
    <x v="0"/>
    <n v="32"/>
    <s v="Male"/>
    <x v="9"/>
    <x v="0"/>
    <x v="1"/>
  </r>
  <r>
    <s v="TXN-20251936"/>
    <x v="120"/>
    <x v="1929"/>
    <x v="3"/>
    <n v="1492.11"/>
    <x v="0"/>
    <n v="27"/>
    <s v="Male"/>
    <x v="4"/>
    <x v="2"/>
    <x v="3"/>
  </r>
  <r>
    <s v="TXN-20251937"/>
    <x v="28"/>
    <x v="1930"/>
    <x v="0"/>
    <n v="1947.52"/>
    <x v="0"/>
    <n v="36"/>
    <s v="Male"/>
    <x v="9"/>
    <x v="0"/>
    <x v="3"/>
  </r>
  <r>
    <s v="TXN-20251938"/>
    <x v="3"/>
    <x v="1931"/>
    <x v="1"/>
    <n v="7314.48"/>
    <x v="0"/>
    <n v="35"/>
    <s v="Female"/>
    <x v="3"/>
    <x v="0"/>
    <x v="0"/>
  </r>
  <r>
    <s v="TXN-20251939"/>
    <x v="63"/>
    <x v="1932"/>
    <x v="1"/>
    <n v="30095.13"/>
    <x v="0"/>
    <n v="33"/>
    <s v="Female"/>
    <x v="4"/>
    <x v="0"/>
    <x v="3"/>
  </r>
  <r>
    <s v="TXN-20251940"/>
    <x v="4"/>
    <x v="1933"/>
    <x v="3"/>
    <n v="5061.6499999999996"/>
    <x v="0"/>
    <n v="53"/>
    <s v="Male"/>
    <x v="4"/>
    <x v="0"/>
    <x v="0"/>
  </r>
  <r>
    <s v="TXN-20251941"/>
    <x v="30"/>
    <x v="1934"/>
    <x v="1"/>
    <n v="6027.63"/>
    <x v="0"/>
    <n v="36"/>
    <s v="Male"/>
    <x v="3"/>
    <x v="0"/>
    <x v="0"/>
  </r>
  <r>
    <s v="TXN-20251942"/>
    <x v="143"/>
    <x v="1935"/>
    <x v="2"/>
    <n v="1087.6199999999999"/>
    <x v="0"/>
    <n v="57"/>
    <s v="Male"/>
    <x v="0"/>
    <x v="1"/>
    <x v="0"/>
  </r>
  <r>
    <s v="TXN-20251943"/>
    <x v="258"/>
    <x v="1936"/>
    <x v="1"/>
    <n v="45167.87"/>
    <x v="1"/>
    <n v="31"/>
    <s v="Male"/>
    <x v="4"/>
    <x v="3"/>
    <x v="0"/>
  </r>
  <r>
    <s v="TXN-20251944"/>
    <x v="250"/>
    <x v="1937"/>
    <x v="0"/>
    <n v="3330.4"/>
    <x v="0"/>
    <n v="38"/>
    <s v="Female"/>
    <x v="9"/>
    <x v="0"/>
    <x v="0"/>
  </r>
  <r>
    <s v="TXN-20251945"/>
    <x v="74"/>
    <x v="1938"/>
    <x v="1"/>
    <n v="5591.02"/>
    <x v="0"/>
    <n v="31"/>
    <s v="Female"/>
    <x v="0"/>
    <x v="0"/>
    <x v="1"/>
  </r>
  <r>
    <s v="TXN-20251946"/>
    <x v="147"/>
    <x v="1939"/>
    <x v="1"/>
    <n v="18227.02"/>
    <x v="0"/>
    <n v="28"/>
    <s v="Male"/>
    <x v="4"/>
    <x v="2"/>
    <x v="0"/>
  </r>
  <r>
    <s v="TXN-20251947"/>
    <x v="203"/>
    <x v="1940"/>
    <x v="0"/>
    <n v="3314.87"/>
    <x v="0"/>
    <n v="28"/>
    <s v="Male"/>
    <x v="4"/>
    <x v="2"/>
    <x v="0"/>
  </r>
  <r>
    <s v="TXN-20251948"/>
    <x v="226"/>
    <x v="1941"/>
    <x v="1"/>
    <n v="44433.13"/>
    <x v="0"/>
    <n v="22"/>
    <s v="Male"/>
    <x v="4"/>
    <x v="1"/>
    <x v="1"/>
  </r>
  <r>
    <s v="TXN-20251949"/>
    <x v="25"/>
    <x v="1942"/>
    <x v="1"/>
    <n v="162610.51999999999"/>
    <x v="0"/>
    <n v="25"/>
    <s v="Female"/>
    <x v="4"/>
    <x v="2"/>
    <x v="3"/>
  </r>
  <r>
    <s v="TXN-20251950"/>
    <x v="166"/>
    <x v="1943"/>
    <x v="1"/>
    <n v="17181.66"/>
    <x v="0"/>
    <n v="30"/>
    <s v="Female"/>
    <x v="1"/>
    <x v="2"/>
    <x v="1"/>
  </r>
  <r>
    <s v="TXN-20251951"/>
    <x v="145"/>
    <x v="1944"/>
    <x v="1"/>
    <n v="18400.79"/>
    <x v="0"/>
    <n v="25"/>
    <s v="Female"/>
    <x v="4"/>
    <x v="1"/>
    <x v="3"/>
  </r>
  <r>
    <s v="TXN-20251952"/>
    <x v="168"/>
    <x v="1945"/>
    <x v="1"/>
    <n v="44910.75"/>
    <x v="0"/>
    <n v="28"/>
    <s v="Female"/>
    <x v="4"/>
    <x v="1"/>
    <x v="3"/>
  </r>
  <r>
    <s v="TXN-20251953"/>
    <x v="307"/>
    <x v="1946"/>
    <x v="1"/>
    <n v="77515.08"/>
    <x v="0"/>
    <n v="40"/>
    <s v="Male"/>
    <x v="4"/>
    <x v="3"/>
    <x v="2"/>
  </r>
  <r>
    <s v="TXN-20251954"/>
    <x v="193"/>
    <x v="1947"/>
    <x v="3"/>
    <n v="676.46"/>
    <x v="0"/>
    <n v="26"/>
    <s v="Male"/>
    <x v="4"/>
    <x v="0"/>
    <x v="2"/>
  </r>
  <r>
    <s v="TXN-20251955"/>
    <x v="213"/>
    <x v="1948"/>
    <x v="1"/>
    <n v="1446.77"/>
    <x v="0"/>
    <n v="46"/>
    <s v="Male"/>
    <x v="2"/>
    <x v="1"/>
    <x v="3"/>
  </r>
  <r>
    <s v="TXN-20251956"/>
    <x v="266"/>
    <x v="1949"/>
    <x v="0"/>
    <n v="601.1"/>
    <x v="0"/>
    <n v="35"/>
    <s v="Female"/>
    <x v="1"/>
    <x v="3"/>
    <x v="3"/>
  </r>
  <r>
    <s v="TXN-20251957"/>
    <x v="10"/>
    <x v="1950"/>
    <x v="0"/>
    <n v="6128.24"/>
    <x v="0"/>
    <n v="60"/>
    <s v="Female"/>
    <x v="4"/>
    <x v="2"/>
    <x v="1"/>
  </r>
  <r>
    <s v="TXN-20251958"/>
    <x v="89"/>
    <x v="1951"/>
    <x v="4"/>
    <n v="2000"/>
    <x v="0"/>
    <n v="35"/>
    <s v="Male"/>
    <x v="4"/>
    <x v="0"/>
    <x v="0"/>
  </r>
  <r>
    <s v="TXN-20251959"/>
    <x v="34"/>
    <x v="1952"/>
    <x v="2"/>
    <n v="7143.46"/>
    <x v="0"/>
    <n v="43"/>
    <s v="Female"/>
    <x v="1"/>
    <x v="2"/>
    <x v="3"/>
  </r>
  <r>
    <s v="TXN-20251960"/>
    <x v="275"/>
    <x v="1953"/>
    <x v="3"/>
    <n v="13047.97"/>
    <x v="0"/>
    <n v="39"/>
    <s v="Male"/>
    <x v="7"/>
    <x v="0"/>
    <x v="1"/>
  </r>
  <r>
    <s v="TXN-20251961"/>
    <x v="14"/>
    <x v="1954"/>
    <x v="0"/>
    <n v="5621.17"/>
    <x v="0"/>
    <n v="51"/>
    <s v="Female"/>
    <x v="2"/>
    <x v="1"/>
    <x v="0"/>
  </r>
  <r>
    <s v="TXN-20251962"/>
    <x v="111"/>
    <x v="1955"/>
    <x v="0"/>
    <n v="265.2"/>
    <x v="0"/>
    <n v="50"/>
    <s v="Male"/>
    <x v="1"/>
    <x v="1"/>
    <x v="2"/>
  </r>
  <r>
    <s v="TXN-20251963"/>
    <x v="179"/>
    <x v="1956"/>
    <x v="4"/>
    <n v="10000"/>
    <x v="2"/>
    <n v="35"/>
    <s v="Male"/>
    <x v="1"/>
    <x v="0"/>
    <x v="2"/>
  </r>
  <r>
    <s v="TXN-20251964"/>
    <x v="287"/>
    <x v="1957"/>
    <x v="2"/>
    <n v="7400.08"/>
    <x v="0"/>
    <n v="38"/>
    <s v="Female"/>
    <x v="9"/>
    <x v="2"/>
    <x v="0"/>
  </r>
  <r>
    <s v="TXN-20251965"/>
    <x v="23"/>
    <x v="1958"/>
    <x v="2"/>
    <n v="6208.92"/>
    <x v="0"/>
    <n v="33"/>
    <s v="Male"/>
    <x v="4"/>
    <x v="0"/>
    <x v="1"/>
  </r>
  <r>
    <s v="TXN-20251966"/>
    <x v="238"/>
    <x v="1959"/>
    <x v="0"/>
    <n v="1374.19"/>
    <x v="0"/>
    <n v="33"/>
    <s v="Male"/>
    <x v="5"/>
    <x v="0"/>
    <x v="0"/>
  </r>
  <r>
    <s v="TXN-20251967"/>
    <x v="23"/>
    <x v="1960"/>
    <x v="3"/>
    <n v="5896.29"/>
    <x v="0"/>
    <n v="33"/>
    <s v="Male"/>
    <x v="4"/>
    <x v="0"/>
    <x v="0"/>
  </r>
  <r>
    <s v="TXN-20251968"/>
    <x v="338"/>
    <x v="1961"/>
    <x v="0"/>
    <n v="1017.17"/>
    <x v="0"/>
    <n v="32"/>
    <s v="Female"/>
    <x v="2"/>
    <x v="2"/>
    <x v="2"/>
  </r>
  <r>
    <s v="TXN-20251969"/>
    <x v="232"/>
    <x v="1962"/>
    <x v="1"/>
    <n v="88383.96"/>
    <x v="0"/>
    <n v="23"/>
    <s v="Female"/>
    <x v="0"/>
    <x v="1"/>
    <x v="0"/>
  </r>
  <r>
    <s v="TXN-20251970"/>
    <x v="99"/>
    <x v="1963"/>
    <x v="1"/>
    <n v="3394.13"/>
    <x v="0"/>
    <n v="25"/>
    <s v="Female"/>
    <x v="7"/>
    <x v="1"/>
    <x v="0"/>
  </r>
  <r>
    <s v="TXN-20251971"/>
    <x v="16"/>
    <x v="1964"/>
    <x v="1"/>
    <n v="7956.32"/>
    <x v="0"/>
    <n v="42"/>
    <s v="Male"/>
    <x v="4"/>
    <x v="1"/>
    <x v="1"/>
  </r>
  <r>
    <s v="TXN-20251972"/>
    <x v="307"/>
    <x v="1965"/>
    <x v="1"/>
    <n v="29820.63"/>
    <x v="0"/>
    <n v="40"/>
    <s v="Male"/>
    <x v="4"/>
    <x v="3"/>
    <x v="3"/>
  </r>
  <r>
    <s v="TXN-20251973"/>
    <x v="147"/>
    <x v="1966"/>
    <x v="3"/>
    <n v="4681.1499999999996"/>
    <x v="0"/>
    <n v="28"/>
    <s v="Male"/>
    <x v="4"/>
    <x v="2"/>
    <x v="3"/>
  </r>
  <r>
    <s v="TXN-20251974"/>
    <x v="201"/>
    <x v="1967"/>
    <x v="3"/>
    <n v="2475.3000000000002"/>
    <x v="0"/>
    <n v="28"/>
    <s v="Female"/>
    <x v="4"/>
    <x v="0"/>
    <x v="0"/>
  </r>
  <r>
    <s v="TXN-20251975"/>
    <x v="82"/>
    <x v="1968"/>
    <x v="3"/>
    <n v="9327.43"/>
    <x v="0"/>
    <n v="28"/>
    <s v="Male"/>
    <x v="3"/>
    <x v="0"/>
    <x v="1"/>
  </r>
  <r>
    <s v="TXN-20251976"/>
    <x v="93"/>
    <x v="1969"/>
    <x v="1"/>
    <n v="19260.43"/>
    <x v="1"/>
    <n v="25"/>
    <s v="Male"/>
    <x v="4"/>
    <x v="3"/>
    <x v="3"/>
  </r>
  <r>
    <s v="TXN-20251977"/>
    <x v="76"/>
    <x v="1970"/>
    <x v="1"/>
    <n v="1119.3"/>
    <x v="2"/>
    <n v="38"/>
    <s v="Female"/>
    <x v="4"/>
    <x v="1"/>
    <x v="2"/>
  </r>
  <r>
    <s v="TXN-20251978"/>
    <x v="195"/>
    <x v="1971"/>
    <x v="3"/>
    <n v="20027.900000000001"/>
    <x v="0"/>
    <n v="23"/>
    <s v="Female"/>
    <x v="0"/>
    <x v="2"/>
    <x v="0"/>
  </r>
  <r>
    <s v="TXN-20251979"/>
    <x v="123"/>
    <x v="1972"/>
    <x v="0"/>
    <n v="496.51"/>
    <x v="0"/>
    <n v="53"/>
    <s v="Female"/>
    <x v="4"/>
    <x v="3"/>
    <x v="3"/>
  </r>
  <r>
    <s v="TXN-20251980"/>
    <x v="344"/>
    <x v="1973"/>
    <x v="3"/>
    <n v="12526.21"/>
    <x v="0"/>
    <n v="46"/>
    <s v="Male"/>
    <x v="9"/>
    <x v="3"/>
    <x v="3"/>
  </r>
  <r>
    <s v="TXN-20251981"/>
    <x v="297"/>
    <x v="1974"/>
    <x v="1"/>
    <n v="8094.09"/>
    <x v="0"/>
    <n v="60"/>
    <s v="Male"/>
    <x v="1"/>
    <x v="0"/>
    <x v="3"/>
  </r>
  <r>
    <s v="TXN-20251982"/>
    <x v="211"/>
    <x v="1975"/>
    <x v="2"/>
    <n v="1988.44"/>
    <x v="0"/>
    <n v="23"/>
    <s v="Male"/>
    <x v="2"/>
    <x v="0"/>
    <x v="0"/>
  </r>
  <r>
    <s v="TXN-20251983"/>
    <x v="343"/>
    <x v="1976"/>
    <x v="0"/>
    <n v="959.78"/>
    <x v="0"/>
    <n v="30"/>
    <s v="Male"/>
    <x v="1"/>
    <x v="2"/>
    <x v="0"/>
  </r>
  <r>
    <s v="TXN-20251984"/>
    <x v="326"/>
    <x v="1977"/>
    <x v="0"/>
    <n v="973.87"/>
    <x v="0"/>
    <n v="42"/>
    <s v="Male"/>
    <x v="4"/>
    <x v="3"/>
    <x v="3"/>
  </r>
  <r>
    <s v="TXN-20251985"/>
    <x v="206"/>
    <x v="1978"/>
    <x v="0"/>
    <n v="2658.34"/>
    <x v="0"/>
    <n v="41"/>
    <s v="Male"/>
    <x v="4"/>
    <x v="1"/>
    <x v="0"/>
  </r>
  <r>
    <s v="TXN-20251986"/>
    <x v="334"/>
    <x v="1979"/>
    <x v="1"/>
    <n v="7172.33"/>
    <x v="1"/>
    <n v="37"/>
    <s v="Male"/>
    <x v="3"/>
    <x v="2"/>
    <x v="3"/>
  </r>
  <r>
    <s v="TXN-20251987"/>
    <x v="86"/>
    <x v="1980"/>
    <x v="2"/>
    <n v="4342.08"/>
    <x v="0"/>
    <n v="40"/>
    <s v="Male"/>
    <x v="4"/>
    <x v="2"/>
    <x v="2"/>
  </r>
  <r>
    <s v="TXN-20251988"/>
    <x v="120"/>
    <x v="1981"/>
    <x v="2"/>
    <n v="41297.29"/>
    <x v="0"/>
    <n v="27"/>
    <s v="Male"/>
    <x v="4"/>
    <x v="2"/>
    <x v="3"/>
  </r>
  <r>
    <s v="TXN-20251989"/>
    <x v="7"/>
    <x v="1982"/>
    <x v="0"/>
    <n v="1945.95"/>
    <x v="0"/>
    <n v="35"/>
    <s v="Male"/>
    <x v="5"/>
    <x v="1"/>
    <x v="0"/>
  </r>
  <r>
    <s v="TXN-20251990"/>
    <x v="54"/>
    <x v="1983"/>
    <x v="0"/>
    <n v="643.87"/>
    <x v="0"/>
    <n v="56"/>
    <s v="Female"/>
    <x v="5"/>
    <x v="0"/>
    <x v="0"/>
  </r>
  <r>
    <s v="TXN-20251991"/>
    <x v="109"/>
    <x v="1984"/>
    <x v="3"/>
    <n v="1129.9100000000001"/>
    <x v="0"/>
    <n v="42"/>
    <s v="Female"/>
    <x v="7"/>
    <x v="0"/>
    <x v="0"/>
  </r>
  <r>
    <s v="TXN-20251992"/>
    <x v="166"/>
    <x v="1985"/>
    <x v="2"/>
    <n v="12074.39"/>
    <x v="0"/>
    <n v="30"/>
    <s v="Female"/>
    <x v="1"/>
    <x v="2"/>
    <x v="0"/>
  </r>
  <r>
    <s v="TXN-20251993"/>
    <x v="22"/>
    <x v="1986"/>
    <x v="2"/>
    <n v="14148.95"/>
    <x v="0"/>
    <n v="20"/>
    <s v="Female"/>
    <x v="1"/>
    <x v="0"/>
    <x v="2"/>
  </r>
  <r>
    <s v="TXN-20251994"/>
    <x v="232"/>
    <x v="1987"/>
    <x v="1"/>
    <n v="27569.98"/>
    <x v="0"/>
    <n v="23"/>
    <s v="Female"/>
    <x v="0"/>
    <x v="1"/>
    <x v="3"/>
  </r>
  <r>
    <s v="TXN-20251995"/>
    <x v="136"/>
    <x v="1988"/>
    <x v="1"/>
    <n v="28153.37"/>
    <x v="0"/>
    <n v="31"/>
    <s v="Male"/>
    <x v="3"/>
    <x v="2"/>
    <x v="0"/>
  </r>
  <r>
    <s v="TXN-20251996"/>
    <x v="3"/>
    <x v="1989"/>
    <x v="0"/>
    <n v="385.54"/>
    <x v="0"/>
    <n v="35"/>
    <s v="Female"/>
    <x v="3"/>
    <x v="0"/>
    <x v="0"/>
  </r>
  <r>
    <s v="TXN-20251997"/>
    <x v="210"/>
    <x v="1990"/>
    <x v="0"/>
    <n v="2436.1999999999998"/>
    <x v="0"/>
    <n v="32"/>
    <s v="Male"/>
    <x v="4"/>
    <x v="1"/>
    <x v="0"/>
  </r>
  <r>
    <s v="TXN-20251998"/>
    <x v="180"/>
    <x v="1991"/>
    <x v="0"/>
    <n v="319.14"/>
    <x v="0"/>
    <n v="39"/>
    <s v="Female"/>
    <x v="7"/>
    <x v="3"/>
    <x v="0"/>
  </r>
  <r>
    <s v="TXN-20251999"/>
    <x v="15"/>
    <x v="1992"/>
    <x v="1"/>
    <n v="16787.84"/>
    <x v="0"/>
    <n v="29"/>
    <s v="Male"/>
    <x v="4"/>
    <x v="1"/>
    <x v="2"/>
  </r>
  <r>
    <s v="TXN-20252000"/>
    <x v="133"/>
    <x v="1993"/>
    <x v="0"/>
    <n v="3461.11"/>
    <x v="0"/>
    <n v="36"/>
    <s v="Female"/>
    <x v="2"/>
    <x v="1"/>
    <x v="0"/>
  </r>
  <r>
    <s v="TXN-20252001"/>
    <x v="189"/>
    <x v="1994"/>
    <x v="1"/>
    <n v="20724.7"/>
    <x v="1"/>
    <n v="42"/>
    <s v="Female"/>
    <x v="4"/>
    <x v="0"/>
    <x v="3"/>
  </r>
  <r>
    <s v="TXN-20252002"/>
    <x v="295"/>
    <x v="1995"/>
    <x v="1"/>
    <n v="4196.42"/>
    <x v="0"/>
    <n v="37"/>
    <s v="Female"/>
    <x v="4"/>
    <x v="2"/>
    <x v="0"/>
  </r>
  <r>
    <s v="TXN-20252003"/>
    <x v="323"/>
    <x v="1996"/>
    <x v="2"/>
    <n v="4799.3999999999996"/>
    <x v="0"/>
    <n v="21"/>
    <s v="Female"/>
    <x v="4"/>
    <x v="1"/>
    <x v="0"/>
  </r>
  <r>
    <s v="TXN-20252004"/>
    <x v="223"/>
    <x v="1997"/>
    <x v="1"/>
    <n v="7601.12"/>
    <x v="1"/>
    <n v="49"/>
    <s v="Male"/>
    <x v="4"/>
    <x v="0"/>
    <x v="0"/>
  </r>
  <r>
    <s v="TXN-20252005"/>
    <x v="82"/>
    <x v="1998"/>
    <x v="0"/>
    <n v="1055.9100000000001"/>
    <x v="0"/>
    <n v="28"/>
    <s v="Male"/>
    <x v="3"/>
    <x v="0"/>
    <x v="3"/>
  </r>
  <r>
    <s v="TXN-20252006"/>
    <x v="319"/>
    <x v="1999"/>
    <x v="1"/>
    <n v="13908.64"/>
    <x v="0"/>
    <n v="44"/>
    <s v="Male"/>
    <x v="2"/>
    <x v="1"/>
    <x v="1"/>
  </r>
  <r>
    <s v="TXN-20252007"/>
    <x v="197"/>
    <x v="2000"/>
    <x v="3"/>
    <n v="9094.48"/>
    <x v="0"/>
    <n v="34"/>
    <s v="Male"/>
    <x v="6"/>
    <x v="0"/>
    <x v="3"/>
  </r>
  <r>
    <s v="TXN-20252008"/>
    <x v="7"/>
    <x v="2001"/>
    <x v="1"/>
    <n v="5120.4799999999996"/>
    <x v="0"/>
    <n v="35"/>
    <s v="Male"/>
    <x v="5"/>
    <x v="1"/>
    <x v="0"/>
  </r>
  <r>
    <s v="TXN-20252009"/>
    <x v="252"/>
    <x v="2002"/>
    <x v="0"/>
    <n v="3015.74"/>
    <x v="0"/>
    <n v="20"/>
    <s v="Male"/>
    <x v="6"/>
    <x v="0"/>
    <x v="2"/>
  </r>
  <r>
    <s v="TXN-20252010"/>
    <x v="128"/>
    <x v="2003"/>
    <x v="1"/>
    <n v="53339.62"/>
    <x v="0"/>
    <n v="55"/>
    <s v="Male"/>
    <x v="4"/>
    <x v="2"/>
    <x v="0"/>
  </r>
  <r>
    <s v="TXN-20252011"/>
    <x v="300"/>
    <x v="2004"/>
    <x v="1"/>
    <n v="7833.56"/>
    <x v="0"/>
    <n v="35"/>
    <s v="Female"/>
    <x v="4"/>
    <x v="2"/>
    <x v="0"/>
  </r>
  <r>
    <s v="TXN-20252012"/>
    <x v="51"/>
    <x v="2005"/>
    <x v="2"/>
    <n v="2249.23"/>
    <x v="0"/>
    <n v="49"/>
    <s v="Female"/>
    <x v="4"/>
    <x v="0"/>
    <x v="0"/>
  </r>
  <r>
    <s v="TXN-20252013"/>
    <x v="44"/>
    <x v="2006"/>
    <x v="1"/>
    <n v="6705.22"/>
    <x v="0"/>
    <n v="26"/>
    <s v="Male"/>
    <x v="9"/>
    <x v="1"/>
    <x v="3"/>
  </r>
  <r>
    <s v="TXN-20252014"/>
    <x v="1"/>
    <x v="2007"/>
    <x v="3"/>
    <n v="1490.65"/>
    <x v="0"/>
    <n v="43"/>
    <s v="Male"/>
    <x v="1"/>
    <x v="0"/>
    <x v="1"/>
  </r>
  <r>
    <s v="TXN-20252015"/>
    <x v="349"/>
    <x v="2008"/>
    <x v="3"/>
    <n v="2733.45"/>
    <x v="0"/>
    <n v="46"/>
    <s v="Female"/>
    <x v="7"/>
    <x v="0"/>
    <x v="0"/>
  </r>
  <r>
    <s v="TXN-20252016"/>
    <x v="72"/>
    <x v="2009"/>
    <x v="1"/>
    <n v="30965.58"/>
    <x v="0"/>
    <n v="25"/>
    <s v="Male"/>
    <x v="4"/>
    <x v="0"/>
    <x v="3"/>
  </r>
  <r>
    <s v="TXN-20252017"/>
    <x v="85"/>
    <x v="2010"/>
    <x v="1"/>
    <n v="19104.29"/>
    <x v="0"/>
    <n v="43"/>
    <s v="Male"/>
    <x v="7"/>
    <x v="2"/>
    <x v="1"/>
  </r>
  <r>
    <s v="TXN-20252018"/>
    <x v="150"/>
    <x v="2011"/>
    <x v="3"/>
    <n v="17281.189999999999"/>
    <x v="0"/>
    <n v="28"/>
    <s v="Female"/>
    <x v="2"/>
    <x v="0"/>
    <x v="1"/>
  </r>
  <r>
    <s v="TXN-20252019"/>
    <x v="224"/>
    <x v="2012"/>
    <x v="3"/>
    <n v="16358.83"/>
    <x v="0"/>
    <n v="29"/>
    <s v="Female"/>
    <x v="7"/>
    <x v="0"/>
    <x v="0"/>
  </r>
  <r>
    <s v="TXN-20252020"/>
    <x v="108"/>
    <x v="2013"/>
    <x v="0"/>
    <n v="1593.47"/>
    <x v="0"/>
    <n v="50"/>
    <s v="Female"/>
    <x v="9"/>
    <x v="2"/>
    <x v="0"/>
  </r>
  <r>
    <s v="TXN-20252021"/>
    <x v="211"/>
    <x v="2014"/>
    <x v="0"/>
    <n v="3887.61"/>
    <x v="0"/>
    <n v="23"/>
    <s v="Male"/>
    <x v="2"/>
    <x v="0"/>
    <x v="0"/>
  </r>
  <r>
    <s v="TXN-20252022"/>
    <x v="182"/>
    <x v="2015"/>
    <x v="2"/>
    <n v="34384.620000000003"/>
    <x v="0"/>
    <n v="50"/>
    <s v="Female"/>
    <x v="2"/>
    <x v="0"/>
    <x v="0"/>
  </r>
  <r>
    <s v="TXN-20252023"/>
    <x v="136"/>
    <x v="2016"/>
    <x v="3"/>
    <n v="20449.349999999999"/>
    <x v="0"/>
    <n v="31"/>
    <s v="Male"/>
    <x v="3"/>
    <x v="2"/>
    <x v="0"/>
  </r>
  <r>
    <s v="TXN-20252024"/>
    <x v="129"/>
    <x v="2017"/>
    <x v="0"/>
    <n v="236.06"/>
    <x v="0"/>
    <n v="27"/>
    <s v="Female"/>
    <x v="5"/>
    <x v="0"/>
    <x v="0"/>
  </r>
  <r>
    <s v="TXN-20252025"/>
    <x v="94"/>
    <x v="2018"/>
    <x v="2"/>
    <n v="5127.08"/>
    <x v="0"/>
    <n v="37"/>
    <s v="Male"/>
    <x v="4"/>
    <x v="1"/>
    <x v="3"/>
  </r>
  <r>
    <s v="TXN-20252026"/>
    <x v="33"/>
    <x v="2019"/>
    <x v="3"/>
    <n v="14135.71"/>
    <x v="0"/>
    <n v="42"/>
    <s v="Male"/>
    <x v="4"/>
    <x v="2"/>
    <x v="3"/>
  </r>
  <r>
    <s v="TXN-20252027"/>
    <x v="169"/>
    <x v="2020"/>
    <x v="3"/>
    <n v="21116.18"/>
    <x v="0"/>
    <n v="44"/>
    <s v="Female"/>
    <x v="4"/>
    <x v="0"/>
    <x v="0"/>
  </r>
  <r>
    <s v="TXN-20252028"/>
    <x v="184"/>
    <x v="2021"/>
    <x v="2"/>
    <n v="30570.34"/>
    <x v="0"/>
    <n v="28"/>
    <s v="Male"/>
    <x v="7"/>
    <x v="0"/>
    <x v="1"/>
  </r>
  <r>
    <s v="TXN-20252029"/>
    <x v="75"/>
    <x v="2022"/>
    <x v="1"/>
    <n v="8847.5499999999993"/>
    <x v="0"/>
    <n v="40"/>
    <s v="Female"/>
    <x v="4"/>
    <x v="2"/>
    <x v="3"/>
  </r>
  <r>
    <s v="TXN-20252030"/>
    <x v="170"/>
    <x v="2023"/>
    <x v="1"/>
    <n v="59819.14"/>
    <x v="0"/>
    <n v="31"/>
    <s v="Female"/>
    <x v="2"/>
    <x v="2"/>
    <x v="0"/>
  </r>
  <r>
    <s v="TXN-20252031"/>
    <x v="324"/>
    <x v="2024"/>
    <x v="3"/>
    <n v="1338.33"/>
    <x v="0"/>
    <n v="32"/>
    <s v="Male"/>
    <x v="9"/>
    <x v="0"/>
    <x v="3"/>
  </r>
  <r>
    <s v="TXN-20252032"/>
    <x v="74"/>
    <x v="2025"/>
    <x v="0"/>
    <n v="423.85"/>
    <x v="0"/>
    <n v="31"/>
    <s v="Female"/>
    <x v="0"/>
    <x v="0"/>
    <x v="3"/>
  </r>
  <r>
    <s v="TXN-20252033"/>
    <x v="66"/>
    <x v="2026"/>
    <x v="0"/>
    <n v="738.07"/>
    <x v="0"/>
    <n v="32"/>
    <s v="Male"/>
    <x v="4"/>
    <x v="2"/>
    <x v="0"/>
  </r>
  <r>
    <s v="TXN-20252034"/>
    <x v="1"/>
    <x v="2027"/>
    <x v="4"/>
    <n v="20000"/>
    <x v="2"/>
    <n v="43"/>
    <s v="Male"/>
    <x v="1"/>
    <x v="0"/>
    <x v="0"/>
  </r>
  <r>
    <s v="TXN-20252035"/>
    <x v="279"/>
    <x v="2028"/>
    <x v="2"/>
    <n v="11893.99"/>
    <x v="0"/>
    <n v="28"/>
    <s v="Male"/>
    <x v="4"/>
    <x v="0"/>
    <x v="3"/>
  </r>
  <r>
    <s v="TXN-20252036"/>
    <x v="344"/>
    <x v="2029"/>
    <x v="0"/>
    <n v="505.28"/>
    <x v="0"/>
    <n v="46"/>
    <s v="Male"/>
    <x v="9"/>
    <x v="3"/>
    <x v="0"/>
  </r>
  <r>
    <s v="TXN-20252037"/>
    <x v="296"/>
    <x v="2030"/>
    <x v="0"/>
    <n v="586.4"/>
    <x v="0"/>
    <n v="51"/>
    <s v="Female"/>
    <x v="6"/>
    <x v="2"/>
    <x v="0"/>
  </r>
  <r>
    <s v="TXN-20252038"/>
    <x v="2"/>
    <x v="2031"/>
    <x v="1"/>
    <n v="12249.84"/>
    <x v="0"/>
    <n v="35"/>
    <s v="Male"/>
    <x v="2"/>
    <x v="0"/>
    <x v="0"/>
  </r>
  <r>
    <s v="TXN-20252039"/>
    <x v="201"/>
    <x v="2032"/>
    <x v="1"/>
    <n v="1245.72"/>
    <x v="0"/>
    <n v="28"/>
    <s v="Female"/>
    <x v="4"/>
    <x v="0"/>
    <x v="0"/>
  </r>
  <r>
    <s v="TXN-20252040"/>
    <x v="235"/>
    <x v="2033"/>
    <x v="4"/>
    <n v="10000"/>
    <x v="0"/>
    <n v="50"/>
    <s v="Male"/>
    <x v="4"/>
    <x v="2"/>
    <x v="2"/>
  </r>
  <r>
    <s v="TXN-20252041"/>
    <x v="320"/>
    <x v="2034"/>
    <x v="1"/>
    <n v="8636.4500000000007"/>
    <x v="0"/>
    <n v="42"/>
    <s v="Female"/>
    <x v="1"/>
    <x v="0"/>
    <x v="1"/>
  </r>
  <r>
    <s v="TXN-20252042"/>
    <x v="348"/>
    <x v="2035"/>
    <x v="0"/>
    <n v="5390.71"/>
    <x v="0"/>
    <n v="46"/>
    <s v="Female"/>
    <x v="7"/>
    <x v="0"/>
    <x v="1"/>
  </r>
  <r>
    <s v="TXN-20252043"/>
    <x v="289"/>
    <x v="2036"/>
    <x v="2"/>
    <n v="14583.77"/>
    <x v="0"/>
    <n v="27"/>
    <s v="Female"/>
    <x v="0"/>
    <x v="3"/>
    <x v="0"/>
  </r>
  <r>
    <s v="TXN-20252044"/>
    <x v="148"/>
    <x v="2037"/>
    <x v="1"/>
    <n v="29607.77"/>
    <x v="0"/>
    <n v="52"/>
    <s v="Male"/>
    <x v="4"/>
    <x v="0"/>
    <x v="3"/>
  </r>
  <r>
    <s v="TXN-20252045"/>
    <x v="286"/>
    <x v="2038"/>
    <x v="1"/>
    <n v="23361.66"/>
    <x v="0"/>
    <n v="39"/>
    <s v="Female"/>
    <x v="6"/>
    <x v="1"/>
    <x v="3"/>
  </r>
  <r>
    <s v="TXN-20252046"/>
    <x v="280"/>
    <x v="2039"/>
    <x v="1"/>
    <n v="67540.2"/>
    <x v="0"/>
    <n v="39"/>
    <s v="Male"/>
    <x v="1"/>
    <x v="0"/>
    <x v="0"/>
  </r>
  <r>
    <s v="TXN-20252047"/>
    <x v="51"/>
    <x v="2040"/>
    <x v="1"/>
    <n v="4642.2299999999996"/>
    <x v="0"/>
    <n v="49"/>
    <s v="Female"/>
    <x v="4"/>
    <x v="0"/>
    <x v="0"/>
  </r>
  <r>
    <s v="TXN-20252048"/>
    <x v="275"/>
    <x v="2041"/>
    <x v="0"/>
    <n v="1402.46"/>
    <x v="1"/>
    <n v="39"/>
    <s v="Male"/>
    <x v="7"/>
    <x v="0"/>
    <x v="1"/>
  </r>
  <r>
    <s v="TXN-20252049"/>
    <x v="192"/>
    <x v="2042"/>
    <x v="2"/>
    <n v="3776.24"/>
    <x v="0"/>
    <n v="26"/>
    <s v="Female"/>
    <x v="9"/>
    <x v="0"/>
    <x v="2"/>
  </r>
  <r>
    <s v="TXN-20252050"/>
    <x v="275"/>
    <x v="2043"/>
    <x v="0"/>
    <n v="2478.42"/>
    <x v="1"/>
    <n v="39"/>
    <s v="Male"/>
    <x v="7"/>
    <x v="0"/>
    <x v="0"/>
  </r>
  <r>
    <s v="TXN-20252051"/>
    <x v="13"/>
    <x v="2044"/>
    <x v="1"/>
    <n v="15059"/>
    <x v="0"/>
    <n v="32"/>
    <s v="Female"/>
    <x v="2"/>
    <x v="0"/>
    <x v="0"/>
  </r>
  <r>
    <s v="TXN-20252052"/>
    <x v="284"/>
    <x v="2045"/>
    <x v="2"/>
    <n v="2294.21"/>
    <x v="0"/>
    <n v="56"/>
    <s v="Female"/>
    <x v="4"/>
    <x v="0"/>
    <x v="3"/>
  </r>
  <r>
    <s v="TXN-20252053"/>
    <x v="99"/>
    <x v="2046"/>
    <x v="1"/>
    <n v="80322.42"/>
    <x v="1"/>
    <n v="25"/>
    <s v="Female"/>
    <x v="7"/>
    <x v="1"/>
    <x v="0"/>
  </r>
  <r>
    <s v="TXN-20252054"/>
    <x v="119"/>
    <x v="2047"/>
    <x v="1"/>
    <n v="4432.37"/>
    <x v="0"/>
    <n v="31"/>
    <s v="Male"/>
    <x v="4"/>
    <x v="3"/>
    <x v="0"/>
  </r>
  <r>
    <s v="TXN-20252055"/>
    <x v="335"/>
    <x v="2048"/>
    <x v="2"/>
    <n v="691.09"/>
    <x v="0"/>
    <n v="39"/>
    <s v="Male"/>
    <x v="2"/>
    <x v="3"/>
    <x v="0"/>
  </r>
  <r>
    <s v="TXN-20252056"/>
    <x v="147"/>
    <x v="2049"/>
    <x v="3"/>
    <n v="3560.47"/>
    <x v="0"/>
    <n v="28"/>
    <s v="Male"/>
    <x v="4"/>
    <x v="2"/>
    <x v="0"/>
  </r>
  <r>
    <s v="TXN-20252057"/>
    <x v="116"/>
    <x v="2050"/>
    <x v="1"/>
    <n v="31956.12"/>
    <x v="0"/>
    <n v="32"/>
    <s v="Female"/>
    <x v="6"/>
    <x v="0"/>
    <x v="0"/>
  </r>
  <r>
    <s v="TXN-20252058"/>
    <x v="66"/>
    <x v="2051"/>
    <x v="2"/>
    <n v="841.56"/>
    <x v="0"/>
    <n v="32"/>
    <s v="Male"/>
    <x v="4"/>
    <x v="2"/>
    <x v="1"/>
  </r>
  <r>
    <s v="TXN-20252059"/>
    <x v="240"/>
    <x v="2052"/>
    <x v="1"/>
    <n v="13234.26"/>
    <x v="0"/>
    <n v="35"/>
    <s v="Male"/>
    <x v="2"/>
    <x v="0"/>
    <x v="3"/>
  </r>
  <r>
    <s v="TXN-20252060"/>
    <x v="111"/>
    <x v="2053"/>
    <x v="0"/>
    <n v="3890.6"/>
    <x v="0"/>
    <n v="50"/>
    <s v="Male"/>
    <x v="1"/>
    <x v="1"/>
    <x v="2"/>
  </r>
  <r>
    <s v="TXN-20252061"/>
    <x v="315"/>
    <x v="2054"/>
    <x v="2"/>
    <n v="11084"/>
    <x v="0"/>
    <n v="32"/>
    <s v="Female"/>
    <x v="4"/>
    <x v="0"/>
    <x v="1"/>
  </r>
  <r>
    <s v="TXN-20252062"/>
    <x v="188"/>
    <x v="2055"/>
    <x v="0"/>
    <n v="4867.33"/>
    <x v="0"/>
    <n v="41"/>
    <s v="Female"/>
    <x v="6"/>
    <x v="0"/>
    <x v="1"/>
  </r>
  <r>
    <s v="TXN-20252063"/>
    <x v="246"/>
    <x v="2056"/>
    <x v="3"/>
    <n v="5586.41"/>
    <x v="0"/>
    <n v="40"/>
    <s v="Male"/>
    <x v="4"/>
    <x v="0"/>
    <x v="0"/>
  </r>
  <r>
    <s v="TXN-20252064"/>
    <x v="330"/>
    <x v="2057"/>
    <x v="4"/>
    <n v="2000"/>
    <x v="0"/>
    <n v="30"/>
    <s v="Male"/>
    <x v="8"/>
    <x v="0"/>
    <x v="1"/>
  </r>
  <r>
    <s v="TXN-20252065"/>
    <x v="141"/>
    <x v="2058"/>
    <x v="2"/>
    <n v="11524.37"/>
    <x v="0"/>
    <n v="51"/>
    <s v="Male"/>
    <x v="1"/>
    <x v="0"/>
    <x v="0"/>
  </r>
  <r>
    <s v="TXN-20252066"/>
    <x v="61"/>
    <x v="2059"/>
    <x v="1"/>
    <n v="15669.8"/>
    <x v="0"/>
    <n v="31"/>
    <s v="Female"/>
    <x v="3"/>
    <x v="3"/>
    <x v="1"/>
  </r>
  <r>
    <s v="TXN-20252067"/>
    <x v="225"/>
    <x v="2060"/>
    <x v="1"/>
    <n v="24064.91"/>
    <x v="1"/>
    <n v="20"/>
    <s v="Female"/>
    <x v="4"/>
    <x v="3"/>
    <x v="0"/>
  </r>
  <r>
    <s v="TXN-20252068"/>
    <x v="155"/>
    <x v="2061"/>
    <x v="0"/>
    <n v="2058.4"/>
    <x v="0"/>
    <n v="32"/>
    <s v="Male"/>
    <x v="2"/>
    <x v="0"/>
    <x v="3"/>
  </r>
  <r>
    <s v="TXN-20252069"/>
    <x v="177"/>
    <x v="2062"/>
    <x v="3"/>
    <n v="12789.2"/>
    <x v="0"/>
    <n v="44"/>
    <s v="Female"/>
    <x v="4"/>
    <x v="3"/>
    <x v="3"/>
  </r>
  <r>
    <s v="TXN-20252070"/>
    <x v="279"/>
    <x v="2063"/>
    <x v="0"/>
    <n v="3640.56"/>
    <x v="0"/>
    <n v="28"/>
    <s v="Male"/>
    <x v="4"/>
    <x v="0"/>
    <x v="3"/>
  </r>
  <r>
    <s v="TXN-20252071"/>
    <x v="171"/>
    <x v="2064"/>
    <x v="1"/>
    <n v="49060.21"/>
    <x v="0"/>
    <n v="51"/>
    <s v="Male"/>
    <x v="1"/>
    <x v="2"/>
    <x v="3"/>
  </r>
  <r>
    <s v="TXN-20252072"/>
    <x v="295"/>
    <x v="2065"/>
    <x v="1"/>
    <n v="24779.11"/>
    <x v="0"/>
    <n v="37"/>
    <s v="Female"/>
    <x v="4"/>
    <x v="2"/>
    <x v="0"/>
  </r>
  <r>
    <s v="TXN-20252073"/>
    <x v="218"/>
    <x v="2066"/>
    <x v="1"/>
    <n v="18040.47"/>
    <x v="0"/>
    <n v="25"/>
    <s v="Male"/>
    <x v="9"/>
    <x v="2"/>
    <x v="0"/>
  </r>
  <r>
    <s v="TXN-20252074"/>
    <x v="342"/>
    <x v="2067"/>
    <x v="0"/>
    <n v="1892.45"/>
    <x v="0"/>
    <n v="42"/>
    <s v="Male"/>
    <x v="5"/>
    <x v="2"/>
    <x v="2"/>
  </r>
  <r>
    <s v="TXN-20252075"/>
    <x v="182"/>
    <x v="2068"/>
    <x v="1"/>
    <n v="27447.99"/>
    <x v="0"/>
    <n v="50"/>
    <s v="Female"/>
    <x v="2"/>
    <x v="0"/>
    <x v="0"/>
  </r>
  <r>
    <s v="TXN-20252076"/>
    <x v="171"/>
    <x v="2069"/>
    <x v="1"/>
    <n v="2421.62"/>
    <x v="0"/>
    <n v="51"/>
    <s v="Male"/>
    <x v="1"/>
    <x v="2"/>
    <x v="0"/>
  </r>
  <r>
    <s v="TXN-20252077"/>
    <x v="224"/>
    <x v="2070"/>
    <x v="1"/>
    <n v="16556.88"/>
    <x v="0"/>
    <n v="29"/>
    <s v="Female"/>
    <x v="7"/>
    <x v="0"/>
    <x v="3"/>
  </r>
  <r>
    <s v="TXN-20252078"/>
    <x v="222"/>
    <x v="2071"/>
    <x v="1"/>
    <n v="101032.63"/>
    <x v="0"/>
    <n v="43"/>
    <s v="Male"/>
    <x v="6"/>
    <x v="2"/>
    <x v="0"/>
  </r>
  <r>
    <s v="TXN-20252079"/>
    <x v="147"/>
    <x v="2072"/>
    <x v="3"/>
    <n v="5003.21"/>
    <x v="0"/>
    <n v="28"/>
    <s v="Male"/>
    <x v="4"/>
    <x v="2"/>
    <x v="3"/>
  </r>
  <r>
    <s v="TXN-20252080"/>
    <x v="292"/>
    <x v="2073"/>
    <x v="2"/>
    <n v="11351.32"/>
    <x v="0"/>
    <n v="25"/>
    <s v="Female"/>
    <x v="4"/>
    <x v="0"/>
    <x v="1"/>
  </r>
  <r>
    <s v="TXN-20252081"/>
    <x v="124"/>
    <x v="2074"/>
    <x v="1"/>
    <n v="19391.59"/>
    <x v="0"/>
    <n v="51"/>
    <s v="Female"/>
    <x v="2"/>
    <x v="2"/>
    <x v="2"/>
  </r>
  <r>
    <s v="TXN-20252082"/>
    <x v="73"/>
    <x v="2075"/>
    <x v="3"/>
    <n v="19994.41"/>
    <x v="0"/>
    <n v="48"/>
    <s v="Female"/>
    <x v="7"/>
    <x v="2"/>
    <x v="2"/>
  </r>
  <r>
    <s v="TXN-20252083"/>
    <x v="83"/>
    <x v="2076"/>
    <x v="0"/>
    <n v="416.64"/>
    <x v="0"/>
    <n v="57"/>
    <s v="Male"/>
    <x v="4"/>
    <x v="1"/>
    <x v="3"/>
  </r>
  <r>
    <s v="TXN-20252084"/>
    <x v="49"/>
    <x v="2077"/>
    <x v="0"/>
    <n v="2029.33"/>
    <x v="0"/>
    <n v="39"/>
    <s v="Male"/>
    <x v="1"/>
    <x v="3"/>
    <x v="3"/>
  </r>
  <r>
    <s v="TXN-20252085"/>
    <x v="345"/>
    <x v="2078"/>
    <x v="2"/>
    <n v="2844.62"/>
    <x v="0"/>
    <n v="28"/>
    <s v="Female"/>
    <x v="6"/>
    <x v="0"/>
    <x v="0"/>
  </r>
  <r>
    <s v="TXN-20252086"/>
    <x v="172"/>
    <x v="2079"/>
    <x v="0"/>
    <n v="2650.13"/>
    <x v="0"/>
    <n v="25"/>
    <s v="Male"/>
    <x v="4"/>
    <x v="2"/>
    <x v="3"/>
  </r>
  <r>
    <s v="TXN-20252087"/>
    <x v="127"/>
    <x v="2080"/>
    <x v="1"/>
    <n v="16270.66"/>
    <x v="0"/>
    <n v="40"/>
    <s v="Male"/>
    <x v="4"/>
    <x v="0"/>
    <x v="0"/>
  </r>
  <r>
    <s v="TXN-20252088"/>
    <x v="142"/>
    <x v="2081"/>
    <x v="0"/>
    <n v="1580.61"/>
    <x v="0"/>
    <n v="22"/>
    <s v="Female"/>
    <x v="0"/>
    <x v="0"/>
    <x v="3"/>
  </r>
  <r>
    <s v="TXN-20252089"/>
    <x v="287"/>
    <x v="2082"/>
    <x v="0"/>
    <n v="3353.75"/>
    <x v="0"/>
    <n v="38"/>
    <s v="Female"/>
    <x v="9"/>
    <x v="2"/>
    <x v="3"/>
  </r>
  <r>
    <s v="TXN-20252090"/>
    <x v="39"/>
    <x v="2083"/>
    <x v="0"/>
    <n v="933.83"/>
    <x v="1"/>
    <n v="47"/>
    <s v="Female"/>
    <x v="4"/>
    <x v="0"/>
    <x v="0"/>
  </r>
  <r>
    <s v="TXN-20252091"/>
    <x v="283"/>
    <x v="2084"/>
    <x v="3"/>
    <n v="1789.15"/>
    <x v="0"/>
    <n v="50"/>
    <s v="Male"/>
    <x v="8"/>
    <x v="2"/>
    <x v="3"/>
  </r>
  <r>
    <s v="TXN-20252092"/>
    <x v="307"/>
    <x v="2085"/>
    <x v="1"/>
    <n v="3684.04"/>
    <x v="0"/>
    <n v="40"/>
    <s v="Male"/>
    <x v="4"/>
    <x v="3"/>
    <x v="2"/>
  </r>
  <r>
    <s v="TXN-20252093"/>
    <x v="80"/>
    <x v="2086"/>
    <x v="2"/>
    <n v="8903.41"/>
    <x v="0"/>
    <n v="30"/>
    <s v="Male"/>
    <x v="0"/>
    <x v="0"/>
    <x v="3"/>
  </r>
  <r>
    <s v="TXN-20252094"/>
    <x v="300"/>
    <x v="2087"/>
    <x v="1"/>
    <n v="40198.879999999997"/>
    <x v="0"/>
    <n v="35"/>
    <s v="Female"/>
    <x v="4"/>
    <x v="2"/>
    <x v="3"/>
  </r>
  <r>
    <s v="TXN-20252095"/>
    <x v="90"/>
    <x v="2088"/>
    <x v="1"/>
    <n v="33897.5"/>
    <x v="0"/>
    <n v="36"/>
    <s v="Male"/>
    <x v="4"/>
    <x v="1"/>
    <x v="2"/>
  </r>
  <r>
    <s v="TXN-20252096"/>
    <x v="135"/>
    <x v="2089"/>
    <x v="1"/>
    <n v="9186.26"/>
    <x v="0"/>
    <n v="32"/>
    <s v="Female"/>
    <x v="8"/>
    <x v="3"/>
    <x v="2"/>
  </r>
  <r>
    <s v="TXN-20252097"/>
    <x v="57"/>
    <x v="2090"/>
    <x v="0"/>
    <n v="713.91"/>
    <x v="0"/>
    <n v="22"/>
    <s v="Female"/>
    <x v="4"/>
    <x v="3"/>
    <x v="0"/>
  </r>
  <r>
    <s v="TXN-20252098"/>
    <x v="132"/>
    <x v="2091"/>
    <x v="2"/>
    <n v="4602.04"/>
    <x v="0"/>
    <n v="31"/>
    <s v="Male"/>
    <x v="4"/>
    <x v="2"/>
    <x v="0"/>
  </r>
  <r>
    <s v="TXN-20252099"/>
    <x v="250"/>
    <x v="2092"/>
    <x v="1"/>
    <n v="22546.14"/>
    <x v="0"/>
    <n v="38"/>
    <s v="Female"/>
    <x v="9"/>
    <x v="0"/>
    <x v="2"/>
  </r>
  <r>
    <s v="TXN-20252100"/>
    <x v="232"/>
    <x v="2093"/>
    <x v="0"/>
    <n v="912.23"/>
    <x v="0"/>
    <n v="23"/>
    <s v="Female"/>
    <x v="0"/>
    <x v="1"/>
    <x v="0"/>
  </r>
  <r>
    <s v="TXN-20252101"/>
    <x v="255"/>
    <x v="2094"/>
    <x v="2"/>
    <n v="4554.8"/>
    <x v="0"/>
    <n v="30"/>
    <s v="Male"/>
    <x v="4"/>
    <x v="2"/>
    <x v="0"/>
  </r>
  <r>
    <s v="TXN-20252102"/>
    <x v="296"/>
    <x v="2095"/>
    <x v="2"/>
    <n v="19243.22"/>
    <x v="0"/>
    <n v="51"/>
    <s v="Female"/>
    <x v="6"/>
    <x v="2"/>
    <x v="0"/>
  </r>
  <r>
    <s v="TXN-20252103"/>
    <x v="207"/>
    <x v="2096"/>
    <x v="0"/>
    <n v="4981.13"/>
    <x v="0"/>
    <n v="36"/>
    <s v="Female"/>
    <x v="1"/>
    <x v="0"/>
    <x v="3"/>
  </r>
  <r>
    <s v="TXN-20252104"/>
    <x v="334"/>
    <x v="2097"/>
    <x v="1"/>
    <n v="4157.6099999999997"/>
    <x v="0"/>
    <n v="37"/>
    <s v="Male"/>
    <x v="3"/>
    <x v="2"/>
    <x v="3"/>
  </r>
  <r>
    <s v="TXN-20252105"/>
    <x v="42"/>
    <x v="2098"/>
    <x v="0"/>
    <n v="1180.94"/>
    <x v="0"/>
    <n v="39"/>
    <s v="Male"/>
    <x v="0"/>
    <x v="3"/>
    <x v="0"/>
  </r>
  <r>
    <s v="TXN-20252106"/>
    <x v="239"/>
    <x v="2099"/>
    <x v="1"/>
    <n v="25775.3"/>
    <x v="1"/>
    <n v="41"/>
    <s v="Male"/>
    <x v="2"/>
    <x v="0"/>
    <x v="0"/>
  </r>
  <r>
    <s v="TXN-20252107"/>
    <x v="346"/>
    <x v="2100"/>
    <x v="1"/>
    <n v="16874.7"/>
    <x v="1"/>
    <n v="27"/>
    <s v="Male"/>
    <x v="1"/>
    <x v="2"/>
    <x v="2"/>
  </r>
  <r>
    <s v="TXN-20252108"/>
    <x v="43"/>
    <x v="2101"/>
    <x v="0"/>
    <n v="1251.19"/>
    <x v="0"/>
    <n v="49"/>
    <s v="Female"/>
    <x v="0"/>
    <x v="0"/>
    <x v="2"/>
  </r>
  <r>
    <s v="TXN-20252109"/>
    <x v="343"/>
    <x v="2102"/>
    <x v="4"/>
    <n v="2000"/>
    <x v="0"/>
    <n v="30"/>
    <s v="Male"/>
    <x v="1"/>
    <x v="2"/>
    <x v="0"/>
  </r>
  <r>
    <s v="TXN-20252110"/>
    <x v="126"/>
    <x v="2103"/>
    <x v="0"/>
    <n v="2358.7600000000002"/>
    <x v="0"/>
    <n v="24"/>
    <s v="Male"/>
    <x v="6"/>
    <x v="0"/>
    <x v="0"/>
  </r>
  <r>
    <s v="TXN-20252111"/>
    <x v="27"/>
    <x v="2104"/>
    <x v="3"/>
    <n v="23831.88"/>
    <x v="0"/>
    <n v="31"/>
    <s v="Female"/>
    <x v="7"/>
    <x v="1"/>
    <x v="0"/>
  </r>
  <r>
    <s v="TXN-20252112"/>
    <x v="279"/>
    <x v="2105"/>
    <x v="1"/>
    <n v="19086.09"/>
    <x v="0"/>
    <n v="28"/>
    <s v="Male"/>
    <x v="4"/>
    <x v="0"/>
    <x v="0"/>
  </r>
  <r>
    <s v="TXN-20252113"/>
    <x v="303"/>
    <x v="2106"/>
    <x v="1"/>
    <n v="2842.64"/>
    <x v="0"/>
    <n v="46"/>
    <s v="Male"/>
    <x v="4"/>
    <x v="0"/>
    <x v="0"/>
  </r>
  <r>
    <s v="TXN-20252114"/>
    <x v="213"/>
    <x v="2107"/>
    <x v="0"/>
    <n v="249.27"/>
    <x v="0"/>
    <n v="46"/>
    <s v="Male"/>
    <x v="2"/>
    <x v="1"/>
    <x v="0"/>
  </r>
  <r>
    <s v="TXN-20252115"/>
    <x v="329"/>
    <x v="2108"/>
    <x v="0"/>
    <n v="988.27"/>
    <x v="0"/>
    <n v="38"/>
    <s v="Male"/>
    <x v="1"/>
    <x v="0"/>
    <x v="0"/>
  </r>
  <r>
    <s v="TXN-20252116"/>
    <x v="119"/>
    <x v="2109"/>
    <x v="4"/>
    <n v="40000"/>
    <x v="0"/>
    <n v="31"/>
    <s v="Male"/>
    <x v="4"/>
    <x v="3"/>
    <x v="3"/>
  </r>
  <r>
    <s v="TXN-20252117"/>
    <x v="41"/>
    <x v="2110"/>
    <x v="1"/>
    <n v="3476.86"/>
    <x v="0"/>
    <n v="21"/>
    <s v="Female"/>
    <x v="0"/>
    <x v="0"/>
    <x v="0"/>
  </r>
  <r>
    <s v="TXN-20252118"/>
    <x v="178"/>
    <x v="2111"/>
    <x v="1"/>
    <n v="11671.85"/>
    <x v="0"/>
    <n v="47"/>
    <s v="Male"/>
    <x v="4"/>
    <x v="0"/>
    <x v="2"/>
  </r>
  <r>
    <s v="TXN-20252119"/>
    <x v="242"/>
    <x v="2112"/>
    <x v="2"/>
    <n v="512.55999999999995"/>
    <x v="0"/>
    <n v="33"/>
    <s v="Male"/>
    <x v="4"/>
    <x v="2"/>
    <x v="1"/>
  </r>
  <r>
    <s v="TXN-20252120"/>
    <x v="24"/>
    <x v="2113"/>
    <x v="1"/>
    <n v="43514.05"/>
    <x v="0"/>
    <n v="41"/>
    <s v="Female"/>
    <x v="7"/>
    <x v="0"/>
    <x v="2"/>
  </r>
  <r>
    <s v="TXN-20252121"/>
    <x v="302"/>
    <x v="2114"/>
    <x v="3"/>
    <n v="3688.9"/>
    <x v="0"/>
    <n v="39"/>
    <s v="Male"/>
    <x v="1"/>
    <x v="2"/>
    <x v="3"/>
  </r>
  <r>
    <s v="TXN-20252122"/>
    <x v="209"/>
    <x v="2115"/>
    <x v="2"/>
    <n v="1759.65"/>
    <x v="0"/>
    <n v="53"/>
    <s v="Female"/>
    <x v="1"/>
    <x v="0"/>
    <x v="0"/>
  </r>
  <r>
    <s v="TXN-20252123"/>
    <x v="276"/>
    <x v="2116"/>
    <x v="4"/>
    <n v="40000"/>
    <x v="2"/>
    <n v="45"/>
    <s v="Female"/>
    <x v="4"/>
    <x v="2"/>
    <x v="0"/>
  </r>
  <r>
    <s v="TXN-20252124"/>
    <x v="35"/>
    <x v="2117"/>
    <x v="1"/>
    <n v="32598.19"/>
    <x v="0"/>
    <n v="38"/>
    <s v="Male"/>
    <x v="1"/>
    <x v="0"/>
    <x v="0"/>
  </r>
  <r>
    <s v="TXN-20252125"/>
    <x v="236"/>
    <x v="2118"/>
    <x v="1"/>
    <n v="4011.3"/>
    <x v="0"/>
    <n v="45"/>
    <s v="Male"/>
    <x v="4"/>
    <x v="3"/>
    <x v="0"/>
  </r>
  <r>
    <s v="TXN-20252126"/>
    <x v="148"/>
    <x v="2119"/>
    <x v="1"/>
    <n v="4559.92"/>
    <x v="0"/>
    <n v="52"/>
    <s v="Male"/>
    <x v="4"/>
    <x v="0"/>
    <x v="3"/>
  </r>
  <r>
    <s v="TXN-20252127"/>
    <x v="304"/>
    <x v="2120"/>
    <x v="1"/>
    <n v="6505.87"/>
    <x v="0"/>
    <n v="43"/>
    <s v="Male"/>
    <x v="8"/>
    <x v="0"/>
    <x v="3"/>
  </r>
  <r>
    <s v="TXN-20252128"/>
    <x v="294"/>
    <x v="2121"/>
    <x v="1"/>
    <n v="73251"/>
    <x v="0"/>
    <n v="39"/>
    <s v="Female"/>
    <x v="1"/>
    <x v="0"/>
    <x v="1"/>
  </r>
  <r>
    <s v="TXN-20252129"/>
    <x v="136"/>
    <x v="2122"/>
    <x v="0"/>
    <n v="2342.35"/>
    <x v="0"/>
    <n v="31"/>
    <s v="Male"/>
    <x v="3"/>
    <x v="2"/>
    <x v="2"/>
  </r>
  <r>
    <s v="TXN-20252130"/>
    <x v="145"/>
    <x v="2123"/>
    <x v="1"/>
    <n v="26653.21"/>
    <x v="0"/>
    <n v="25"/>
    <s v="Female"/>
    <x v="4"/>
    <x v="1"/>
    <x v="0"/>
  </r>
  <r>
    <s v="TXN-20252131"/>
    <x v="13"/>
    <x v="2124"/>
    <x v="3"/>
    <n v="1110.5"/>
    <x v="0"/>
    <n v="32"/>
    <s v="Female"/>
    <x v="2"/>
    <x v="0"/>
    <x v="3"/>
  </r>
  <r>
    <s v="TXN-20252132"/>
    <x v="216"/>
    <x v="2125"/>
    <x v="4"/>
    <n v="10000"/>
    <x v="0"/>
    <n v="48"/>
    <s v="Female"/>
    <x v="4"/>
    <x v="0"/>
    <x v="0"/>
  </r>
  <r>
    <s v="TXN-20252133"/>
    <x v="31"/>
    <x v="2126"/>
    <x v="1"/>
    <n v="29746.19"/>
    <x v="0"/>
    <n v="45"/>
    <s v="Female"/>
    <x v="4"/>
    <x v="0"/>
    <x v="0"/>
  </r>
  <r>
    <s v="TXN-20252134"/>
    <x v="88"/>
    <x v="2127"/>
    <x v="1"/>
    <n v="23362.6"/>
    <x v="0"/>
    <n v="45"/>
    <s v="Male"/>
    <x v="6"/>
    <x v="1"/>
    <x v="0"/>
  </r>
  <r>
    <s v="TXN-20252135"/>
    <x v="28"/>
    <x v="2128"/>
    <x v="1"/>
    <n v="36620"/>
    <x v="0"/>
    <n v="36"/>
    <s v="Male"/>
    <x v="9"/>
    <x v="0"/>
    <x v="3"/>
  </r>
  <r>
    <s v="TXN-20252136"/>
    <x v="81"/>
    <x v="2129"/>
    <x v="1"/>
    <n v="18226.150000000001"/>
    <x v="0"/>
    <n v="50"/>
    <s v="Female"/>
    <x v="2"/>
    <x v="2"/>
    <x v="3"/>
  </r>
  <r>
    <s v="TXN-20252137"/>
    <x v="266"/>
    <x v="2130"/>
    <x v="1"/>
    <n v="3708.86"/>
    <x v="0"/>
    <n v="35"/>
    <s v="Female"/>
    <x v="1"/>
    <x v="3"/>
    <x v="1"/>
  </r>
  <r>
    <s v="TXN-20252138"/>
    <x v="79"/>
    <x v="2131"/>
    <x v="4"/>
    <n v="10000"/>
    <x v="0"/>
    <n v="50"/>
    <s v="Male"/>
    <x v="7"/>
    <x v="1"/>
    <x v="1"/>
  </r>
  <r>
    <s v="TXN-20252139"/>
    <x v="32"/>
    <x v="2132"/>
    <x v="3"/>
    <n v="8553.42"/>
    <x v="0"/>
    <n v="43"/>
    <s v="Female"/>
    <x v="4"/>
    <x v="0"/>
    <x v="0"/>
  </r>
  <r>
    <s v="TXN-20252140"/>
    <x v="271"/>
    <x v="2133"/>
    <x v="1"/>
    <n v="4303.04"/>
    <x v="0"/>
    <n v="28"/>
    <s v="Female"/>
    <x v="4"/>
    <x v="0"/>
    <x v="3"/>
  </r>
  <r>
    <s v="TXN-20252141"/>
    <x v="118"/>
    <x v="2134"/>
    <x v="0"/>
    <n v="2080.17"/>
    <x v="0"/>
    <n v="36"/>
    <s v="Male"/>
    <x v="4"/>
    <x v="0"/>
    <x v="0"/>
  </r>
  <r>
    <s v="TXN-20252142"/>
    <x v="274"/>
    <x v="2135"/>
    <x v="1"/>
    <n v="11922.61"/>
    <x v="0"/>
    <n v="46"/>
    <s v="Female"/>
    <x v="5"/>
    <x v="0"/>
    <x v="0"/>
  </r>
  <r>
    <s v="TXN-20252143"/>
    <x v="56"/>
    <x v="2136"/>
    <x v="1"/>
    <n v="16396.939999999999"/>
    <x v="0"/>
    <n v="31"/>
    <s v="Male"/>
    <x v="4"/>
    <x v="2"/>
    <x v="3"/>
  </r>
  <r>
    <s v="TXN-20252144"/>
    <x v="342"/>
    <x v="2137"/>
    <x v="0"/>
    <n v="239.87"/>
    <x v="0"/>
    <n v="42"/>
    <s v="Male"/>
    <x v="5"/>
    <x v="2"/>
    <x v="1"/>
  </r>
  <r>
    <s v="TXN-20252145"/>
    <x v="345"/>
    <x v="2138"/>
    <x v="1"/>
    <n v="14567.47"/>
    <x v="0"/>
    <n v="28"/>
    <s v="Female"/>
    <x v="6"/>
    <x v="0"/>
    <x v="0"/>
  </r>
  <r>
    <s v="TXN-20252146"/>
    <x v="227"/>
    <x v="2139"/>
    <x v="2"/>
    <n v="9026.5300000000007"/>
    <x v="0"/>
    <n v="51"/>
    <s v="Male"/>
    <x v="4"/>
    <x v="0"/>
    <x v="0"/>
  </r>
  <r>
    <s v="TXN-20252147"/>
    <x v="136"/>
    <x v="2140"/>
    <x v="2"/>
    <n v="3531.48"/>
    <x v="0"/>
    <n v="31"/>
    <s v="Male"/>
    <x v="3"/>
    <x v="2"/>
    <x v="3"/>
  </r>
  <r>
    <s v="TXN-20252148"/>
    <x v="152"/>
    <x v="2141"/>
    <x v="1"/>
    <n v="10622.12"/>
    <x v="0"/>
    <n v="39"/>
    <s v="Male"/>
    <x v="5"/>
    <x v="0"/>
    <x v="0"/>
  </r>
  <r>
    <s v="TXN-20252149"/>
    <x v="293"/>
    <x v="2142"/>
    <x v="1"/>
    <n v="12393.12"/>
    <x v="0"/>
    <n v="45"/>
    <s v="Female"/>
    <x v="4"/>
    <x v="0"/>
    <x v="3"/>
  </r>
  <r>
    <s v="TXN-20252150"/>
    <x v="101"/>
    <x v="2143"/>
    <x v="1"/>
    <n v="23048.36"/>
    <x v="0"/>
    <n v="26"/>
    <s v="Female"/>
    <x v="8"/>
    <x v="0"/>
    <x v="0"/>
  </r>
  <r>
    <s v="TXN-20252151"/>
    <x v="13"/>
    <x v="2144"/>
    <x v="1"/>
    <n v="8052.96"/>
    <x v="0"/>
    <n v="32"/>
    <s v="Female"/>
    <x v="2"/>
    <x v="0"/>
    <x v="0"/>
  </r>
  <r>
    <s v="TXN-20252152"/>
    <x v="242"/>
    <x v="2145"/>
    <x v="3"/>
    <n v="862.41"/>
    <x v="0"/>
    <n v="33"/>
    <s v="Male"/>
    <x v="4"/>
    <x v="2"/>
    <x v="1"/>
  </r>
  <r>
    <s v="TXN-20252153"/>
    <x v="264"/>
    <x v="2146"/>
    <x v="0"/>
    <n v="943.67"/>
    <x v="0"/>
    <n v="22"/>
    <s v="Female"/>
    <x v="2"/>
    <x v="2"/>
    <x v="0"/>
  </r>
  <r>
    <s v="TXN-20252154"/>
    <x v="258"/>
    <x v="2147"/>
    <x v="0"/>
    <n v="513.83000000000004"/>
    <x v="0"/>
    <n v="31"/>
    <s v="Male"/>
    <x v="4"/>
    <x v="3"/>
    <x v="0"/>
  </r>
  <r>
    <s v="TXN-20252155"/>
    <x v="8"/>
    <x v="2148"/>
    <x v="1"/>
    <n v="36612.15"/>
    <x v="0"/>
    <n v="53"/>
    <s v="Male"/>
    <x v="6"/>
    <x v="2"/>
    <x v="0"/>
  </r>
  <r>
    <s v="TXN-20252156"/>
    <x v="272"/>
    <x v="2149"/>
    <x v="1"/>
    <n v="42292.99"/>
    <x v="0"/>
    <n v="37"/>
    <s v="Male"/>
    <x v="8"/>
    <x v="0"/>
    <x v="2"/>
  </r>
  <r>
    <s v="TXN-20252157"/>
    <x v="339"/>
    <x v="2150"/>
    <x v="1"/>
    <n v="2429.7199999999998"/>
    <x v="0"/>
    <n v="37"/>
    <s v="Male"/>
    <x v="5"/>
    <x v="0"/>
    <x v="0"/>
  </r>
  <r>
    <s v="TXN-20252158"/>
    <x v="39"/>
    <x v="2151"/>
    <x v="1"/>
    <n v="56300.91"/>
    <x v="0"/>
    <n v="47"/>
    <s v="Female"/>
    <x v="4"/>
    <x v="0"/>
    <x v="0"/>
  </r>
  <r>
    <s v="TXN-20252159"/>
    <x v="151"/>
    <x v="2152"/>
    <x v="0"/>
    <n v="713.58"/>
    <x v="0"/>
    <n v="28"/>
    <s v="Female"/>
    <x v="1"/>
    <x v="0"/>
    <x v="0"/>
  </r>
  <r>
    <s v="TXN-20252160"/>
    <x v="54"/>
    <x v="2153"/>
    <x v="0"/>
    <n v="884.57"/>
    <x v="0"/>
    <n v="56"/>
    <s v="Female"/>
    <x v="5"/>
    <x v="0"/>
    <x v="0"/>
  </r>
  <r>
    <s v="TXN-20252161"/>
    <x v="88"/>
    <x v="2154"/>
    <x v="1"/>
    <n v="11927.96"/>
    <x v="0"/>
    <n v="45"/>
    <s v="Male"/>
    <x v="6"/>
    <x v="1"/>
    <x v="3"/>
  </r>
  <r>
    <s v="TXN-20252162"/>
    <x v="286"/>
    <x v="2155"/>
    <x v="0"/>
    <n v="944.14"/>
    <x v="0"/>
    <n v="39"/>
    <s v="Female"/>
    <x v="6"/>
    <x v="1"/>
    <x v="0"/>
  </r>
  <r>
    <s v="TXN-20252163"/>
    <x v="279"/>
    <x v="2156"/>
    <x v="3"/>
    <n v="4526.76"/>
    <x v="0"/>
    <n v="28"/>
    <s v="Male"/>
    <x v="4"/>
    <x v="0"/>
    <x v="0"/>
  </r>
  <r>
    <s v="TXN-20252164"/>
    <x v="236"/>
    <x v="2157"/>
    <x v="1"/>
    <n v="16897.150000000001"/>
    <x v="0"/>
    <n v="45"/>
    <s v="Male"/>
    <x v="4"/>
    <x v="3"/>
    <x v="0"/>
  </r>
  <r>
    <s v="TXN-20252165"/>
    <x v="74"/>
    <x v="2158"/>
    <x v="0"/>
    <n v="1702.37"/>
    <x v="0"/>
    <n v="31"/>
    <s v="Female"/>
    <x v="0"/>
    <x v="0"/>
    <x v="0"/>
  </r>
  <r>
    <s v="TXN-20252166"/>
    <x v="104"/>
    <x v="2159"/>
    <x v="1"/>
    <n v="23690.74"/>
    <x v="0"/>
    <n v="50"/>
    <s v="Female"/>
    <x v="7"/>
    <x v="2"/>
    <x v="0"/>
  </r>
  <r>
    <s v="TXN-20252167"/>
    <x v="60"/>
    <x v="2160"/>
    <x v="2"/>
    <n v="8073.57"/>
    <x v="0"/>
    <n v="31"/>
    <s v="Female"/>
    <x v="2"/>
    <x v="2"/>
    <x v="0"/>
  </r>
  <r>
    <s v="TXN-20252168"/>
    <x v="210"/>
    <x v="2161"/>
    <x v="1"/>
    <n v="19646.080000000002"/>
    <x v="0"/>
    <n v="32"/>
    <s v="Male"/>
    <x v="4"/>
    <x v="1"/>
    <x v="0"/>
  </r>
  <r>
    <s v="TXN-20252169"/>
    <x v="331"/>
    <x v="2162"/>
    <x v="1"/>
    <n v="11774.43"/>
    <x v="0"/>
    <n v="29"/>
    <s v="Female"/>
    <x v="2"/>
    <x v="0"/>
    <x v="3"/>
  </r>
  <r>
    <s v="TXN-20252170"/>
    <x v="46"/>
    <x v="2163"/>
    <x v="2"/>
    <n v="4847.16"/>
    <x v="0"/>
    <n v="20"/>
    <s v="Male"/>
    <x v="5"/>
    <x v="0"/>
    <x v="0"/>
  </r>
  <r>
    <s v="TXN-20252171"/>
    <x v="279"/>
    <x v="2164"/>
    <x v="1"/>
    <n v="36263.64"/>
    <x v="0"/>
    <n v="28"/>
    <s v="Male"/>
    <x v="4"/>
    <x v="0"/>
    <x v="0"/>
  </r>
  <r>
    <s v="TXN-20252172"/>
    <x v="51"/>
    <x v="2165"/>
    <x v="1"/>
    <n v="33497.75"/>
    <x v="1"/>
    <n v="49"/>
    <s v="Female"/>
    <x v="4"/>
    <x v="0"/>
    <x v="0"/>
  </r>
  <r>
    <s v="TXN-20252173"/>
    <x v="199"/>
    <x v="2166"/>
    <x v="1"/>
    <n v="6456.66"/>
    <x v="0"/>
    <n v="42"/>
    <s v="Male"/>
    <x v="4"/>
    <x v="3"/>
    <x v="0"/>
  </r>
  <r>
    <s v="TXN-20252174"/>
    <x v="176"/>
    <x v="2167"/>
    <x v="1"/>
    <n v="5358.98"/>
    <x v="0"/>
    <n v="35"/>
    <s v="Male"/>
    <x v="0"/>
    <x v="0"/>
    <x v="0"/>
  </r>
  <r>
    <s v="TXN-20252175"/>
    <x v="223"/>
    <x v="2168"/>
    <x v="2"/>
    <n v="28306.080000000002"/>
    <x v="0"/>
    <n v="49"/>
    <s v="Male"/>
    <x v="4"/>
    <x v="0"/>
    <x v="0"/>
  </r>
  <r>
    <s v="TXN-20252176"/>
    <x v="189"/>
    <x v="2169"/>
    <x v="1"/>
    <n v="56439.55"/>
    <x v="0"/>
    <n v="42"/>
    <s v="Female"/>
    <x v="4"/>
    <x v="0"/>
    <x v="0"/>
  </r>
  <r>
    <s v="TXN-20252177"/>
    <x v="68"/>
    <x v="2170"/>
    <x v="4"/>
    <n v="5000"/>
    <x v="0"/>
    <n v="34"/>
    <s v="Male"/>
    <x v="6"/>
    <x v="0"/>
    <x v="2"/>
  </r>
  <r>
    <s v="TXN-20252178"/>
    <x v="260"/>
    <x v="2171"/>
    <x v="0"/>
    <n v="734.07"/>
    <x v="0"/>
    <n v="45"/>
    <s v="Female"/>
    <x v="8"/>
    <x v="0"/>
    <x v="0"/>
  </r>
  <r>
    <s v="TXN-20252179"/>
    <x v="232"/>
    <x v="2172"/>
    <x v="3"/>
    <n v="15610.94"/>
    <x v="0"/>
    <n v="23"/>
    <s v="Female"/>
    <x v="0"/>
    <x v="1"/>
    <x v="3"/>
  </r>
  <r>
    <s v="TXN-20252180"/>
    <x v="153"/>
    <x v="2173"/>
    <x v="1"/>
    <n v="22027.89"/>
    <x v="0"/>
    <n v="32"/>
    <s v="Female"/>
    <x v="4"/>
    <x v="0"/>
    <x v="0"/>
  </r>
  <r>
    <s v="TXN-20252181"/>
    <x v="16"/>
    <x v="2174"/>
    <x v="1"/>
    <n v="5954.13"/>
    <x v="0"/>
    <n v="42"/>
    <s v="Male"/>
    <x v="4"/>
    <x v="1"/>
    <x v="0"/>
  </r>
  <r>
    <s v="TXN-20252182"/>
    <x v="143"/>
    <x v="2175"/>
    <x v="3"/>
    <n v="4924.97"/>
    <x v="2"/>
    <n v="57"/>
    <s v="Male"/>
    <x v="0"/>
    <x v="1"/>
    <x v="0"/>
  </r>
  <r>
    <s v="TXN-20252183"/>
    <x v="220"/>
    <x v="2176"/>
    <x v="1"/>
    <n v="7805.97"/>
    <x v="0"/>
    <n v="33"/>
    <s v="Male"/>
    <x v="5"/>
    <x v="0"/>
    <x v="0"/>
  </r>
  <r>
    <s v="TXN-20252184"/>
    <x v="24"/>
    <x v="2177"/>
    <x v="1"/>
    <n v="33380.129999999997"/>
    <x v="2"/>
    <n v="41"/>
    <s v="Female"/>
    <x v="7"/>
    <x v="0"/>
    <x v="1"/>
  </r>
  <r>
    <s v="TXN-20252185"/>
    <x v="215"/>
    <x v="2178"/>
    <x v="4"/>
    <n v="40000"/>
    <x v="0"/>
    <n v="57"/>
    <s v="Male"/>
    <x v="9"/>
    <x v="0"/>
    <x v="3"/>
  </r>
  <r>
    <s v="TXN-20252186"/>
    <x v="242"/>
    <x v="2179"/>
    <x v="1"/>
    <n v="31094.27"/>
    <x v="0"/>
    <n v="33"/>
    <s v="Male"/>
    <x v="4"/>
    <x v="2"/>
    <x v="3"/>
  </r>
  <r>
    <s v="TXN-20252187"/>
    <x v="197"/>
    <x v="2180"/>
    <x v="1"/>
    <n v="41827.33"/>
    <x v="0"/>
    <n v="34"/>
    <s v="Male"/>
    <x v="6"/>
    <x v="0"/>
    <x v="1"/>
  </r>
  <r>
    <s v="TXN-20252188"/>
    <x v="177"/>
    <x v="2181"/>
    <x v="0"/>
    <n v="1518.84"/>
    <x v="0"/>
    <n v="44"/>
    <s v="Female"/>
    <x v="4"/>
    <x v="3"/>
    <x v="3"/>
  </r>
  <r>
    <s v="TXN-20252189"/>
    <x v="230"/>
    <x v="2182"/>
    <x v="2"/>
    <n v="908"/>
    <x v="0"/>
    <n v="27"/>
    <s v="Female"/>
    <x v="4"/>
    <x v="0"/>
    <x v="1"/>
  </r>
  <r>
    <s v="TXN-20252190"/>
    <x v="128"/>
    <x v="2183"/>
    <x v="0"/>
    <n v="2650.66"/>
    <x v="0"/>
    <n v="55"/>
    <s v="Male"/>
    <x v="4"/>
    <x v="2"/>
    <x v="3"/>
  </r>
  <r>
    <s v="TXN-20252191"/>
    <x v="92"/>
    <x v="2184"/>
    <x v="0"/>
    <n v="2914.85"/>
    <x v="0"/>
    <n v="27"/>
    <s v="Female"/>
    <x v="4"/>
    <x v="0"/>
    <x v="3"/>
  </r>
  <r>
    <s v="TXN-20252192"/>
    <x v="111"/>
    <x v="2185"/>
    <x v="0"/>
    <n v="1232.02"/>
    <x v="1"/>
    <n v="50"/>
    <s v="Male"/>
    <x v="1"/>
    <x v="1"/>
    <x v="3"/>
  </r>
  <r>
    <s v="TXN-20252193"/>
    <x v="348"/>
    <x v="2186"/>
    <x v="2"/>
    <n v="17373.05"/>
    <x v="0"/>
    <n v="46"/>
    <s v="Female"/>
    <x v="7"/>
    <x v="0"/>
    <x v="0"/>
  </r>
  <r>
    <s v="TXN-20252194"/>
    <x v="36"/>
    <x v="2187"/>
    <x v="2"/>
    <n v="59863.46"/>
    <x v="0"/>
    <n v="45"/>
    <s v="Male"/>
    <x v="6"/>
    <x v="0"/>
    <x v="0"/>
  </r>
  <r>
    <s v="TXN-20252195"/>
    <x v="244"/>
    <x v="2188"/>
    <x v="1"/>
    <n v="15186.49"/>
    <x v="0"/>
    <n v="42"/>
    <s v="Female"/>
    <x v="2"/>
    <x v="1"/>
    <x v="0"/>
  </r>
  <r>
    <s v="TXN-20252196"/>
    <x v="310"/>
    <x v="2189"/>
    <x v="0"/>
    <n v="1238.99"/>
    <x v="0"/>
    <n v="30"/>
    <s v="Female"/>
    <x v="7"/>
    <x v="2"/>
    <x v="3"/>
  </r>
  <r>
    <s v="TXN-20252197"/>
    <x v="179"/>
    <x v="2190"/>
    <x v="3"/>
    <n v="5451.36"/>
    <x v="0"/>
    <n v="35"/>
    <s v="Male"/>
    <x v="1"/>
    <x v="0"/>
    <x v="0"/>
  </r>
  <r>
    <s v="TXN-20252198"/>
    <x v="325"/>
    <x v="2191"/>
    <x v="2"/>
    <n v="3034.86"/>
    <x v="0"/>
    <n v="32"/>
    <s v="Male"/>
    <x v="4"/>
    <x v="1"/>
    <x v="0"/>
  </r>
  <r>
    <s v="TXN-20252199"/>
    <x v="234"/>
    <x v="2192"/>
    <x v="0"/>
    <n v="704.18"/>
    <x v="0"/>
    <n v="55"/>
    <s v="Male"/>
    <x v="3"/>
    <x v="1"/>
    <x v="0"/>
  </r>
  <r>
    <s v="TXN-20252200"/>
    <x v="109"/>
    <x v="2193"/>
    <x v="1"/>
    <n v="52643.74"/>
    <x v="0"/>
    <n v="42"/>
    <s v="Female"/>
    <x v="7"/>
    <x v="0"/>
    <x v="1"/>
  </r>
  <r>
    <s v="TXN-20252201"/>
    <x v="214"/>
    <x v="2194"/>
    <x v="1"/>
    <n v="2354.42"/>
    <x v="0"/>
    <n v="39"/>
    <s v="Male"/>
    <x v="6"/>
    <x v="0"/>
    <x v="2"/>
  </r>
  <r>
    <s v="TXN-20252202"/>
    <x v="224"/>
    <x v="2195"/>
    <x v="0"/>
    <n v="1317.15"/>
    <x v="0"/>
    <n v="29"/>
    <s v="Female"/>
    <x v="7"/>
    <x v="0"/>
    <x v="3"/>
  </r>
  <r>
    <s v="TXN-20252203"/>
    <x v="222"/>
    <x v="2196"/>
    <x v="2"/>
    <n v="1831"/>
    <x v="0"/>
    <n v="43"/>
    <s v="Male"/>
    <x v="6"/>
    <x v="2"/>
    <x v="3"/>
  </r>
  <r>
    <s v="TXN-20252204"/>
    <x v="212"/>
    <x v="2197"/>
    <x v="1"/>
    <n v="6722.22"/>
    <x v="0"/>
    <n v="47"/>
    <s v="Male"/>
    <x v="4"/>
    <x v="0"/>
    <x v="0"/>
  </r>
  <r>
    <s v="TXN-20252205"/>
    <x v="96"/>
    <x v="2198"/>
    <x v="0"/>
    <n v="445.38"/>
    <x v="0"/>
    <n v="30"/>
    <s v="Male"/>
    <x v="7"/>
    <x v="2"/>
    <x v="3"/>
  </r>
  <r>
    <s v="TXN-20252206"/>
    <x v="173"/>
    <x v="2199"/>
    <x v="1"/>
    <n v="43831.22"/>
    <x v="0"/>
    <n v="30"/>
    <s v="Male"/>
    <x v="6"/>
    <x v="1"/>
    <x v="0"/>
  </r>
  <r>
    <s v="TXN-20252207"/>
    <x v="244"/>
    <x v="2200"/>
    <x v="1"/>
    <n v="17420.55"/>
    <x v="0"/>
    <n v="42"/>
    <s v="Female"/>
    <x v="2"/>
    <x v="1"/>
    <x v="0"/>
  </r>
  <r>
    <s v="TXN-20252208"/>
    <x v="183"/>
    <x v="2201"/>
    <x v="4"/>
    <n v="20000"/>
    <x v="0"/>
    <n v="27"/>
    <s v="Female"/>
    <x v="1"/>
    <x v="0"/>
    <x v="0"/>
  </r>
  <r>
    <s v="TXN-20252209"/>
    <x v="37"/>
    <x v="2202"/>
    <x v="2"/>
    <n v="9541.61"/>
    <x v="0"/>
    <n v="60"/>
    <s v="Female"/>
    <x v="8"/>
    <x v="0"/>
    <x v="0"/>
  </r>
  <r>
    <s v="TXN-20252210"/>
    <x v="273"/>
    <x v="2203"/>
    <x v="3"/>
    <n v="9560.89"/>
    <x v="0"/>
    <n v="26"/>
    <s v="Female"/>
    <x v="8"/>
    <x v="0"/>
    <x v="3"/>
  </r>
  <r>
    <s v="TXN-20252211"/>
    <x v="88"/>
    <x v="2204"/>
    <x v="1"/>
    <n v="10692.54"/>
    <x v="0"/>
    <n v="45"/>
    <s v="Male"/>
    <x v="6"/>
    <x v="1"/>
    <x v="1"/>
  </r>
  <r>
    <s v="TXN-20252212"/>
    <x v="186"/>
    <x v="2205"/>
    <x v="2"/>
    <n v="4800.2"/>
    <x v="0"/>
    <n v="20"/>
    <s v="Male"/>
    <x v="7"/>
    <x v="0"/>
    <x v="3"/>
  </r>
  <r>
    <s v="TXN-20252213"/>
    <x v="6"/>
    <x v="2206"/>
    <x v="1"/>
    <n v="1350.7"/>
    <x v="0"/>
    <n v="36"/>
    <s v="Female"/>
    <x v="4"/>
    <x v="0"/>
    <x v="0"/>
  </r>
  <r>
    <s v="TXN-20252214"/>
    <x v="4"/>
    <x v="2207"/>
    <x v="1"/>
    <n v="2251.2800000000002"/>
    <x v="0"/>
    <n v="53"/>
    <s v="Male"/>
    <x v="4"/>
    <x v="0"/>
    <x v="0"/>
  </r>
  <r>
    <s v="TXN-20252215"/>
    <x v="156"/>
    <x v="2208"/>
    <x v="0"/>
    <n v="739.6"/>
    <x v="0"/>
    <n v="26"/>
    <s v="Male"/>
    <x v="2"/>
    <x v="0"/>
    <x v="0"/>
  </r>
  <r>
    <s v="TXN-20252216"/>
    <x v="36"/>
    <x v="2209"/>
    <x v="0"/>
    <n v="2817.4"/>
    <x v="0"/>
    <n v="45"/>
    <s v="Male"/>
    <x v="6"/>
    <x v="0"/>
    <x v="2"/>
  </r>
  <r>
    <s v="TXN-20252217"/>
    <x v="23"/>
    <x v="2210"/>
    <x v="2"/>
    <n v="607.79999999999995"/>
    <x v="0"/>
    <n v="33"/>
    <s v="Male"/>
    <x v="4"/>
    <x v="0"/>
    <x v="0"/>
  </r>
  <r>
    <s v="TXN-20252218"/>
    <x v="305"/>
    <x v="2211"/>
    <x v="1"/>
    <n v="64652.84"/>
    <x v="0"/>
    <n v="24"/>
    <s v="Male"/>
    <x v="2"/>
    <x v="0"/>
    <x v="0"/>
  </r>
  <r>
    <s v="TXN-20252219"/>
    <x v="327"/>
    <x v="2212"/>
    <x v="0"/>
    <n v="5612.45"/>
    <x v="0"/>
    <n v="40"/>
    <s v="Female"/>
    <x v="6"/>
    <x v="0"/>
    <x v="0"/>
  </r>
  <r>
    <s v="TXN-20252220"/>
    <x v="320"/>
    <x v="2213"/>
    <x v="0"/>
    <n v="5406.59"/>
    <x v="0"/>
    <n v="42"/>
    <s v="Female"/>
    <x v="1"/>
    <x v="0"/>
    <x v="0"/>
  </r>
  <r>
    <s v="TXN-20252221"/>
    <x v="209"/>
    <x v="2214"/>
    <x v="0"/>
    <n v="2071.54"/>
    <x v="0"/>
    <n v="53"/>
    <s v="Female"/>
    <x v="1"/>
    <x v="0"/>
    <x v="2"/>
  </r>
  <r>
    <s v="TXN-20252222"/>
    <x v="187"/>
    <x v="2215"/>
    <x v="0"/>
    <n v="299"/>
    <x v="0"/>
    <n v="28"/>
    <s v="Male"/>
    <x v="3"/>
    <x v="0"/>
    <x v="3"/>
  </r>
  <r>
    <s v="TXN-20252223"/>
    <x v="98"/>
    <x v="2216"/>
    <x v="1"/>
    <n v="18824.05"/>
    <x v="0"/>
    <n v="29"/>
    <s v="Male"/>
    <x v="2"/>
    <x v="0"/>
    <x v="2"/>
  </r>
  <r>
    <s v="TXN-20252224"/>
    <x v="229"/>
    <x v="2217"/>
    <x v="2"/>
    <n v="8553.64"/>
    <x v="0"/>
    <n v="22"/>
    <s v="Male"/>
    <x v="1"/>
    <x v="2"/>
    <x v="2"/>
  </r>
  <r>
    <s v="TXN-20252225"/>
    <x v="57"/>
    <x v="2218"/>
    <x v="3"/>
    <n v="16615.919999999998"/>
    <x v="0"/>
    <n v="22"/>
    <s v="Female"/>
    <x v="4"/>
    <x v="3"/>
    <x v="3"/>
  </r>
  <r>
    <s v="TXN-20252226"/>
    <x v="35"/>
    <x v="2219"/>
    <x v="1"/>
    <n v="38935.69"/>
    <x v="0"/>
    <n v="38"/>
    <s v="Male"/>
    <x v="1"/>
    <x v="0"/>
    <x v="2"/>
  </r>
  <r>
    <s v="TXN-20252227"/>
    <x v="25"/>
    <x v="2220"/>
    <x v="1"/>
    <n v="41871.58"/>
    <x v="0"/>
    <n v="25"/>
    <s v="Female"/>
    <x v="4"/>
    <x v="2"/>
    <x v="3"/>
  </r>
  <r>
    <s v="TXN-20252228"/>
    <x v="227"/>
    <x v="2221"/>
    <x v="1"/>
    <n v="49915.29"/>
    <x v="0"/>
    <n v="51"/>
    <s v="Male"/>
    <x v="4"/>
    <x v="0"/>
    <x v="1"/>
  </r>
  <r>
    <s v="TXN-20252229"/>
    <x v="268"/>
    <x v="2222"/>
    <x v="1"/>
    <n v="3726.01"/>
    <x v="0"/>
    <n v="54"/>
    <s v="Male"/>
    <x v="4"/>
    <x v="0"/>
    <x v="0"/>
  </r>
  <r>
    <s v="TXN-20252230"/>
    <x v="86"/>
    <x v="2223"/>
    <x v="0"/>
    <n v="543.46"/>
    <x v="0"/>
    <n v="40"/>
    <s v="Male"/>
    <x v="4"/>
    <x v="2"/>
    <x v="0"/>
  </r>
  <r>
    <s v="TXN-20252231"/>
    <x v="269"/>
    <x v="2224"/>
    <x v="0"/>
    <n v="220.89"/>
    <x v="0"/>
    <n v="37"/>
    <s v="Male"/>
    <x v="7"/>
    <x v="1"/>
    <x v="0"/>
  </r>
  <r>
    <s v="TXN-20252232"/>
    <x v="157"/>
    <x v="2225"/>
    <x v="1"/>
    <n v="32980.660000000003"/>
    <x v="0"/>
    <n v="31"/>
    <s v="Male"/>
    <x v="4"/>
    <x v="0"/>
    <x v="0"/>
  </r>
  <r>
    <s v="TXN-20252233"/>
    <x v="82"/>
    <x v="2226"/>
    <x v="0"/>
    <n v="2763.95"/>
    <x v="0"/>
    <n v="28"/>
    <s v="Male"/>
    <x v="3"/>
    <x v="0"/>
    <x v="2"/>
  </r>
  <r>
    <s v="TXN-20252234"/>
    <x v="317"/>
    <x v="2227"/>
    <x v="2"/>
    <n v="7751.4"/>
    <x v="0"/>
    <n v="25"/>
    <s v="Female"/>
    <x v="4"/>
    <x v="0"/>
    <x v="0"/>
  </r>
  <r>
    <s v="TXN-20252235"/>
    <x v="279"/>
    <x v="2228"/>
    <x v="3"/>
    <n v="2321.15"/>
    <x v="0"/>
    <n v="28"/>
    <s v="Male"/>
    <x v="4"/>
    <x v="0"/>
    <x v="0"/>
  </r>
  <r>
    <s v="TXN-20252236"/>
    <x v="217"/>
    <x v="2229"/>
    <x v="1"/>
    <n v="5666.15"/>
    <x v="0"/>
    <n v="42"/>
    <s v="Male"/>
    <x v="1"/>
    <x v="0"/>
    <x v="0"/>
  </r>
  <r>
    <s v="TXN-20252237"/>
    <x v="251"/>
    <x v="2230"/>
    <x v="2"/>
    <n v="2188.37"/>
    <x v="0"/>
    <n v="44"/>
    <s v="Male"/>
    <x v="1"/>
    <x v="0"/>
    <x v="0"/>
  </r>
  <r>
    <s v="TXN-20252238"/>
    <x v="17"/>
    <x v="2231"/>
    <x v="0"/>
    <n v="609.97"/>
    <x v="0"/>
    <n v="42"/>
    <s v="Male"/>
    <x v="7"/>
    <x v="0"/>
    <x v="0"/>
  </r>
  <r>
    <s v="TXN-20252239"/>
    <x v="138"/>
    <x v="2232"/>
    <x v="1"/>
    <n v="24440.95"/>
    <x v="1"/>
    <n v="38"/>
    <s v="Male"/>
    <x v="4"/>
    <x v="0"/>
    <x v="3"/>
  </r>
  <r>
    <s v="TXN-20252240"/>
    <x v="253"/>
    <x v="2233"/>
    <x v="1"/>
    <n v="3839.89"/>
    <x v="0"/>
    <n v="40"/>
    <s v="Male"/>
    <x v="0"/>
    <x v="0"/>
    <x v="1"/>
  </r>
  <r>
    <s v="TXN-20252241"/>
    <x v="228"/>
    <x v="2234"/>
    <x v="0"/>
    <n v="8314.64"/>
    <x v="2"/>
    <n v="47"/>
    <s v="Male"/>
    <x v="6"/>
    <x v="2"/>
    <x v="2"/>
  </r>
  <r>
    <s v="TXN-20252242"/>
    <x v="261"/>
    <x v="2235"/>
    <x v="4"/>
    <n v="10000"/>
    <x v="0"/>
    <n v="24"/>
    <s v="Male"/>
    <x v="4"/>
    <x v="0"/>
    <x v="0"/>
  </r>
  <r>
    <s v="TXN-20252243"/>
    <x v="309"/>
    <x v="2236"/>
    <x v="1"/>
    <n v="43610.82"/>
    <x v="1"/>
    <n v="40"/>
    <s v="Female"/>
    <x v="7"/>
    <x v="1"/>
    <x v="2"/>
  </r>
  <r>
    <s v="TXN-20252244"/>
    <x v="228"/>
    <x v="2237"/>
    <x v="1"/>
    <n v="44834.18"/>
    <x v="0"/>
    <n v="47"/>
    <s v="Male"/>
    <x v="6"/>
    <x v="2"/>
    <x v="3"/>
  </r>
  <r>
    <s v="TXN-20252245"/>
    <x v="335"/>
    <x v="2238"/>
    <x v="2"/>
    <n v="4254.09"/>
    <x v="0"/>
    <n v="39"/>
    <s v="Male"/>
    <x v="2"/>
    <x v="3"/>
    <x v="0"/>
  </r>
  <r>
    <s v="TXN-20252246"/>
    <x v="7"/>
    <x v="2239"/>
    <x v="2"/>
    <n v="3952.42"/>
    <x v="0"/>
    <n v="35"/>
    <s v="Male"/>
    <x v="5"/>
    <x v="1"/>
    <x v="0"/>
  </r>
  <r>
    <s v="TXN-20252247"/>
    <x v="103"/>
    <x v="2240"/>
    <x v="0"/>
    <n v="1787.43"/>
    <x v="0"/>
    <n v="39"/>
    <s v="Male"/>
    <x v="1"/>
    <x v="0"/>
    <x v="0"/>
  </r>
  <r>
    <s v="TXN-20252248"/>
    <x v="254"/>
    <x v="2241"/>
    <x v="2"/>
    <n v="7397.01"/>
    <x v="0"/>
    <n v="28"/>
    <s v="Female"/>
    <x v="7"/>
    <x v="0"/>
    <x v="0"/>
  </r>
  <r>
    <s v="TXN-20252249"/>
    <x v="234"/>
    <x v="2242"/>
    <x v="2"/>
    <n v="7605.46"/>
    <x v="0"/>
    <n v="55"/>
    <s v="Male"/>
    <x v="3"/>
    <x v="1"/>
    <x v="0"/>
  </r>
  <r>
    <s v="TXN-20252250"/>
    <x v="87"/>
    <x v="2243"/>
    <x v="2"/>
    <n v="24134.080000000002"/>
    <x v="0"/>
    <n v="35"/>
    <s v="Female"/>
    <x v="8"/>
    <x v="0"/>
    <x v="2"/>
  </r>
  <r>
    <s v="TXN-20252251"/>
    <x v="115"/>
    <x v="2244"/>
    <x v="1"/>
    <n v="26928.68"/>
    <x v="0"/>
    <n v="60"/>
    <s v="Female"/>
    <x v="1"/>
    <x v="0"/>
    <x v="0"/>
  </r>
  <r>
    <s v="TXN-20252252"/>
    <x v="119"/>
    <x v="2245"/>
    <x v="1"/>
    <n v="7744.95"/>
    <x v="0"/>
    <n v="31"/>
    <s v="Male"/>
    <x v="4"/>
    <x v="3"/>
    <x v="0"/>
  </r>
  <r>
    <s v="TXN-20252253"/>
    <x v="213"/>
    <x v="2246"/>
    <x v="1"/>
    <n v="22390.799999999999"/>
    <x v="0"/>
    <n v="46"/>
    <s v="Male"/>
    <x v="2"/>
    <x v="1"/>
    <x v="0"/>
  </r>
  <r>
    <s v="TXN-20252254"/>
    <x v="338"/>
    <x v="2247"/>
    <x v="2"/>
    <n v="6914.86"/>
    <x v="0"/>
    <n v="32"/>
    <s v="Female"/>
    <x v="2"/>
    <x v="2"/>
    <x v="0"/>
  </r>
  <r>
    <s v="TXN-20252255"/>
    <x v="48"/>
    <x v="2248"/>
    <x v="0"/>
    <n v="1134.43"/>
    <x v="0"/>
    <n v="59"/>
    <s v="Male"/>
    <x v="0"/>
    <x v="0"/>
    <x v="3"/>
  </r>
  <r>
    <s v="TXN-20252256"/>
    <x v="170"/>
    <x v="2249"/>
    <x v="1"/>
    <n v="4648.1499999999996"/>
    <x v="0"/>
    <n v="31"/>
    <s v="Female"/>
    <x v="2"/>
    <x v="2"/>
    <x v="3"/>
  </r>
  <r>
    <s v="TXN-20252257"/>
    <x v="88"/>
    <x v="2250"/>
    <x v="1"/>
    <n v="62570.11"/>
    <x v="0"/>
    <n v="45"/>
    <s v="Male"/>
    <x v="6"/>
    <x v="1"/>
    <x v="0"/>
  </r>
  <r>
    <s v="TXN-20252258"/>
    <x v="259"/>
    <x v="2251"/>
    <x v="1"/>
    <n v="27404.61"/>
    <x v="1"/>
    <n v="42"/>
    <s v="Male"/>
    <x v="9"/>
    <x v="0"/>
    <x v="0"/>
  </r>
  <r>
    <s v="TXN-20252259"/>
    <x v="132"/>
    <x v="2252"/>
    <x v="1"/>
    <n v="7824.18"/>
    <x v="0"/>
    <n v="31"/>
    <s v="Male"/>
    <x v="4"/>
    <x v="2"/>
    <x v="0"/>
  </r>
  <r>
    <s v="TXN-20252260"/>
    <x v="38"/>
    <x v="2253"/>
    <x v="4"/>
    <n v="2000"/>
    <x v="0"/>
    <n v="42"/>
    <s v="Female"/>
    <x v="4"/>
    <x v="1"/>
    <x v="0"/>
  </r>
  <r>
    <s v="TXN-20252261"/>
    <x v="25"/>
    <x v="2254"/>
    <x v="4"/>
    <n v="10000"/>
    <x v="1"/>
    <n v="25"/>
    <s v="Female"/>
    <x v="4"/>
    <x v="2"/>
    <x v="0"/>
  </r>
  <r>
    <s v="TXN-20252262"/>
    <x v="10"/>
    <x v="2255"/>
    <x v="1"/>
    <n v="21086.78"/>
    <x v="0"/>
    <n v="60"/>
    <s v="Female"/>
    <x v="4"/>
    <x v="2"/>
    <x v="0"/>
  </r>
  <r>
    <s v="TXN-20252263"/>
    <x v="26"/>
    <x v="2256"/>
    <x v="4"/>
    <n v="40000"/>
    <x v="0"/>
    <n v="22"/>
    <s v="Female"/>
    <x v="6"/>
    <x v="2"/>
    <x v="3"/>
  </r>
  <r>
    <s v="TXN-20252264"/>
    <x v="166"/>
    <x v="2257"/>
    <x v="1"/>
    <n v="38923.08"/>
    <x v="0"/>
    <n v="30"/>
    <s v="Female"/>
    <x v="1"/>
    <x v="2"/>
    <x v="1"/>
  </r>
  <r>
    <s v="TXN-20252265"/>
    <x v="113"/>
    <x v="2258"/>
    <x v="1"/>
    <n v="3328.9"/>
    <x v="0"/>
    <n v="33"/>
    <s v="Female"/>
    <x v="4"/>
    <x v="0"/>
    <x v="3"/>
  </r>
  <r>
    <s v="TXN-20252266"/>
    <x v="251"/>
    <x v="2259"/>
    <x v="2"/>
    <n v="9405.02"/>
    <x v="0"/>
    <n v="44"/>
    <s v="Male"/>
    <x v="1"/>
    <x v="0"/>
    <x v="0"/>
  </r>
  <r>
    <s v="TXN-20252267"/>
    <x v="236"/>
    <x v="2260"/>
    <x v="1"/>
    <n v="16055.4"/>
    <x v="0"/>
    <n v="45"/>
    <s v="Male"/>
    <x v="4"/>
    <x v="3"/>
    <x v="0"/>
  </r>
  <r>
    <s v="TXN-20252268"/>
    <x v="196"/>
    <x v="2261"/>
    <x v="0"/>
    <n v="1106.24"/>
    <x v="0"/>
    <n v="42"/>
    <s v="Female"/>
    <x v="9"/>
    <x v="1"/>
    <x v="1"/>
  </r>
  <r>
    <s v="TXN-20252269"/>
    <x v="66"/>
    <x v="2262"/>
    <x v="0"/>
    <n v="3651.07"/>
    <x v="0"/>
    <n v="32"/>
    <s v="Male"/>
    <x v="4"/>
    <x v="2"/>
    <x v="3"/>
  </r>
  <r>
    <s v="TXN-20252270"/>
    <x v="259"/>
    <x v="2263"/>
    <x v="1"/>
    <n v="22356.13"/>
    <x v="0"/>
    <n v="42"/>
    <s v="Male"/>
    <x v="9"/>
    <x v="0"/>
    <x v="0"/>
  </r>
  <r>
    <s v="TXN-20252271"/>
    <x v="64"/>
    <x v="2264"/>
    <x v="1"/>
    <n v="14781.88"/>
    <x v="0"/>
    <n v="51"/>
    <s v="Female"/>
    <x v="2"/>
    <x v="0"/>
    <x v="3"/>
  </r>
  <r>
    <s v="TXN-20252272"/>
    <x v="311"/>
    <x v="2265"/>
    <x v="2"/>
    <n v="1731.02"/>
    <x v="1"/>
    <n v="60"/>
    <s v="Male"/>
    <x v="4"/>
    <x v="1"/>
    <x v="0"/>
  </r>
  <r>
    <s v="TXN-20252273"/>
    <x v="258"/>
    <x v="2266"/>
    <x v="2"/>
    <n v="14701"/>
    <x v="0"/>
    <n v="31"/>
    <s v="Male"/>
    <x v="4"/>
    <x v="3"/>
    <x v="3"/>
  </r>
  <r>
    <s v="TXN-20252274"/>
    <x v="309"/>
    <x v="2267"/>
    <x v="0"/>
    <n v="2501.7199999999998"/>
    <x v="0"/>
    <n v="40"/>
    <s v="Female"/>
    <x v="7"/>
    <x v="1"/>
    <x v="0"/>
  </r>
  <r>
    <s v="TXN-20252275"/>
    <x v="120"/>
    <x v="2268"/>
    <x v="1"/>
    <n v="5550.06"/>
    <x v="1"/>
    <n v="27"/>
    <s v="Male"/>
    <x v="4"/>
    <x v="2"/>
    <x v="0"/>
  </r>
  <r>
    <s v="TXN-20252276"/>
    <x v="279"/>
    <x v="2269"/>
    <x v="0"/>
    <n v="1506.17"/>
    <x v="0"/>
    <n v="28"/>
    <s v="Male"/>
    <x v="4"/>
    <x v="0"/>
    <x v="1"/>
  </r>
  <r>
    <s v="TXN-20252277"/>
    <x v="166"/>
    <x v="2270"/>
    <x v="1"/>
    <n v="68452.850000000006"/>
    <x v="0"/>
    <n v="30"/>
    <s v="Female"/>
    <x v="1"/>
    <x v="2"/>
    <x v="0"/>
  </r>
  <r>
    <s v="TXN-20252278"/>
    <x v="26"/>
    <x v="2271"/>
    <x v="2"/>
    <n v="50271.65"/>
    <x v="1"/>
    <n v="22"/>
    <s v="Female"/>
    <x v="6"/>
    <x v="2"/>
    <x v="2"/>
  </r>
  <r>
    <s v="TXN-20252279"/>
    <x v="61"/>
    <x v="2272"/>
    <x v="1"/>
    <n v="8598.33"/>
    <x v="0"/>
    <n v="31"/>
    <s v="Female"/>
    <x v="3"/>
    <x v="3"/>
    <x v="0"/>
  </r>
  <r>
    <s v="TXN-20252280"/>
    <x v="21"/>
    <x v="2273"/>
    <x v="0"/>
    <n v="1559.57"/>
    <x v="0"/>
    <n v="27"/>
    <s v="Female"/>
    <x v="7"/>
    <x v="0"/>
    <x v="0"/>
  </r>
  <r>
    <s v="TXN-20252281"/>
    <x v="33"/>
    <x v="2274"/>
    <x v="1"/>
    <n v="36828.46"/>
    <x v="0"/>
    <n v="42"/>
    <s v="Male"/>
    <x v="4"/>
    <x v="2"/>
    <x v="0"/>
  </r>
  <r>
    <s v="TXN-20252282"/>
    <x v="164"/>
    <x v="2275"/>
    <x v="1"/>
    <n v="19778.689999999999"/>
    <x v="0"/>
    <n v="28"/>
    <s v="Male"/>
    <x v="7"/>
    <x v="1"/>
    <x v="2"/>
  </r>
  <r>
    <s v="TXN-20252283"/>
    <x v="344"/>
    <x v="2276"/>
    <x v="3"/>
    <n v="15827.81"/>
    <x v="0"/>
    <n v="46"/>
    <s v="Male"/>
    <x v="9"/>
    <x v="3"/>
    <x v="1"/>
  </r>
  <r>
    <s v="TXN-20252284"/>
    <x v="146"/>
    <x v="2277"/>
    <x v="0"/>
    <n v="3729.63"/>
    <x v="1"/>
    <n v="32"/>
    <s v="Male"/>
    <x v="4"/>
    <x v="0"/>
    <x v="0"/>
  </r>
  <r>
    <s v="TXN-20252285"/>
    <x v="290"/>
    <x v="2278"/>
    <x v="1"/>
    <n v="27461.72"/>
    <x v="0"/>
    <n v="29"/>
    <s v="Male"/>
    <x v="1"/>
    <x v="0"/>
    <x v="3"/>
  </r>
  <r>
    <s v="TXN-20252286"/>
    <x v="127"/>
    <x v="2279"/>
    <x v="1"/>
    <n v="18914.849999999999"/>
    <x v="0"/>
    <n v="40"/>
    <s v="Male"/>
    <x v="4"/>
    <x v="0"/>
    <x v="0"/>
  </r>
  <r>
    <s v="TXN-20252287"/>
    <x v="102"/>
    <x v="2280"/>
    <x v="1"/>
    <n v="19513.34"/>
    <x v="0"/>
    <n v="58"/>
    <s v="Female"/>
    <x v="3"/>
    <x v="2"/>
    <x v="2"/>
  </r>
  <r>
    <s v="TXN-20252288"/>
    <x v="109"/>
    <x v="2281"/>
    <x v="0"/>
    <n v="5653.95"/>
    <x v="0"/>
    <n v="42"/>
    <s v="Female"/>
    <x v="7"/>
    <x v="0"/>
    <x v="3"/>
  </r>
  <r>
    <s v="TXN-20252289"/>
    <x v="279"/>
    <x v="2282"/>
    <x v="0"/>
    <n v="1175.21"/>
    <x v="0"/>
    <n v="28"/>
    <s v="Male"/>
    <x v="4"/>
    <x v="0"/>
    <x v="1"/>
  </r>
  <r>
    <s v="TXN-20252290"/>
    <x v="242"/>
    <x v="2283"/>
    <x v="1"/>
    <n v="25328.42"/>
    <x v="1"/>
    <n v="33"/>
    <s v="Male"/>
    <x v="4"/>
    <x v="2"/>
    <x v="3"/>
  </r>
  <r>
    <s v="TXN-20252291"/>
    <x v="52"/>
    <x v="2284"/>
    <x v="3"/>
    <n v="8833.15"/>
    <x v="0"/>
    <n v="49"/>
    <s v="Male"/>
    <x v="7"/>
    <x v="0"/>
    <x v="3"/>
  </r>
  <r>
    <s v="TXN-20252292"/>
    <x v="166"/>
    <x v="2285"/>
    <x v="0"/>
    <n v="698.41"/>
    <x v="1"/>
    <n v="30"/>
    <s v="Female"/>
    <x v="1"/>
    <x v="2"/>
    <x v="0"/>
  </r>
  <r>
    <s v="TXN-20252293"/>
    <x v="113"/>
    <x v="2286"/>
    <x v="0"/>
    <n v="788.22"/>
    <x v="0"/>
    <n v="33"/>
    <s v="Female"/>
    <x v="4"/>
    <x v="0"/>
    <x v="3"/>
  </r>
  <r>
    <s v="TXN-20252294"/>
    <x v="58"/>
    <x v="2287"/>
    <x v="2"/>
    <n v="41886.050000000003"/>
    <x v="0"/>
    <n v="30"/>
    <s v="Female"/>
    <x v="4"/>
    <x v="1"/>
    <x v="0"/>
  </r>
  <r>
    <s v="TXN-20252295"/>
    <x v="1"/>
    <x v="2288"/>
    <x v="0"/>
    <n v="1496.12"/>
    <x v="0"/>
    <n v="43"/>
    <s v="Male"/>
    <x v="1"/>
    <x v="0"/>
    <x v="3"/>
  </r>
  <r>
    <s v="TXN-20252296"/>
    <x v="314"/>
    <x v="2289"/>
    <x v="1"/>
    <n v="39940.18"/>
    <x v="0"/>
    <n v="36"/>
    <s v="Female"/>
    <x v="4"/>
    <x v="3"/>
    <x v="3"/>
  </r>
  <r>
    <s v="TXN-20252297"/>
    <x v="183"/>
    <x v="2290"/>
    <x v="3"/>
    <n v="13734.5"/>
    <x v="0"/>
    <n v="27"/>
    <s v="Female"/>
    <x v="1"/>
    <x v="0"/>
    <x v="3"/>
  </r>
  <r>
    <s v="TXN-20252298"/>
    <x v="97"/>
    <x v="2291"/>
    <x v="0"/>
    <n v="1618.22"/>
    <x v="0"/>
    <n v="35"/>
    <s v="Male"/>
    <x v="2"/>
    <x v="0"/>
    <x v="0"/>
  </r>
  <r>
    <s v="TXN-20252299"/>
    <x v="293"/>
    <x v="2292"/>
    <x v="0"/>
    <n v="909.73"/>
    <x v="0"/>
    <n v="45"/>
    <s v="Female"/>
    <x v="4"/>
    <x v="0"/>
    <x v="2"/>
  </r>
  <r>
    <s v="TXN-20252300"/>
    <x v="167"/>
    <x v="2293"/>
    <x v="1"/>
    <n v="19840.68"/>
    <x v="0"/>
    <n v="28"/>
    <s v="Male"/>
    <x v="1"/>
    <x v="1"/>
    <x v="3"/>
  </r>
  <r>
    <s v="TXN-20252301"/>
    <x v="44"/>
    <x v="2294"/>
    <x v="0"/>
    <n v="3348.23"/>
    <x v="0"/>
    <n v="26"/>
    <s v="Male"/>
    <x v="9"/>
    <x v="1"/>
    <x v="3"/>
  </r>
  <r>
    <s v="TXN-20252302"/>
    <x v="321"/>
    <x v="2295"/>
    <x v="1"/>
    <n v="78230.87"/>
    <x v="0"/>
    <n v="54"/>
    <s v="Female"/>
    <x v="9"/>
    <x v="3"/>
    <x v="2"/>
  </r>
  <r>
    <s v="TXN-20252303"/>
    <x v="110"/>
    <x v="2296"/>
    <x v="1"/>
    <n v="73937.33"/>
    <x v="0"/>
    <n v="29"/>
    <s v="Male"/>
    <x v="4"/>
    <x v="2"/>
    <x v="1"/>
  </r>
  <r>
    <s v="TXN-20252304"/>
    <x v="187"/>
    <x v="2297"/>
    <x v="3"/>
    <n v="7771.59"/>
    <x v="0"/>
    <n v="28"/>
    <s v="Male"/>
    <x v="3"/>
    <x v="0"/>
    <x v="1"/>
  </r>
  <r>
    <s v="TXN-20252305"/>
    <x v="202"/>
    <x v="2298"/>
    <x v="0"/>
    <n v="1721.15"/>
    <x v="0"/>
    <n v="37"/>
    <s v="Male"/>
    <x v="4"/>
    <x v="2"/>
    <x v="0"/>
  </r>
  <r>
    <s v="TXN-20252306"/>
    <x v="148"/>
    <x v="2299"/>
    <x v="1"/>
    <n v="39713.65"/>
    <x v="0"/>
    <n v="52"/>
    <s v="Male"/>
    <x v="4"/>
    <x v="0"/>
    <x v="1"/>
  </r>
  <r>
    <s v="TXN-20252307"/>
    <x v="286"/>
    <x v="2300"/>
    <x v="1"/>
    <n v="8796.2999999999993"/>
    <x v="0"/>
    <n v="39"/>
    <s v="Female"/>
    <x v="6"/>
    <x v="1"/>
    <x v="0"/>
  </r>
  <r>
    <s v="TXN-20252308"/>
    <x v="73"/>
    <x v="2301"/>
    <x v="0"/>
    <n v="950.76"/>
    <x v="0"/>
    <n v="48"/>
    <s v="Female"/>
    <x v="7"/>
    <x v="2"/>
    <x v="0"/>
  </r>
  <r>
    <s v="TXN-20252309"/>
    <x v="23"/>
    <x v="2302"/>
    <x v="1"/>
    <n v="3166.14"/>
    <x v="0"/>
    <n v="33"/>
    <s v="Male"/>
    <x v="4"/>
    <x v="0"/>
    <x v="2"/>
  </r>
  <r>
    <s v="TXN-20252310"/>
    <x v="241"/>
    <x v="2303"/>
    <x v="1"/>
    <n v="59883.35"/>
    <x v="0"/>
    <n v="44"/>
    <s v="Male"/>
    <x v="4"/>
    <x v="1"/>
    <x v="0"/>
  </r>
  <r>
    <s v="TXN-20252311"/>
    <x v="148"/>
    <x v="2304"/>
    <x v="3"/>
    <n v="9760.27"/>
    <x v="0"/>
    <n v="52"/>
    <s v="Male"/>
    <x v="4"/>
    <x v="0"/>
    <x v="0"/>
  </r>
  <r>
    <s v="TXN-20252312"/>
    <x v="83"/>
    <x v="2305"/>
    <x v="1"/>
    <n v="23707.68"/>
    <x v="0"/>
    <n v="57"/>
    <s v="Male"/>
    <x v="4"/>
    <x v="1"/>
    <x v="0"/>
  </r>
  <r>
    <s v="TXN-20252313"/>
    <x v="43"/>
    <x v="2306"/>
    <x v="1"/>
    <n v="67317.710000000006"/>
    <x v="0"/>
    <n v="49"/>
    <s v="Female"/>
    <x v="0"/>
    <x v="0"/>
    <x v="0"/>
  </r>
  <r>
    <s v="TXN-20252314"/>
    <x v="238"/>
    <x v="2307"/>
    <x v="1"/>
    <n v="11108.15"/>
    <x v="0"/>
    <n v="33"/>
    <s v="Male"/>
    <x v="5"/>
    <x v="0"/>
    <x v="3"/>
  </r>
  <r>
    <s v="TXN-20252315"/>
    <x v="297"/>
    <x v="2308"/>
    <x v="4"/>
    <n v="5000"/>
    <x v="1"/>
    <n v="60"/>
    <s v="Male"/>
    <x v="1"/>
    <x v="0"/>
    <x v="1"/>
  </r>
  <r>
    <s v="TXN-20252316"/>
    <x v="294"/>
    <x v="2309"/>
    <x v="2"/>
    <n v="9386.77"/>
    <x v="1"/>
    <n v="39"/>
    <s v="Female"/>
    <x v="1"/>
    <x v="0"/>
    <x v="1"/>
  </r>
  <r>
    <s v="TXN-20252317"/>
    <x v="119"/>
    <x v="2310"/>
    <x v="2"/>
    <n v="24822.92"/>
    <x v="0"/>
    <n v="31"/>
    <s v="Male"/>
    <x v="4"/>
    <x v="3"/>
    <x v="1"/>
  </r>
  <r>
    <s v="TXN-20252318"/>
    <x v="90"/>
    <x v="2311"/>
    <x v="3"/>
    <n v="8431.8799999999992"/>
    <x v="0"/>
    <n v="36"/>
    <s v="Male"/>
    <x v="4"/>
    <x v="1"/>
    <x v="0"/>
  </r>
  <r>
    <s v="TXN-20252319"/>
    <x v="35"/>
    <x v="2312"/>
    <x v="0"/>
    <n v="1097.82"/>
    <x v="0"/>
    <n v="38"/>
    <s v="Male"/>
    <x v="1"/>
    <x v="0"/>
    <x v="0"/>
  </r>
  <r>
    <s v="TXN-20252320"/>
    <x v="312"/>
    <x v="2313"/>
    <x v="1"/>
    <n v="2521.42"/>
    <x v="0"/>
    <n v="38"/>
    <s v="Male"/>
    <x v="1"/>
    <x v="1"/>
    <x v="0"/>
  </r>
  <r>
    <s v="TXN-20252321"/>
    <x v="96"/>
    <x v="2314"/>
    <x v="0"/>
    <n v="1887.61"/>
    <x v="0"/>
    <n v="30"/>
    <s v="Male"/>
    <x v="7"/>
    <x v="2"/>
    <x v="0"/>
  </r>
  <r>
    <s v="TXN-20252322"/>
    <x v="42"/>
    <x v="2315"/>
    <x v="1"/>
    <n v="7131.26"/>
    <x v="0"/>
    <n v="39"/>
    <s v="Male"/>
    <x v="0"/>
    <x v="3"/>
    <x v="3"/>
  </r>
  <r>
    <s v="TXN-20252323"/>
    <x v="224"/>
    <x v="2316"/>
    <x v="1"/>
    <n v="2612.29"/>
    <x v="0"/>
    <n v="29"/>
    <s v="Female"/>
    <x v="7"/>
    <x v="0"/>
    <x v="0"/>
  </r>
  <r>
    <s v="TXN-20252324"/>
    <x v="144"/>
    <x v="2317"/>
    <x v="0"/>
    <n v="1478.25"/>
    <x v="0"/>
    <n v="40"/>
    <s v="Male"/>
    <x v="4"/>
    <x v="0"/>
    <x v="3"/>
  </r>
  <r>
    <s v="TXN-20252325"/>
    <x v="263"/>
    <x v="2318"/>
    <x v="0"/>
    <n v="1249.0999999999999"/>
    <x v="0"/>
    <n v="28"/>
    <s v="Female"/>
    <x v="4"/>
    <x v="0"/>
    <x v="3"/>
  </r>
  <r>
    <s v="TXN-20252326"/>
    <x v="269"/>
    <x v="2319"/>
    <x v="1"/>
    <n v="57578.29"/>
    <x v="0"/>
    <n v="37"/>
    <s v="Male"/>
    <x v="7"/>
    <x v="1"/>
    <x v="3"/>
  </r>
  <r>
    <s v="TXN-20252327"/>
    <x v="42"/>
    <x v="2320"/>
    <x v="4"/>
    <n v="40000"/>
    <x v="0"/>
    <n v="39"/>
    <s v="Male"/>
    <x v="0"/>
    <x v="3"/>
    <x v="0"/>
  </r>
  <r>
    <s v="TXN-20252328"/>
    <x v="328"/>
    <x v="2321"/>
    <x v="1"/>
    <n v="66457.17"/>
    <x v="0"/>
    <n v="36"/>
    <s v="Male"/>
    <x v="7"/>
    <x v="2"/>
    <x v="2"/>
  </r>
  <r>
    <s v="TXN-20252329"/>
    <x v="72"/>
    <x v="2322"/>
    <x v="0"/>
    <n v="1559.04"/>
    <x v="0"/>
    <n v="25"/>
    <s v="Male"/>
    <x v="4"/>
    <x v="0"/>
    <x v="2"/>
  </r>
  <r>
    <s v="TXN-20252330"/>
    <x v="33"/>
    <x v="2323"/>
    <x v="0"/>
    <n v="2503.58"/>
    <x v="1"/>
    <n v="42"/>
    <s v="Male"/>
    <x v="4"/>
    <x v="2"/>
    <x v="1"/>
  </r>
  <r>
    <s v="TXN-20252331"/>
    <x v="336"/>
    <x v="2324"/>
    <x v="2"/>
    <n v="25391.13"/>
    <x v="0"/>
    <n v="34"/>
    <s v="Male"/>
    <x v="4"/>
    <x v="0"/>
    <x v="0"/>
  </r>
  <r>
    <s v="TXN-20252332"/>
    <x v="276"/>
    <x v="2325"/>
    <x v="1"/>
    <n v="26845.61"/>
    <x v="0"/>
    <n v="45"/>
    <s v="Female"/>
    <x v="4"/>
    <x v="2"/>
    <x v="0"/>
  </r>
  <r>
    <s v="TXN-20252333"/>
    <x v="128"/>
    <x v="2326"/>
    <x v="1"/>
    <n v="8457.91"/>
    <x v="0"/>
    <n v="55"/>
    <s v="Male"/>
    <x v="4"/>
    <x v="2"/>
    <x v="0"/>
  </r>
  <r>
    <s v="TXN-20252334"/>
    <x v="11"/>
    <x v="2327"/>
    <x v="2"/>
    <n v="13515.98"/>
    <x v="2"/>
    <n v="64"/>
    <s v="Female"/>
    <x v="3"/>
    <x v="2"/>
    <x v="0"/>
  </r>
  <r>
    <s v="TXN-20252335"/>
    <x v="98"/>
    <x v="2328"/>
    <x v="0"/>
    <n v="1421.82"/>
    <x v="2"/>
    <n v="29"/>
    <s v="Male"/>
    <x v="2"/>
    <x v="0"/>
    <x v="3"/>
  </r>
  <r>
    <s v="TXN-20252336"/>
    <x v="251"/>
    <x v="2329"/>
    <x v="1"/>
    <n v="133733.95000000001"/>
    <x v="0"/>
    <n v="44"/>
    <s v="Male"/>
    <x v="1"/>
    <x v="0"/>
    <x v="2"/>
  </r>
  <r>
    <s v="TXN-20252337"/>
    <x v="127"/>
    <x v="2330"/>
    <x v="1"/>
    <n v="3930.92"/>
    <x v="0"/>
    <n v="40"/>
    <s v="Male"/>
    <x v="4"/>
    <x v="0"/>
    <x v="2"/>
  </r>
  <r>
    <s v="TXN-20252338"/>
    <x v="271"/>
    <x v="2331"/>
    <x v="1"/>
    <n v="36000.82"/>
    <x v="0"/>
    <n v="28"/>
    <s v="Female"/>
    <x v="4"/>
    <x v="0"/>
    <x v="0"/>
  </r>
  <r>
    <s v="TXN-20252339"/>
    <x v="111"/>
    <x v="2332"/>
    <x v="1"/>
    <n v="59690.57"/>
    <x v="0"/>
    <n v="50"/>
    <s v="Male"/>
    <x v="1"/>
    <x v="1"/>
    <x v="3"/>
  </r>
  <r>
    <s v="TXN-20252340"/>
    <x v="136"/>
    <x v="2333"/>
    <x v="1"/>
    <n v="18417.650000000001"/>
    <x v="0"/>
    <n v="31"/>
    <s v="Male"/>
    <x v="3"/>
    <x v="2"/>
    <x v="3"/>
  </r>
  <r>
    <s v="TXN-20252341"/>
    <x v="117"/>
    <x v="2334"/>
    <x v="1"/>
    <n v="62532.31"/>
    <x v="0"/>
    <n v="39"/>
    <s v="Male"/>
    <x v="2"/>
    <x v="0"/>
    <x v="3"/>
  </r>
  <r>
    <s v="TXN-20252342"/>
    <x v="325"/>
    <x v="2335"/>
    <x v="1"/>
    <n v="1504.17"/>
    <x v="0"/>
    <n v="32"/>
    <s v="Male"/>
    <x v="4"/>
    <x v="1"/>
    <x v="0"/>
  </r>
  <r>
    <s v="TXN-20252343"/>
    <x v="203"/>
    <x v="2336"/>
    <x v="1"/>
    <n v="8125.69"/>
    <x v="0"/>
    <n v="28"/>
    <s v="Male"/>
    <x v="4"/>
    <x v="2"/>
    <x v="3"/>
  </r>
  <r>
    <s v="TXN-20252344"/>
    <x v="340"/>
    <x v="2337"/>
    <x v="1"/>
    <n v="18870.36"/>
    <x v="0"/>
    <n v="28"/>
    <s v="Male"/>
    <x v="6"/>
    <x v="0"/>
    <x v="3"/>
  </r>
  <r>
    <s v="TXN-20252345"/>
    <x v="192"/>
    <x v="2338"/>
    <x v="0"/>
    <n v="320.48"/>
    <x v="0"/>
    <n v="26"/>
    <s v="Female"/>
    <x v="9"/>
    <x v="0"/>
    <x v="3"/>
  </r>
  <r>
    <s v="TXN-20252346"/>
    <x v="260"/>
    <x v="2339"/>
    <x v="2"/>
    <n v="22180.81"/>
    <x v="0"/>
    <n v="45"/>
    <s v="Female"/>
    <x v="8"/>
    <x v="0"/>
    <x v="2"/>
  </r>
  <r>
    <s v="TXN-20252347"/>
    <x v="115"/>
    <x v="2340"/>
    <x v="2"/>
    <n v="13063.77"/>
    <x v="0"/>
    <n v="60"/>
    <s v="Female"/>
    <x v="1"/>
    <x v="0"/>
    <x v="2"/>
  </r>
  <r>
    <s v="TXN-20252348"/>
    <x v="109"/>
    <x v="2341"/>
    <x v="0"/>
    <n v="637.44000000000005"/>
    <x v="0"/>
    <n v="42"/>
    <s v="Female"/>
    <x v="7"/>
    <x v="0"/>
    <x v="3"/>
  </r>
  <r>
    <s v="TXN-20252349"/>
    <x v="297"/>
    <x v="2342"/>
    <x v="0"/>
    <n v="1068.46"/>
    <x v="0"/>
    <n v="60"/>
    <s v="Male"/>
    <x v="1"/>
    <x v="0"/>
    <x v="3"/>
  </r>
  <r>
    <s v="TXN-20252350"/>
    <x v="195"/>
    <x v="2343"/>
    <x v="1"/>
    <n v="41204.92"/>
    <x v="0"/>
    <n v="23"/>
    <s v="Female"/>
    <x v="0"/>
    <x v="2"/>
    <x v="2"/>
  </r>
  <r>
    <s v="TXN-20252351"/>
    <x v="300"/>
    <x v="2344"/>
    <x v="1"/>
    <n v="2459.59"/>
    <x v="0"/>
    <n v="35"/>
    <s v="Female"/>
    <x v="4"/>
    <x v="2"/>
    <x v="0"/>
  </r>
  <r>
    <s v="TXN-20252352"/>
    <x v="187"/>
    <x v="2345"/>
    <x v="2"/>
    <n v="5609.66"/>
    <x v="0"/>
    <n v="28"/>
    <s v="Male"/>
    <x v="3"/>
    <x v="0"/>
    <x v="0"/>
  </r>
  <r>
    <s v="TXN-20252353"/>
    <x v="205"/>
    <x v="2346"/>
    <x v="1"/>
    <n v="9186.0300000000007"/>
    <x v="0"/>
    <n v="57"/>
    <s v="Male"/>
    <x v="4"/>
    <x v="1"/>
    <x v="0"/>
  </r>
  <r>
    <s v="TXN-20252354"/>
    <x v="341"/>
    <x v="2347"/>
    <x v="0"/>
    <n v="887.75"/>
    <x v="0"/>
    <n v="29"/>
    <s v="Male"/>
    <x v="4"/>
    <x v="0"/>
    <x v="1"/>
  </r>
  <r>
    <s v="TXN-20252355"/>
    <x v="74"/>
    <x v="2348"/>
    <x v="1"/>
    <n v="38920.78"/>
    <x v="1"/>
    <n v="31"/>
    <s v="Female"/>
    <x v="0"/>
    <x v="0"/>
    <x v="3"/>
  </r>
  <r>
    <s v="TXN-20252356"/>
    <x v="56"/>
    <x v="2349"/>
    <x v="2"/>
    <n v="2557.8000000000002"/>
    <x v="0"/>
    <n v="31"/>
    <s v="Male"/>
    <x v="4"/>
    <x v="2"/>
    <x v="0"/>
  </r>
  <r>
    <s v="TXN-20252357"/>
    <x v="156"/>
    <x v="2350"/>
    <x v="3"/>
    <n v="2219.41"/>
    <x v="0"/>
    <n v="26"/>
    <s v="Male"/>
    <x v="2"/>
    <x v="0"/>
    <x v="3"/>
  </r>
  <r>
    <s v="TXN-20252358"/>
    <x v="100"/>
    <x v="2351"/>
    <x v="1"/>
    <n v="34121.440000000002"/>
    <x v="1"/>
    <n v="36"/>
    <s v="Female"/>
    <x v="4"/>
    <x v="0"/>
    <x v="2"/>
  </r>
  <r>
    <s v="TXN-20252359"/>
    <x v="141"/>
    <x v="2352"/>
    <x v="1"/>
    <n v="4912.57"/>
    <x v="0"/>
    <n v="51"/>
    <s v="Male"/>
    <x v="1"/>
    <x v="0"/>
    <x v="2"/>
  </r>
  <r>
    <s v="TXN-20252360"/>
    <x v="271"/>
    <x v="2353"/>
    <x v="0"/>
    <n v="3239.8"/>
    <x v="0"/>
    <n v="28"/>
    <s v="Female"/>
    <x v="4"/>
    <x v="0"/>
    <x v="1"/>
  </r>
  <r>
    <s v="TXN-20252361"/>
    <x v="315"/>
    <x v="2354"/>
    <x v="1"/>
    <n v="2690.42"/>
    <x v="0"/>
    <n v="32"/>
    <s v="Female"/>
    <x v="4"/>
    <x v="0"/>
    <x v="3"/>
  </r>
  <r>
    <s v="TXN-20252362"/>
    <x v="9"/>
    <x v="2355"/>
    <x v="3"/>
    <n v="9491.18"/>
    <x v="0"/>
    <n v="30"/>
    <s v="Female"/>
    <x v="6"/>
    <x v="3"/>
    <x v="0"/>
  </r>
  <r>
    <s v="TXN-20252363"/>
    <x v="227"/>
    <x v="2356"/>
    <x v="0"/>
    <n v="553.07000000000005"/>
    <x v="0"/>
    <n v="51"/>
    <s v="Male"/>
    <x v="4"/>
    <x v="0"/>
    <x v="3"/>
  </r>
  <r>
    <s v="TXN-20252364"/>
    <x v="116"/>
    <x v="2357"/>
    <x v="0"/>
    <n v="2238.6"/>
    <x v="0"/>
    <n v="32"/>
    <s v="Female"/>
    <x v="6"/>
    <x v="0"/>
    <x v="2"/>
  </r>
  <r>
    <s v="TXN-20252365"/>
    <x v="78"/>
    <x v="2358"/>
    <x v="0"/>
    <n v="225.87"/>
    <x v="0"/>
    <n v="33"/>
    <s v="Male"/>
    <x v="4"/>
    <x v="2"/>
    <x v="0"/>
  </r>
  <r>
    <s v="TXN-20252366"/>
    <x v="330"/>
    <x v="2359"/>
    <x v="1"/>
    <n v="39588.120000000003"/>
    <x v="0"/>
    <n v="30"/>
    <s v="Male"/>
    <x v="8"/>
    <x v="0"/>
    <x v="2"/>
  </r>
  <r>
    <s v="TXN-20252367"/>
    <x v="88"/>
    <x v="2360"/>
    <x v="1"/>
    <n v="20750.52"/>
    <x v="0"/>
    <n v="45"/>
    <s v="Male"/>
    <x v="6"/>
    <x v="1"/>
    <x v="0"/>
  </r>
  <r>
    <s v="TXN-20252368"/>
    <x v="25"/>
    <x v="2361"/>
    <x v="1"/>
    <n v="54072.13"/>
    <x v="0"/>
    <n v="25"/>
    <s v="Female"/>
    <x v="4"/>
    <x v="2"/>
    <x v="1"/>
  </r>
  <r>
    <s v="TXN-20252369"/>
    <x v="176"/>
    <x v="2362"/>
    <x v="1"/>
    <n v="92189.79"/>
    <x v="0"/>
    <n v="35"/>
    <s v="Male"/>
    <x v="0"/>
    <x v="0"/>
    <x v="0"/>
  </r>
  <r>
    <s v="TXN-20252370"/>
    <x v="70"/>
    <x v="2363"/>
    <x v="1"/>
    <n v="37803.57"/>
    <x v="0"/>
    <n v="28"/>
    <s v="Female"/>
    <x v="4"/>
    <x v="0"/>
    <x v="3"/>
  </r>
  <r>
    <s v="TXN-20252371"/>
    <x v="46"/>
    <x v="2364"/>
    <x v="0"/>
    <n v="6053.91"/>
    <x v="2"/>
    <n v="20"/>
    <s v="Male"/>
    <x v="5"/>
    <x v="0"/>
    <x v="3"/>
  </r>
  <r>
    <s v="TXN-20252372"/>
    <x v="311"/>
    <x v="2365"/>
    <x v="3"/>
    <n v="1620.95"/>
    <x v="0"/>
    <n v="60"/>
    <s v="Male"/>
    <x v="4"/>
    <x v="1"/>
    <x v="2"/>
  </r>
  <r>
    <s v="TXN-20252373"/>
    <x v="78"/>
    <x v="2366"/>
    <x v="1"/>
    <n v="4794.1099999999997"/>
    <x v="0"/>
    <n v="33"/>
    <s v="Male"/>
    <x v="4"/>
    <x v="2"/>
    <x v="3"/>
  </r>
  <r>
    <s v="TXN-20252374"/>
    <x v="46"/>
    <x v="2367"/>
    <x v="3"/>
    <n v="822.59"/>
    <x v="0"/>
    <n v="20"/>
    <s v="Male"/>
    <x v="5"/>
    <x v="0"/>
    <x v="3"/>
  </r>
  <r>
    <s v="TXN-20252375"/>
    <x v="44"/>
    <x v="2368"/>
    <x v="2"/>
    <n v="6720"/>
    <x v="0"/>
    <n v="26"/>
    <s v="Male"/>
    <x v="9"/>
    <x v="1"/>
    <x v="3"/>
  </r>
  <r>
    <s v="TXN-20252376"/>
    <x v="289"/>
    <x v="2369"/>
    <x v="0"/>
    <n v="260.54000000000002"/>
    <x v="0"/>
    <n v="27"/>
    <s v="Female"/>
    <x v="0"/>
    <x v="3"/>
    <x v="0"/>
  </r>
  <r>
    <s v="TXN-20252377"/>
    <x v="199"/>
    <x v="2370"/>
    <x v="1"/>
    <n v="100491.29"/>
    <x v="0"/>
    <n v="42"/>
    <s v="Male"/>
    <x v="4"/>
    <x v="3"/>
    <x v="2"/>
  </r>
  <r>
    <s v="TXN-20252378"/>
    <x v="26"/>
    <x v="2371"/>
    <x v="0"/>
    <n v="318.79000000000002"/>
    <x v="1"/>
    <n v="22"/>
    <s v="Female"/>
    <x v="6"/>
    <x v="2"/>
    <x v="0"/>
  </r>
  <r>
    <s v="TXN-20252379"/>
    <x v="96"/>
    <x v="2372"/>
    <x v="1"/>
    <n v="21773.43"/>
    <x v="0"/>
    <n v="30"/>
    <s v="Male"/>
    <x v="7"/>
    <x v="2"/>
    <x v="3"/>
  </r>
  <r>
    <s v="TXN-20252380"/>
    <x v="191"/>
    <x v="2373"/>
    <x v="1"/>
    <n v="7513.03"/>
    <x v="0"/>
    <n v="27"/>
    <s v="Male"/>
    <x v="7"/>
    <x v="1"/>
    <x v="0"/>
  </r>
  <r>
    <s v="TXN-20252381"/>
    <x v="135"/>
    <x v="716"/>
    <x v="3"/>
    <n v="12474.8"/>
    <x v="2"/>
    <n v="32"/>
    <s v="Female"/>
    <x v="8"/>
    <x v="3"/>
    <x v="0"/>
  </r>
  <r>
    <s v="TXN-20252382"/>
    <x v="205"/>
    <x v="2374"/>
    <x v="0"/>
    <n v="798.43"/>
    <x v="0"/>
    <n v="57"/>
    <s v="Male"/>
    <x v="4"/>
    <x v="1"/>
    <x v="0"/>
  </r>
  <r>
    <s v="TXN-20252383"/>
    <x v="335"/>
    <x v="2375"/>
    <x v="2"/>
    <n v="10442.59"/>
    <x v="0"/>
    <n v="39"/>
    <s v="Male"/>
    <x v="2"/>
    <x v="3"/>
    <x v="3"/>
  </r>
  <r>
    <s v="TXN-20252384"/>
    <x v="290"/>
    <x v="2376"/>
    <x v="1"/>
    <n v="14364.64"/>
    <x v="0"/>
    <n v="29"/>
    <s v="Male"/>
    <x v="1"/>
    <x v="0"/>
    <x v="1"/>
  </r>
  <r>
    <s v="TXN-20252385"/>
    <x v="178"/>
    <x v="2377"/>
    <x v="2"/>
    <n v="9796.75"/>
    <x v="0"/>
    <n v="47"/>
    <s v="Male"/>
    <x v="4"/>
    <x v="0"/>
    <x v="0"/>
  </r>
  <r>
    <s v="TXN-20252386"/>
    <x v="171"/>
    <x v="2378"/>
    <x v="1"/>
    <n v="29611.85"/>
    <x v="0"/>
    <n v="51"/>
    <s v="Male"/>
    <x v="1"/>
    <x v="2"/>
    <x v="0"/>
  </r>
  <r>
    <s v="TXN-20252387"/>
    <x v="177"/>
    <x v="2379"/>
    <x v="0"/>
    <n v="898.56"/>
    <x v="0"/>
    <n v="44"/>
    <s v="Female"/>
    <x v="4"/>
    <x v="3"/>
    <x v="0"/>
  </r>
  <r>
    <s v="TXN-20252388"/>
    <x v="119"/>
    <x v="2380"/>
    <x v="1"/>
    <n v="47772.15"/>
    <x v="0"/>
    <n v="31"/>
    <s v="Male"/>
    <x v="4"/>
    <x v="3"/>
    <x v="2"/>
  </r>
  <r>
    <s v="TXN-20252389"/>
    <x v="105"/>
    <x v="2381"/>
    <x v="2"/>
    <n v="2262.64"/>
    <x v="1"/>
    <n v="26"/>
    <s v="Female"/>
    <x v="4"/>
    <x v="2"/>
    <x v="0"/>
  </r>
  <r>
    <s v="TXN-20252390"/>
    <x v="142"/>
    <x v="2382"/>
    <x v="3"/>
    <n v="6068.82"/>
    <x v="0"/>
    <n v="22"/>
    <s v="Female"/>
    <x v="0"/>
    <x v="0"/>
    <x v="3"/>
  </r>
  <r>
    <s v="TXN-20252391"/>
    <x v="105"/>
    <x v="2383"/>
    <x v="1"/>
    <n v="9181.85"/>
    <x v="0"/>
    <n v="26"/>
    <s v="Female"/>
    <x v="4"/>
    <x v="2"/>
    <x v="0"/>
  </r>
  <r>
    <s v="TXN-20252392"/>
    <x v="143"/>
    <x v="2384"/>
    <x v="1"/>
    <n v="32476.25"/>
    <x v="0"/>
    <n v="57"/>
    <s v="Male"/>
    <x v="0"/>
    <x v="1"/>
    <x v="0"/>
  </r>
  <r>
    <s v="TXN-20252393"/>
    <x v="138"/>
    <x v="2385"/>
    <x v="1"/>
    <n v="14036.76"/>
    <x v="0"/>
    <n v="38"/>
    <s v="Male"/>
    <x v="4"/>
    <x v="0"/>
    <x v="0"/>
  </r>
  <r>
    <s v="TXN-20252394"/>
    <x v="199"/>
    <x v="2386"/>
    <x v="2"/>
    <n v="10702.2"/>
    <x v="0"/>
    <n v="42"/>
    <s v="Male"/>
    <x v="4"/>
    <x v="3"/>
    <x v="3"/>
  </r>
  <r>
    <s v="TXN-20252395"/>
    <x v="182"/>
    <x v="2387"/>
    <x v="1"/>
    <n v="28103.29"/>
    <x v="0"/>
    <n v="50"/>
    <s v="Female"/>
    <x v="2"/>
    <x v="0"/>
    <x v="0"/>
  </r>
  <r>
    <s v="TXN-20252396"/>
    <x v="119"/>
    <x v="2388"/>
    <x v="4"/>
    <n v="2000"/>
    <x v="0"/>
    <n v="31"/>
    <s v="Male"/>
    <x v="4"/>
    <x v="3"/>
    <x v="2"/>
  </r>
  <r>
    <s v="TXN-20252397"/>
    <x v="35"/>
    <x v="2389"/>
    <x v="3"/>
    <n v="4491.2299999999996"/>
    <x v="0"/>
    <n v="38"/>
    <s v="Male"/>
    <x v="1"/>
    <x v="0"/>
    <x v="0"/>
  </r>
  <r>
    <s v="TXN-20252398"/>
    <x v="180"/>
    <x v="2390"/>
    <x v="1"/>
    <n v="12255.98"/>
    <x v="0"/>
    <n v="39"/>
    <s v="Female"/>
    <x v="7"/>
    <x v="3"/>
    <x v="0"/>
  </r>
  <r>
    <s v="TXN-20252399"/>
    <x v="148"/>
    <x v="2391"/>
    <x v="1"/>
    <n v="8779.2099999999991"/>
    <x v="1"/>
    <n v="52"/>
    <s v="Male"/>
    <x v="4"/>
    <x v="0"/>
    <x v="0"/>
  </r>
  <r>
    <s v="TXN-20252400"/>
    <x v="170"/>
    <x v="2392"/>
    <x v="0"/>
    <n v="1309.6099999999999"/>
    <x v="0"/>
    <n v="31"/>
    <s v="Female"/>
    <x v="2"/>
    <x v="2"/>
    <x v="0"/>
  </r>
  <r>
    <s v="TXN-20252401"/>
    <x v="307"/>
    <x v="2393"/>
    <x v="1"/>
    <n v="1879.97"/>
    <x v="0"/>
    <n v="40"/>
    <s v="Male"/>
    <x v="4"/>
    <x v="3"/>
    <x v="3"/>
  </r>
  <r>
    <s v="TXN-20252402"/>
    <x v="242"/>
    <x v="2394"/>
    <x v="2"/>
    <n v="40599.629999999997"/>
    <x v="0"/>
    <n v="33"/>
    <s v="Male"/>
    <x v="4"/>
    <x v="2"/>
    <x v="2"/>
  </r>
  <r>
    <s v="TXN-20252403"/>
    <x v="157"/>
    <x v="2395"/>
    <x v="2"/>
    <n v="778.86"/>
    <x v="0"/>
    <n v="31"/>
    <s v="Male"/>
    <x v="4"/>
    <x v="0"/>
    <x v="2"/>
  </r>
  <r>
    <s v="TXN-20252404"/>
    <x v="112"/>
    <x v="2396"/>
    <x v="1"/>
    <n v="80465.38"/>
    <x v="0"/>
    <n v="52"/>
    <s v="Female"/>
    <x v="4"/>
    <x v="0"/>
    <x v="0"/>
  </r>
  <r>
    <s v="TXN-20252405"/>
    <x v="301"/>
    <x v="2397"/>
    <x v="1"/>
    <n v="20011.669999999998"/>
    <x v="0"/>
    <n v="39"/>
    <s v="Female"/>
    <x v="4"/>
    <x v="0"/>
    <x v="1"/>
  </r>
  <r>
    <s v="TXN-20252406"/>
    <x v="226"/>
    <x v="2398"/>
    <x v="1"/>
    <n v="25140.799999999999"/>
    <x v="0"/>
    <n v="22"/>
    <s v="Male"/>
    <x v="4"/>
    <x v="1"/>
    <x v="0"/>
  </r>
  <r>
    <s v="TXN-20252407"/>
    <x v="253"/>
    <x v="2399"/>
    <x v="1"/>
    <n v="35070.629999999997"/>
    <x v="2"/>
    <n v="40"/>
    <s v="Male"/>
    <x v="0"/>
    <x v="0"/>
    <x v="0"/>
  </r>
  <r>
    <s v="TXN-20252408"/>
    <x v="328"/>
    <x v="2400"/>
    <x v="1"/>
    <n v="65558.14"/>
    <x v="0"/>
    <n v="36"/>
    <s v="Male"/>
    <x v="7"/>
    <x v="2"/>
    <x v="0"/>
  </r>
  <r>
    <s v="TXN-20252409"/>
    <x v="20"/>
    <x v="2401"/>
    <x v="0"/>
    <n v="861.43"/>
    <x v="1"/>
    <n v="34"/>
    <s v="Female"/>
    <x v="8"/>
    <x v="0"/>
    <x v="0"/>
  </r>
  <r>
    <s v="TXN-20252410"/>
    <x v="27"/>
    <x v="2402"/>
    <x v="0"/>
    <n v="436.83"/>
    <x v="0"/>
    <n v="31"/>
    <s v="Female"/>
    <x v="7"/>
    <x v="1"/>
    <x v="0"/>
  </r>
  <r>
    <s v="TXN-20252411"/>
    <x v="292"/>
    <x v="2403"/>
    <x v="1"/>
    <n v="11694.48"/>
    <x v="1"/>
    <n v="25"/>
    <s v="Female"/>
    <x v="4"/>
    <x v="0"/>
    <x v="2"/>
  </r>
  <r>
    <s v="TXN-20252412"/>
    <x v="325"/>
    <x v="2404"/>
    <x v="1"/>
    <n v="18468.169999999998"/>
    <x v="0"/>
    <n v="32"/>
    <s v="Male"/>
    <x v="4"/>
    <x v="1"/>
    <x v="0"/>
  </r>
  <r>
    <s v="TXN-20252413"/>
    <x v="295"/>
    <x v="2405"/>
    <x v="0"/>
    <n v="606.33000000000004"/>
    <x v="1"/>
    <n v="37"/>
    <s v="Female"/>
    <x v="4"/>
    <x v="2"/>
    <x v="0"/>
  </r>
  <r>
    <s v="TXN-20252414"/>
    <x v="178"/>
    <x v="2406"/>
    <x v="1"/>
    <n v="21692.89"/>
    <x v="0"/>
    <n v="47"/>
    <s v="Male"/>
    <x v="4"/>
    <x v="0"/>
    <x v="0"/>
  </r>
  <r>
    <s v="TXN-20252415"/>
    <x v="304"/>
    <x v="2407"/>
    <x v="4"/>
    <n v="20000"/>
    <x v="0"/>
    <n v="43"/>
    <s v="Male"/>
    <x v="8"/>
    <x v="0"/>
    <x v="3"/>
  </r>
  <r>
    <s v="TXN-20252416"/>
    <x v="239"/>
    <x v="2408"/>
    <x v="1"/>
    <n v="54806.95"/>
    <x v="0"/>
    <n v="41"/>
    <s v="Male"/>
    <x v="2"/>
    <x v="0"/>
    <x v="2"/>
  </r>
  <r>
    <s v="TXN-20252417"/>
    <x v="157"/>
    <x v="2409"/>
    <x v="0"/>
    <n v="4015.96"/>
    <x v="0"/>
    <n v="31"/>
    <s v="Male"/>
    <x v="4"/>
    <x v="0"/>
    <x v="0"/>
  </r>
  <r>
    <s v="TXN-20252418"/>
    <x v="248"/>
    <x v="2410"/>
    <x v="0"/>
    <n v="683.16"/>
    <x v="0"/>
    <n v="45"/>
    <s v="Male"/>
    <x v="9"/>
    <x v="1"/>
    <x v="0"/>
  </r>
  <r>
    <s v="TXN-20252419"/>
    <x v="231"/>
    <x v="2411"/>
    <x v="4"/>
    <n v="10000"/>
    <x v="0"/>
    <n v="56"/>
    <s v="Female"/>
    <x v="2"/>
    <x v="0"/>
    <x v="1"/>
  </r>
  <r>
    <s v="TXN-20252420"/>
    <x v="243"/>
    <x v="2412"/>
    <x v="1"/>
    <n v="10278.200000000001"/>
    <x v="0"/>
    <n v="23"/>
    <s v="Female"/>
    <x v="4"/>
    <x v="0"/>
    <x v="3"/>
  </r>
  <r>
    <s v="TXN-20252421"/>
    <x v="338"/>
    <x v="2413"/>
    <x v="1"/>
    <n v="15371.08"/>
    <x v="0"/>
    <n v="32"/>
    <s v="Female"/>
    <x v="2"/>
    <x v="2"/>
    <x v="2"/>
  </r>
  <r>
    <s v="TXN-20252422"/>
    <x v="219"/>
    <x v="2414"/>
    <x v="2"/>
    <n v="33595.800000000003"/>
    <x v="0"/>
    <n v="47"/>
    <s v="Female"/>
    <x v="4"/>
    <x v="2"/>
    <x v="0"/>
  </r>
  <r>
    <s v="TXN-20252423"/>
    <x v="133"/>
    <x v="2415"/>
    <x v="0"/>
    <n v="1190.48"/>
    <x v="0"/>
    <n v="36"/>
    <s v="Female"/>
    <x v="2"/>
    <x v="1"/>
    <x v="3"/>
  </r>
  <r>
    <s v="TXN-20252424"/>
    <x v="253"/>
    <x v="2416"/>
    <x v="3"/>
    <n v="1154.49"/>
    <x v="0"/>
    <n v="40"/>
    <s v="Male"/>
    <x v="0"/>
    <x v="0"/>
    <x v="0"/>
  </r>
  <r>
    <s v="TXN-20252425"/>
    <x v="195"/>
    <x v="2417"/>
    <x v="2"/>
    <n v="4288.95"/>
    <x v="0"/>
    <n v="23"/>
    <s v="Female"/>
    <x v="0"/>
    <x v="2"/>
    <x v="3"/>
  </r>
  <r>
    <s v="TXN-20252426"/>
    <x v="259"/>
    <x v="2418"/>
    <x v="1"/>
    <n v="5533.04"/>
    <x v="0"/>
    <n v="42"/>
    <s v="Male"/>
    <x v="9"/>
    <x v="0"/>
    <x v="3"/>
  </r>
  <r>
    <s v="TXN-20252427"/>
    <x v="242"/>
    <x v="2419"/>
    <x v="3"/>
    <n v="4135.72"/>
    <x v="1"/>
    <n v="33"/>
    <s v="Male"/>
    <x v="4"/>
    <x v="2"/>
    <x v="3"/>
  </r>
  <r>
    <s v="TXN-20252428"/>
    <x v="19"/>
    <x v="2420"/>
    <x v="1"/>
    <n v="1693.53"/>
    <x v="0"/>
    <n v="31"/>
    <s v="Female"/>
    <x v="2"/>
    <x v="0"/>
    <x v="0"/>
  </r>
  <r>
    <s v="TXN-20252429"/>
    <x v="76"/>
    <x v="2421"/>
    <x v="3"/>
    <n v="889.95"/>
    <x v="0"/>
    <n v="38"/>
    <s v="Female"/>
    <x v="4"/>
    <x v="1"/>
    <x v="3"/>
  </r>
  <r>
    <s v="TXN-20252430"/>
    <x v="348"/>
    <x v="2422"/>
    <x v="3"/>
    <n v="6433.77"/>
    <x v="0"/>
    <n v="46"/>
    <s v="Female"/>
    <x v="7"/>
    <x v="0"/>
    <x v="0"/>
  </r>
  <r>
    <s v="TXN-20252431"/>
    <x v="22"/>
    <x v="2423"/>
    <x v="3"/>
    <n v="8048.64"/>
    <x v="0"/>
    <n v="20"/>
    <s v="Female"/>
    <x v="1"/>
    <x v="0"/>
    <x v="1"/>
  </r>
  <r>
    <s v="TXN-20252432"/>
    <x v="128"/>
    <x v="2424"/>
    <x v="1"/>
    <n v="27611.88"/>
    <x v="2"/>
    <n v="55"/>
    <s v="Male"/>
    <x v="4"/>
    <x v="2"/>
    <x v="0"/>
  </r>
  <r>
    <s v="TXN-20252433"/>
    <x v="339"/>
    <x v="2425"/>
    <x v="1"/>
    <n v="56507.63"/>
    <x v="0"/>
    <n v="37"/>
    <s v="Male"/>
    <x v="5"/>
    <x v="0"/>
    <x v="0"/>
  </r>
  <r>
    <s v="TXN-20252434"/>
    <x v="215"/>
    <x v="2426"/>
    <x v="1"/>
    <n v="45405.06"/>
    <x v="0"/>
    <n v="57"/>
    <s v="Male"/>
    <x v="9"/>
    <x v="0"/>
    <x v="3"/>
  </r>
  <r>
    <s v="TXN-20252435"/>
    <x v="148"/>
    <x v="2427"/>
    <x v="2"/>
    <n v="7624.9"/>
    <x v="0"/>
    <n v="52"/>
    <s v="Male"/>
    <x v="4"/>
    <x v="0"/>
    <x v="3"/>
  </r>
  <r>
    <s v="TXN-20252436"/>
    <x v="124"/>
    <x v="2428"/>
    <x v="0"/>
    <n v="576.07000000000005"/>
    <x v="0"/>
    <n v="51"/>
    <s v="Female"/>
    <x v="2"/>
    <x v="2"/>
    <x v="3"/>
  </r>
  <r>
    <s v="TXN-20252437"/>
    <x v="115"/>
    <x v="2429"/>
    <x v="0"/>
    <n v="5535.6"/>
    <x v="0"/>
    <n v="60"/>
    <s v="Female"/>
    <x v="1"/>
    <x v="0"/>
    <x v="1"/>
  </r>
  <r>
    <s v="TXN-20252438"/>
    <x v="35"/>
    <x v="2430"/>
    <x v="2"/>
    <n v="11920.34"/>
    <x v="1"/>
    <n v="38"/>
    <s v="Male"/>
    <x v="1"/>
    <x v="0"/>
    <x v="3"/>
  </r>
  <r>
    <s v="TXN-20252439"/>
    <x v="101"/>
    <x v="2431"/>
    <x v="1"/>
    <n v="67647.08"/>
    <x v="0"/>
    <n v="26"/>
    <s v="Female"/>
    <x v="8"/>
    <x v="0"/>
    <x v="0"/>
  </r>
  <r>
    <s v="TXN-20252440"/>
    <x v="324"/>
    <x v="2432"/>
    <x v="1"/>
    <n v="59609.29"/>
    <x v="0"/>
    <n v="32"/>
    <s v="Male"/>
    <x v="9"/>
    <x v="0"/>
    <x v="0"/>
  </r>
  <r>
    <s v="TXN-20252441"/>
    <x v="71"/>
    <x v="2433"/>
    <x v="0"/>
    <n v="1111.4100000000001"/>
    <x v="2"/>
    <n v="27"/>
    <s v="Male"/>
    <x v="1"/>
    <x v="0"/>
    <x v="2"/>
  </r>
  <r>
    <s v="TXN-20252442"/>
    <x v="230"/>
    <x v="2434"/>
    <x v="1"/>
    <n v="53063.82"/>
    <x v="0"/>
    <n v="27"/>
    <s v="Female"/>
    <x v="4"/>
    <x v="0"/>
    <x v="0"/>
  </r>
  <r>
    <s v="TXN-20252443"/>
    <x v="292"/>
    <x v="2435"/>
    <x v="1"/>
    <n v="2195.5300000000002"/>
    <x v="0"/>
    <n v="25"/>
    <s v="Female"/>
    <x v="4"/>
    <x v="0"/>
    <x v="0"/>
  </r>
  <r>
    <s v="TXN-20252444"/>
    <x v="80"/>
    <x v="2436"/>
    <x v="1"/>
    <n v="30265.8"/>
    <x v="0"/>
    <n v="30"/>
    <s v="Male"/>
    <x v="0"/>
    <x v="0"/>
    <x v="3"/>
  </r>
  <r>
    <s v="TXN-20252445"/>
    <x v="326"/>
    <x v="2437"/>
    <x v="1"/>
    <n v="2925.17"/>
    <x v="0"/>
    <n v="42"/>
    <s v="Male"/>
    <x v="4"/>
    <x v="3"/>
    <x v="2"/>
  </r>
  <r>
    <s v="TXN-20252446"/>
    <x v="209"/>
    <x v="2438"/>
    <x v="1"/>
    <n v="9247"/>
    <x v="0"/>
    <n v="53"/>
    <s v="Female"/>
    <x v="1"/>
    <x v="0"/>
    <x v="2"/>
  </r>
  <r>
    <s v="TXN-20252447"/>
    <x v="296"/>
    <x v="2439"/>
    <x v="1"/>
    <n v="4667.78"/>
    <x v="1"/>
    <n v="51"/>
    <s v="Female"/>
    <x v="6"/>
    <x v="2"/>
    <x v="2"/>
  </r>
  <r>
    <s v="TXN-20252448"/>
    <x v="198"/>
    <x v="2440"/>
    <x v="2"/>
    <n v="4256.16"/>
    <x v="1"/>
    <n v="30"/>
    <s v="Female"/>
    <x v="7"/>
    <x v="1"/>
    <x v="0"/>
  </r>
  <r>
    <s v="TXN-20252449"/>
    <x v="155"/>
    <x v="2441"/>
    <x v="0"/>
    <n v="1011.56"/>
    <x v="0"/>
    <n v="32"/>
    <s v="Male"/>
    <x v="2"/>
    <x v="0"/>
    <x v="0"/>
  </r>
  <r>
    <s v="TXN-20252450"/>
    <x v="44"/>
    <x v="2442"/>
    <x v="0"/>
    <n v="3808.34"/>
    <x v="0"/>
    <n v="26"/>
    <s v="Male"/>
    <x v="9"/>
    <x v="1"/>
    <x v="0"/>
  </r>
  <r>
    <s v="TXN-20252451"/>
    <x v="74"/>
    <x v="2443"/>
    <x v="0"/>
    <n v="899.16"/>
    <x v="0"/>
    <n v="31"/>
    <s v="Female"/>
    <x v="0"/>
    <x v="0"/>
    <x v="3"/>
  </r>
  <r>
    <s v="TXN-20252452"/>
    <x v="108"/>
    <x v="2444"/>
    <x v="0"/>
    <n v="717.26"/>
    <x v="0"/>
    <n v="50"/>
    <s v="Female"/>
    <x v="9"/>
    <x v="2"/>
    <x v="3"/>
  </r>
  <r>
    <s v="TXN-20252453"/>
    <x v="32"/>
    <x v="2445"/>
    <x v="0"/>
    <n v="1670.42"/>
    <x v="0"/>
    <n v="43"/>
    <s v="Female"/>
    <x v="4"/>
    <x v="0"/>
    <x v="3"/>
  </r>
  <r>
    <s v="TXN-20252454"/>
    <x v="289"/>
    <x v="2446"/>
    <x v="1"/>
    <n v="6646.71"/>
    <x v="0"/>
    <n v="27"/>
    <s v="Female"/>
    <x v="0"/>
    <x v="3"/>
    <x v="3"/>
  </r>
  <r>
    <s v="TXN-20252455"/>
    <x v="201"/>
    <x v="2447"/>
    <x v="0"/>
    <n v="3011.42"/>
    <x v="0"/>
    <n v="28"/>
    <s v="Female"/>
    <x v="4"/>
    <x v="0"/>
    <x v="0"/>
  </r>
  <r>
    <s v="TXN-20252456"/>
    <x v="39"/>
    <x v="2448"/>
    <x v="4"/>
    <n v="10000"/>
    <x v="0"/>
    <n v="47"/>
    <s v="Female"/>
    <x v="4"/>
    <x v="0"/>
    <x v="0"/>
  </r>
  <r>
    <s v="TXN-20252457"/>
    <x v="247"/>
    <x v="2449"/>
    <x v="0"/>
    <n v="2002.96"/>
    <x v="0"/>
    <n v="36"/>
    <s v="Female"/>
    <x v="5"/>
    <x v="2"/>
    <x v="0"/>
  </r>
  <r>
    <s v="TXN-20252458"/>
    <x v="104"/>
    <x v="2450"/>
    <x v="0"/>
    <n v="2599.14"/>
    <x v="0"/>
    <n v="50"/>
    <s v="Female"/>
    <x v="7"/>
    <x v="2"/>
    <x v="0"/>
  </r>
  <r>
    <s v="TXN-20252459"/>
    <x v="268"/>
    <x v="2451"/>
    <x v="1"/>
    <n v="72780.89"/>
    <x v="0"/>
    <n v="54"/>
    <s v="Male"/>
    <x v="4"/>
    <x v="0"/>
    <x v="2"/>
  </r>
  <r>
    <s v="TXN-20252460"/>
    <x v="114"/>
    <x v="2452"/>
    <x v="1"/>
    <n v="20764.27"/>
    <x v="1"/>
    <n v="59"/>
    <s v="Male"/>
    <x v="4"/>
    <x v="0"/>
    <x v="2"/>
  </r>
  <r>
    <s v="TXN-20252461"/>
    <x v="23"/>
    <x v="2453"/>
    <x v="0"/>
    <n v="7009.87"/>
    <x v="0"/>
    <n v="33"/>
    <s v="Male"/>
    <x v="4"/>
    <x v="0"/>
    <x v="3"/>
  </r>
  <r>
    <s v="TXN-20252462"/>
    <x v="288"/>
    <x v="2454"/>
    <x v="1"/>
    <n v="31013.279999999999"/>
    <x v="0"/>
    <n v="27"/>
    <s v="Female"/>
    <x v="4"/>
    <x v="0"/>
    <x v="0"/>
  </r>
  <r>
    <s v="TXN-20252463"/>
    <x v="318"/>
    <x v="2455"/>
    <x v="2"/>
    <n v="3869.13"/>
    <x v="0"/>
    <n v="57"/>
    <s v="Female"/>
    <x v="0"/>
    <x v="1"/>
    <x v="3"/>
  </r>
  <r>
    <s v="TXN-20252464"/>
    <x v="93"/>
    <x v="2456"/>
    <x v="2"/>
    <n v="11069.7"/>
    <x v="0"/>
    <n v="25"/>
    <s v="Male"/>
    <x v="4"/>
    <x v="3"/>
    <x v="0"/>
  </r>
  <r>
    <s v="TXN-20252465"/>
    <x v="38"/>
    <x v="2457"/>
    <x v="1"/>
    <n v="36023.47"/>
    <x v="2"/>
    <n v="42"/>
    <s v="Female"/>
    <x v="4"/>
    <x v="1"/>
    <x v="0"/>
  </r>
  <r>
    <s v="TXN-20252466"/>
    <x v="99"/>
    <x v="2458"/>
    <x v="1"/>
    <n v="23038.34"/>
    <x v="0"/>
    <n v="25"/>
    <s v="Female"/>
    <x v="7"/>
    <x v="1"/>
    <x v="3"/>
  </r>
  <r>
    <s v="TXN-20252467"/>
    <x v="308"/>
    <x v="2459"/>
    <x v="1"/>
    <n v="103434.07"/>
    <x v="0"/>
    <n v="28"/>
    <s v="Female"/>
    <x v="5"/>
    <x v="0"/>
    <x v="3"/>
  </r>
  <r>
    <s v="TXN-20252468"/>
    <x v="0"/>
    <x v="2460"/>
    <x v="1"/>
    <n v="6404.61"/>
    <x v="0"/>
    <n v="47"/>
    <s v="Male"/>
    <x v="0"/>
    <x v="0"/>
    <x v="0"/>
  </r>
  <r>
    <s v="TXN-20252469"/>
    <x v="51"/>
    <x v="2461"/>
    <x v="4"/>
    <n v="40000"/>
    <x v="0"/>
    <n v="49"/>
    <s v="Female"/>
    <x v="4"/>
    <x v="0"/>
    <x v="0"/>
  </r>
  <r>
    <s v="TXN-20252470"/>
    <x v="40"/>
    <x v="2462"/>
    <x v="0"/>
    <n v="985.73"/>
    <x v="0"/>
    <n v="33"/>
    <s v="Female"/>
    <x v="7"/>
    <x v="3"/>
    <x v="0"/>
  </r>
  <r>
    <s v="TXN-20252471"/>
    <x v="97"/>
    <x v="2463"/>
    <x v="1"/>
    <n v="6985.98"/>
    <x v="0"/>
    <n v="35"/>
    <s v="Male"/>
    <x v="2"/>
    <x v="0"/>
    <x v="2"/>
  </r>
  <r>
    <s v="TXN-20252472"/>
    <x v="332"/>
    <x v="2464"/>
    <x v="3"/>
    <n v="5006.3999999999996"/>
    <x v="0"/>
    <n v="53"/>
    <s v="Female"/>
    <x v="0"/>
    <x v="2"/>
    <x v="3"/>
  </r>
  <r>
    <s v="TXN-20252473"/>
    <x v="91"/>
    <x v="2465"/>
    <x v="1"/>
    <n v="1871.87"/>
    <x v="1"/>
    <n v="46"/>
    <s v="Male"/>
    <x v="8"/>
    <x v="1"/>
    <x v="0"/>
  </r>
  <r>
    <s v="TXN-20252474"/>
    <x v="232"/>
    <x v="2466"/>
    <x v="1"/>
    <n v="91026.49"/>
    <x v="0"/>
    <n v="23"/>
    <s v="Female"/>
    <x v="0"/>
    <x v="1"/>
    <x v="0"/>
  </r>
  <r>
    <s v="TXN-20252475"/>
    <x v="171"/>
    <x v="2467"/>
    <x v="4"/>
    <n v="2000"/>
    <x v="0"/>
    <n v="51"/>
    <s v="Male"/>
    <x v="1"/>
    <x v="2"/>
    <x v="1"/>
  </r>
  <r>
    <s v="TXN-20252476"/>
    <x v="335"/>
    <x v="2468"/>
    <x v="2"/>
    <n v="2379.61"/>
    <x v="0"/>
    <n v="39"/>
    <s v="Male"/>
    <x v="2"/>
    <x v="3"/>
    <x v="1"/>
  </r>
  <r>
    <s v="TXN-20252477"/>
    <x v="288"/>
    <x v="2469"/>
    <x v="3"/>
    <n v="7610.4"/>
    <x v="0"/>
    <n v="27"/>
    <s v="Female"/>
    <x v="4"/>
    <x v="0"/>
    <x v="0"/>
  </r>
  <r>
    <s v="TXN-20252478"/>
    <x v="268"/>
    <x v="2470"/>
    <x v="3"/>
    <n v="25580.799999999999"/>
    <x v="0"/>
    <n v="54"/>
    <s v="Male"/>
    <x v="4"/>
    <x v="0"/>
    <x v="0"/>
  </r>
  <r>
    <s v="TXN-20252479"/>
    <x v="217"/>
    <x v="2471"/>
    <x v="1"/>
    <n v="20380.48"/>
    <x v="0"/>
    <n v="42"/>
    <s v="Male"/>
    <x v="1"/>
    <x v="0"/>
    <x v="2"/>
  </r>
  <r>
    <s v="TXN-20252480"/>
    <x v="180"/>
    <x v="2472"/>
    <x v="1"/>
    <n v="24002.44"/>
    <x v="0"/>
    <n v="39"/>
    <s v="Female"/>
    <x v="7"/>
    <x v="3"/>
    <x v="0"/>
  </r>
  <r>
    <s v="TXN-20252481"/>
    <x v="245"/>
    <x v="2473"/>
    <x v="0"/>
    <n v="9176.11"/>
    <x v="1"/>
    <n v="21"/>
    <s v="Female"/>
    <x v="2"/>
    <x v="0"/>
    <x v="0"/>
  </r>
  <r>
    <s v="TXN-20252482"/>
    <x v="157"/>
    <x v="2474"/>
    <x v="0"/>
    <n v="2098.44"/>
    <x v="0"/>
    <n v="31"/>
    <s v="Male"/>
    <x v="4"/>
    <x v="0"/>
    <x v="0"/>
  </r>
  <r>
    <s v="TXN-20252483"/>
    <x v="108"/>
    <x v="2475"/>
    <x v="2"/>
    <n v="7689.37"/>
    <x v="1"/>
    <n v="50"/>
    <s v="Female"/>
    <x v="9"/>
    <x v="2"/>
    <x v="3"/>
  </r>
  <r>
    <s v="TXN-20252484"/>
    <x v="342"/>
    <x v="2476"/>
    <x v="1"/>
    <n v="7178.76"/>
    <x v="0"/>
    <n v="42"/>
    <s v="Male"/>
    <x v="5"/>
    <x v="2"/>
    <x v="1"/>
  </r>
  <r>
    <s v="TXN-20252485"/>
    <x v="251"/>
    <x v="2477"/>
    <x v="0"/>
    <n v="453.67"/>
    <x v="0"/>
    <n v="44"/>
    <s v="Male"/>
    <x v="1"/>
    <x v="0"/>
    <x v="0"/>
  </r>
  <r>
    <s v="TXN-20252486"/>
    <x v="68"/>
    <x v="2478"/>
    <x v="1"/>
    <n v="1489.41"/>
    <x v="0"/>
    <n v="34"/>
    <s v="Male"/>
    <x v="6"/>
    <x v="0"/>
    <x v="3"/>
  </r>
  <r>
    <s v="TXN-20252487"/>
    <x v="202"/>
    <x v="2479"/>
    <x v="0"/>
    <n v="1914.08"/>
    <x v="0"/>
    <n v="37"/>
    <s v="Male"/>
    <x v="4"/>
    <x v="2"/>
    <x v="1"/>
  </r>
  <r>
    <s v="TXN-20252488"/>
    <x v="96"/>
    <x v="2480"/>
    <x v="1"/>
    <n v="20239.04"/>
    <x v="1"/>
    <n v="30"/>
    <s v="Male"/>
    <x v="7"/>
    <x v="2"/>
    <x v="2"/>
  </r>
  <r>
    <s v="TXN-20252489"/>
    <x v="46"/>
    <x v="2481"/>
    <x v="3"/>
    <n v="23197.35"/>
    <x v="0"/>
    <n v="20"/>
    <s v="Male"/>
    <x v="5"/>
    <x v="0"/>
    <x v="0"/>
  </r>
  <r>
    <s v="TXN-20252490"/>
    <x v="115"/>
    <x v="2482"/>
    <x v="0"/>
    <n v="935.01"/>
    <x v="0"/>
    <n v="60"/>
    <s v="Female"/>
    <x v="1"/>
    <x v="0"/>
    <x v="0"/>
  </r>
  <r>
    <s v="TXN-20252491"/>
    <x v="219"/>
    <x v="2483"/>
    <x v="1"/>
    <n v="20274.900000000001"/>
    <x v="0"/>
    <n v="47"/>
    <s v="Female"/>
    <x v="4"/>
    <x v="2"/>
    <x v="3"/>
  </r>
  <r>
    <s v="TXN-20252492"/>
    <x v="248"/>
    <x v="2484"/>
    <x v="4"/>
    <n v="5000"/>
    <x v="0"/>
    <n v="45"/>
    <s v="Male"/>
    <x v="9"/>
    <x v="1"/>
    <x v="0"/>
  </r>
  <r>
    <s v="TXN-20252493"/>
    <x v="134"/>
    <x v="2485"/>
    <x v="1"/>
    <n v="7008.82"/>
    <x v="0"/>
    <n v="34"/>
    <s v="Male"/>
    <x v="7"/>
    <x v="3"/>
    <x v="0"/>
  </r>
  <r>
    <s v="TXN-20252494"/>
    <x v="162"/>
    <x v="2486"/>
    <x v="1"/>
    <n v="34465.25"/>
    <x v="0"/>
    <n v="31"/>
    <s v="Male"/>
    <x v="9"/>
    <x v="1"/>
    <x v="0"/>
  </r>
  <r>
    <s v="TXN-20252495"/>
    <x v="208"/>
    <x v="2487"/>
    <x v="1"/>
    <n v="61411.05"/>
    <x v="0"/>
    <n v="39"/>
    <s v="Female"/>
    <x v="4"/>
    <x v="0"/>
    <x v="0"/>
  </r>
  <r>
    <s v="TXN-20252496"/>
    <x v="284"/>
    <x v="2488"/>
    <x v="0"/>
    <n v="2320.2399999999998"/>
    <x v="0"/>
    <n v="56"/>
    <s v="Female"/>
    <x v="4"/>
    <x v="0"/>
    <x v="3"/>
  </r>
  <r>
    <s v="TXN-20252497"/>
    <x v="226"/>
    <x v="2489"/>
    <x v="2"/>
    <n v="9442.31"/>
    <x v="0"/>
    <n v="22"/>
    <s v="Male"/>
    <x v="4"/>
    <x v="1"/>
    <x v="0"/>
  </r>
  <r>
    <s v="TXN-20252498"/>
    <x v="276"/>
    <x v="2490"/>
    <x v="1"/>
    <n v="6473.3"/>
    <x v="0"/>
    <n v="45"/>
    <s v="Female"/>
    <x v="4"/>
    <x v="2"/>
    <x v="0"/>
  </r>
  <r>
    <s v="TXN-20252499"/>
    <x v="79"/>
    <x v="2491"/>
    <x v="3"/>
    <n v="13335.83"/>
    <x v="0"/>
    <n v="50"/>
    <s v="Male"/>
    <x v="7"/>
    <x v="1"/>
    <x v="0"/>
  </r>
  <r>
    <s v="TXN-20252500"/>
    <x v="96"/>
    <x v="2492"/>
    <x v="0"/>
    <n v="1858.4"/>
    <x v="0"/>
    <n v="30"/>
    <s v="Male"/>
    <x v="7"/>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Product"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Q15:R21" firstHeaderRow="1" firstDataRow="1" firstDataCol="1"/>
  <pivotFields count="11">
    <pivotField showAll="0"/>
    <pivotField showAll="0"/>
    <pivotField numFmtId="165" showAll="0"/>
    <pivotField axis="axisRow" showAll="0" sortType="descending">
      <items count="6">
        <item x="0"/>
        <item x="2"/>
        <item x="4"/>
        <item x="3"/>
        <item x="1"/>
        <item t="default"/>
      </items>
      <autoSortScope>
        <pivotArea dataOnly="0" outline="0" fieldPosition="0">
          <references count="1">
            <reference field="4294967294" count="1" selected="0">
              <x v="0"/>
            </reference>
          </references>
        </pivotArea>
      </autoSortScope>
    </pivotField>
    <pivotField dataField="1" numFmtId="166" showAll="0"/>
    <pivotField showAll="0"/>
    <pivotField numFmtId="1" showAll="0"/>
    <pivotField showAll="0"/>
    <pivotField showAll="0">
      <items count="11">
        <item x="9"/>
        <item x="3"/>
        <item x="5"/>
        <item x="7"/>
        <item x="8"/>
        <item x="1"/>
        <item x="4"/>
        <item x="0"/>
        <item x="2"/>
        <item x="6"/>
        <item t="default"/>
      </items>
    </pivotField>
    <pivotField showAll="0">
      <items count="5">
        <item x="2"/>
        <item x="0"/>
        <item x="1"/>
        <item x="3"/>
        <item t="default"/>
      </items>
    </pivotField>
    <pivotField showAll="0">
      <items count="5">
        <item x="0"/>
        <item x="3"/>
        <item x="2"/>
        <item x="1"/>
        <item t="default"/>
      </items>
    </pivotField>
  </pivotFields>
  <rowFields count="1">
    <field x="3"/>
  </rowFields>
  <rowItems count="6">
    <i>
      <x v="4"/>
    </i>
    <i>
      <x v="1"/>
    </i>
    <i>
      <x v="3"/>
    </i>
    <i>
      <x v="2"/>
    </i>
    <i>
      <x/>
    </i>
    <i t="grand">
      <x/>
    </i>
  </rowItems>
  <colItems count="1">
    <i/>
  </colItems>
  <dataFields count="1">
    <dataField name="Product Revenue (₦)" fld="4"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State"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M15:N26" firstHeaderRow="1" firstDataRow="1" firstDataCol="1"/>
  <pivotFields count="11">
    <pivotField showAll="0"/>
    <pivotField showAll="0"/>
    <pivotField numFmtId="165" showAll="0"/>
    <pivotField showAll="0"/>
    <pivotField dataField="1" numFmtId="166" showAll="0"/>
    <pivotField showAll="0"/>
    <pivotField numFmtId="1" showAll="0"/>
    <pivotField showAll="0"/>
    <pivotField axis="axisRow" showAll="0" sortType="descending">
      <items count="11">
        <item x="9"/>
        <item x="3"/>
        <item x="5"/>
        <item x="7"/>
        <item x="8"/>
        <item x="1"/>
        <item x="4"/>
        <item x="0"/>
        <item x="2"/>
        <item x="6"/>
        <item t="default"/>
      </items>
      <autoSortScope>
        <pivotArea dataOnly="0" outline="0" fieldPosition="0">
          <references count="1">
            <reference field="4294967294" count="1" selected="0">
              <x v="0"/>
            </reference>
          </references>
        </pivotArea>
      </autoSortScope>
    </pivotField>
    <pivotField showAll="0">
      <items count="5">
        <item x="2"/>
        <item x="0"/>
        <item x="1"/>
        <item x="3"/>
        <item t="default"/>
      </items>
    </pivotField>
    <pivotField showAll="0">
      <items count="5">
        <item x="0"/>
        <item x="3"/>
        <item x="2"/>
        <item x="1"/>
        <item t="default"/>
      </items>
    </pivotField>
  </pivotFields>
  <rowFields count="1">
    <field x="8"/>
  </rowFields>
  <rowItems count="11">
    <i>
      <x v="6"/>
    </i>
    <i>
      <x v="5"/>
    </i>
    <i>
      <x v="8"/>
    </i>
    <i>
      <x v="3"/>
    </i>
    <i>
      <x v="9"/>
    </i>
    <i>
      <x/>
    </i>
    <i>
      <x v="7"/>
    </i>
    <i>
      <x v="1"/>
    </i>
    <i>
      <x v="4"/>
    </i>
    <i>
      <x v="2"/>
    </i>
    <i t="grand">
      <x/>
    </i>
  </rowItems>
  <colItems count="1">
    <i/>
  </colItems>
  <dataFields count="1">
    <dataField name="State Revenue (₦)" fld="4"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Month"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I15:J28" firstHeaderRow="1" firstDataRow="1" firstDataCol="1"/>
  <pivotFields count="11">
    <pivotField showAll="0"/>
    <pivotField showAll="0"/>
    <pivotField axis="axisRow" numFmtId="165" showAll="0">
      <items count="15">
        <item x="0"/>
        <item x="1"/>
        <item x="2"/>
        <item x="3"/>
        <item x="4"/>
        <item x="5"/>
        <item x="6"/>
        <item x="7"/>
        <item x="8"/>
        <item x="9"/>
        <item x="10"/>
        <item x="11"/>
        <item x="12"/>
        <item x="13"/>
        <item t="default"/>
      </items>
    </pivotField>
    <pivotField showAll="0"/>
    <pivotField dataField="1" numFmtId="166" showAll="0"/>
    <pivotField showAll="0"/>
    <pivotField numFmtId="1" showAll="0"/>
    <pivotField showAll="0"/>
    <pivotField showAll="0">
      <items count="11">
        <item x="9"/>
        <item x="3"/>
        <item x="5"/>
        <item x="7"/>
        <item x="8"/>
        <item x="1"/>
        <item x="4"/>
        <item x="0"/>
        <item x="2"/>
        <item x="6"/>
        <item t="default"/>
      </items>
    </pivotField>
    <pivotField showAll="0">
      <items count="5">
        <item x="2"/>
        <item x="0"/>
        <item x="1"/>
        <item x="3"/>
        <item t="default"/>
      </items>
    </pivotField>
    <pivotField showAll="0">
      <items count="5">
        <item x="0"/>
        <item x="3"/>
        <item x="2"/>
        <item x="1"/>
        <item t="default"/>
      </items>
    </pivotField>
  </pivotFields>
  <rowFields count="1">
    <field x="2"/>
  </rowFields>
  <rowItems count="13">
    <i>
      <x v="1"/>
    </i>
    <i>
      <x v="2"/>
    </i>
    <i>
      <x v="3"/>
    </i>
    <i>
      <x v="4"/>
    </i>
    <i>
      <x v="5"/>
    </i>
    <i>
      <x v="6"/>
    </i>
    <i>
      <x v="7"/>
    </i>
    <i>
      <x v="8"/>
    </i>
    <i>
      <x v="9"/>
    </i>
    <i>
      <x v="10"/>
    </i>
    <i>
      <x v="11"/>
    </i>
    <i>
      <x v="12"/>
    </i>
    <i t="grand">
      <x/>
    </i>
  </rowItems>
  <colItems count="1">
    <i/>
  </colItems>
  <dataFields count="1">
    <dataField name="Monthly Revenue (₦)" fld="4" baseField="0" baseItem="0" numFmtId="166"/>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tStatus"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
  <location ref="E15:F19" firstHeaderRow="1" firstDataRow="1" firstDataCol="1"/>
  <pivotFields count="11">
    <pivotField dataField="1" showAll="0"/>
    <pivotField showAll="0"/>
    <pivotField numFmtId="165" showAll="0">
      <items count="15">
        <item x="0"/>
        <item x="1"/>
        <item x="2"/>
        <item x="3"/>
        <item x="4"/>
        <item x="5"/>
        <item x="6"/>
        <item x="7"/>
        <item x="8"/>
        <item x="9"/>
        <item x="10"/>
        <item x="11"/>
        <item x="12"/>
        <item x="13"/>
        <item t="default"/>
      </items>
    </pivotField>
    <pivotField showAll="0"/>
    <pivotField numFmtId="166" showAll="0"/>
    <pivotField axis="axisRow" showAll="0">
      <items count="4">
        <item x="1"/>
        <item x="2"/>
        <item x="0"/>
        <item t="default"/>
      </items>
    </pivotField>
    <pivotField numFmtId="1" showAll="0"/>
    <pivotField showAll="0"/>
    <pivotField showAll="0">
      <items count="11">
        <item x="9"/>
        <item x="3"/>
        <item x="5"/>
        <item x="7"/>
        <item x="8"/>
        <item x="1"/>
        <item x="4"/>
        <item x="0"/>
        <item x="2"/>
        <item x="6"/>
        <item t="default"/>
      </items>
    </pivotField>
    <pivotField showAll="0">
      <items count="5">
        <item x="2"/>
        <item x="0"/>
        <item x="1"/>
        <item x="3"/>
        <item t="default"/>
      </items>
    </pivotField>
    <pivotField showAll="0">
      <items count="5">
        <item x="0"/>
        <item x="3"/>
        <item x="2"/>
        <item x="1"/>
        <item t="default"/>
      </items>
    </pivotField>
  </pivotFields>
  <rowFields count="1">
    <field x="5"/>
  </rowFields>
  <rowItems count="4">
    <i>
      <x/>
    </i>
    <i>
      <x v="1"/>
    </i>
    <i>
      <x v="2"/>
    </i>
    <i t="grand">
      <x/>
    </i>
  </rowItems>
  <colItems count="1">
    <i/>
  </colItems>
  <dataFields count="1">
    <dataField name="Status Count" fld="0" subtotal="count" baseField="0" baseItem="0" numFmtId="3"/>
  </dataField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0"/>
          </reference>
        </references>
      </pivotArea>
    </chartFormat>
    <chartFormat chart="0" format="2">
      <pivotArea type="data" outline="0" fieldPosition="0">
        <references count="2">
          <reference field="4294967294" count="1" selected="0">
            <x v="0"/>
          </reference>
          <reference field="5" count="1" selected="0">
            <x v="1"/>
          </reference>
        </references>
      </pivotArea>
    </chartFormat>
    <chartFormat chart="0" format="3">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KPI" cacheId="1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5:B16" firstHeaderRow="0" firstDataRow="1" firstDataCol="0"/>
  <pivotFields count="11">
    <pivotField dataField="1" showAll="0"/>
    <pivotField showAll="0"/>
    <pivotField numFmtId="165" showAll="0">
      <items count="15">
        <item x="0"/>
        <item x="1"/>
        <item x="2"/>
        <item x="3"/>
        <item x="4"/>
        <item x="5"/>
        <item x="6"/>
        <item x="7"/>
        <item x="8"/>
        <item x="9"/>
        <item x="10"/>
        <item x="11"/>
        <item x="12"/>
        <item x="13"/>
        <item t="default"/>
      </items>
    </pivotField>
    <pivotField showAll="0"/>
    <pivotField dataField="1" numFmtId="166" showAll="0"/>
    <pivotField showAll="0"/>
    <pivotField numFmtId="1" showAll="0"/>
    <pivotField showAll="0"/>
    <pivotField showAll="0">
      <items count="11">
        <item x="9"/>
        <item x="3"/>
        <item x="5"/>
        <item x="7"/>
        <item x="8"/>
        <item x="1"/>
        <item x="4"/>
        <item x="0"/>
        <item x="2"/>
        <item x="6"/>
        <item t="default"/>
      </items>
    </pivotField>
    <pivotField showAll="0">
      <items count="5">
        <item x="2"/>
        <item x="0"/>
        <item x="1"/>
        <item x="3"/>
        <item t="default"/>
      </items>
    </pivotField>
    <pivotField showAll="0">
      <items count="5">
        <item x="0"/>
        <item x="3"/>
        <item x="2"/>
        <item x="1"/>
        <item t="default"/>
      </items>
    </pivotField>
  </pivotFields>
  <rowItems count="1">
    <i/>
  </rowItems>
  <colFields count="1">
    <field x="-2"/>
  </colFields>
  <colItems count="2">
    <i>
      <x/>
    </i>
    <i i="1">
      <x v="1"/>
    </i>
  </colItems>
  <dataFields count="2">
    <dataField name="Total Value (₦)" fld="4" baseField="0" baseItem="0" numFmtId="166"/>
    <dataField name="Txn Volume" fld="0" subtotal="count"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Top10" cacheId="14" applyNumberFormats="0" applyBorderFormats="0" applyFontFormats="0" applyPatternFormats="0" applyAlignmentFormats="0" applyWidthHeightFormats="1" dataCaption="Values" updatedVersion="6" minRefreshableVersion="3" rowGrandTotals="0" colGrandTotals="0" itemPrintTitles="1" createdVersion="6" indent="0" compact="0" compactData="0" multipleFieldFilters="0">
  <location ref="R44:V54" firstHeaderRow="0" firstDataRow="1" firstDataCol="3"/>
  <pivotFields count="11">
    <pivotField dataField="1" compact="0" outline="0" showAll="0">
      <extLst>
        <ext xmlns:x14="http://schemas.microsoft.com/office/spreadsheetml/2009/9/main" uri="{2946ED86-A175-432a-8AC1-64E0C546D7DE}">
          <x14:pivotField fillDownLabels="1"/>
        </ext>
      </extLst>
    </pivotField>
    <pivotField axis="axisRow" compact="0" outline="0" showAll="0" measureFilter="1" sortType="descending" defaultSubtotal="0">
      <items count="350">
        <item x="291"/>
        <item x="257"/>
        <item x="195"/>
        <item x="199"/>
        <item x="178"/>
        <item x="120"/>
        <item x="242"/>
        <item x="193"/>
        <item x="20"/>
        <item x="97"/>
        <item x="67"/>
        <item x="234"/>
        <item x="255"/>
        <item x="23"/>
        <item x="316"/>
        <item x="86"/>
        <item x="314"/>
        <item x="248"/>
        <item x="250"/>
        <item x="92"/>
        <item x="325"/>
        <item x="132"/>
        <item x="101"/>
        <item x="37"/>
        <item x="69"/>
        <item x="304"/>
        <item x="322"/>
        <item x="208"/>
        <item x="281"/>
        <item x="152"/>
        <item x="99"/>
        <item x="272"/>
        <item x="207"/>
        <item x="25"/>
        <item x="9"/>
        <item x="167"/>
        <item x="201"/>
        <item x="44"/>
        <item x="140"/>
        <item x="154"/>
        <item x="274"/>
        <item x="292"/>
        <item x="0"/>
        <item x="179"/>
        <item x="93"/>
        <item x="173"/>
        <item x="61"/>
        <item x="340"/>
        <item x="110"/>
        <item x="89"/>
        <item x="112"/>
        <item x="3"/>
        <item x="24"/>
        <item x="34"/>
        <item x="214"/>
        <item x="216"/>
        <item x="264"/>
        <item x="252"/>
        <item x="75"/>
        <item x="324"/>
        <item x="163"/>
        <item x="235"/>
        <item x="228"/>
        <item x="168"/>
        <item x="64"/>
        <item x="27"/>
        <item x="283"/>
        <item x="237"/>
        <item x="138"/>
        <item x="246"/>
        <item x="328"/>
        <item x="254"/>
        <item x="310"/>
        <item x="73"/>
        <item x="160"/>
        <item x="187"/>
        <item x="14"/>
        <item x="158"/>
        <item x="21"/>
        <item x="245"/>
        <item x="321"/>
        <item x="258"/>
        <item x="221"/>
        <item x="223"/>
        <item x="131"/>
        <item x="337"/>
        <item x="295"/>
        <item x="10"/>
        <item x="104"/>
        <item x="217"/>
        <item x="91"/>
        <item x="159"/>
        <item x="213"/>
        <item x="204"/>
        <item x="66"/>
        <item x="229"/>
        <item x="98"/>
        <item x="142"/>
        <item x="165"/>
        <item x="150"/>
        <item x="26"/>
        <item x="180"/>
        <item x="181"/>
        <item x="290"/>
        <item x="84"/>
        <item x="320"/>
        <item x="105"/>
        <item x="17"/>
        <item x="125"/>
        <item x="294"/>
        <item x="200"/>
        <item x="317"/>
        <item x="52"/>
        <item x="233"/>
        <item x="71"/>
        <item x="117"/>
        <item x="338"/>
        <item x="121"/>
        <item x="211"/>
        <item x="287"/>
        <item x="155"/>
        <item x="28"/>
        <item x="54"/>
        <item x="243"/>
        <item x="53"/>
        <item x="80"/>
        <item x="39"/>
        <item x="244"/>
        <item x="299"/>
        <item x="191"/>
        <item x="297"/>
        <item x="236"/>
        <item x="50"/>
        <item x="177"/>
        <item x="176"/>
        <item x="141"/>
        <item x="148"/>
        <item x="139"/>
        <item x="103"/>
        <item x="198"/>
        <item x="260"/>
        <item x="149"/>
        <item x="220"/>
        <item x="145"/>
        <item x="301"/>
        <item x="38"/>
        <item x="189"/>
        <item x="115"/>
        <item x="344"/>
        <item x="251"/>
        <item x="36"/>
        <item x="55"/>
        <item x="22"/>
        <item x="172"/>
        <item x="270"/>
        <item x="210"/>
        <item x="82"/>
        <item x="205"/>
        <item x="30"/>
        <item x="334"/>
        <item x="275"/>
        <item x="335"/>
        <item x="57"/>
        <item x="171"/>
        <item x="341"/>
        <item x="19"/>
        <item x="102"/>
        <item x="90"/>
        <item x="347"/>
        <item x="106"/>
        <item x="49"/>
        <item x="51"/>
        <item x="135"/>
        <item x="156"/>
        <item x="143"/>
        <item x="190"/>
        <item x="232"/>
        <item x="11"/>
        <item x="249"/>
        <item x="151"/>
        <item x="231"/>
        <item x="239"/>
        <item x="137"/>
        <item x="88"/>
        <item x="77"/>
        <item x="315"/>
        <item x="319"/>
        <item x="279"/>
        <item x="29"/>
        <item x="238"/>
        <item x="87"/>
        <item x="42"/>
        <item x="192"/>
        <item x="277"/>
        <item x="300"/>
        <item x="263"/>
        <item x="72"/>
        <item x="127"/>
        <item x="296"/>
        <item x="282"/>
        <item x="267"/>
        <item x="261"/>
        <item x="346"/>
        <item x="206"/>
        <item x="59"/>
        <item x="161"/>
        <item x="349"/>
        <item x="183"/>
        <item x="280"/>
        <item x="169"/>
        <item x="342"/>
        <item x="118"/>
        <item x="100"/>
        <item x="278"/>
        <item x="288"/>
        <item x="124"/>
        <item x="122"/>
        <item x="133"/>
        <item x="113"/>
        <item x="170"/>
        <item x="136"/>
        <item x="285"/>
        <item x="70"/>
        <item x="15"/>
        <item x="126"/>
        <item x="114"/>
        <item x="318"/>
        <item x="194"/>
        <item x="8"/>
        <item x="224"/>
        <item x="343"/>
        <item x="203"/>
        <item x="5"/>
        <item x="197"/>
        <item x="157"/>
        <item x="311"/>
        <item x="164"/>
        <item x="45"/>
        <item x="162"/>
        <item x="83"/>
        <item x="268"/>
        <item x="306"/>
        <item x="273"/>
        <item x="265"/>
        <item x="327"/>
        <item x="111"/>
        <item x="256"/>
        <item x="96"/>
        <item x="308"/>
        <item x="247"/>
        <item x="218"/>
        <item x="58"/>
        <item x="286"/>
        <item x="293"/>
        <item x="184"/>
        <item x="269"/>
        <item x="74"/>
        <item x="130"/>
        <item x="303"/>
        <item x="85"/>
        <item x="188"/>
        <item x="119"/>
        <item x="298"/>
        <item x="128"/>
        <item x="2"/>
        <item x="108"/>
        <item x="196"/>
        <item x="47"/>
        <item x="40"/>
        <item x="209"/>
        <item x="48"/>
        <item x="332"/>
        <item x="35"/>
        <item x="330"/>
        <item x="166"/>
        <item x="4"/>
        <item x="1"/>
        <item x="336"/>
        <item x="266"/>
        <item x="60"/>
        <item x="186"/>
        <item x="284"/>
        <item x="65"/>
        <item x="76"/>
        <item x="129"/>
        <item x="230"/>
        <item x="94"/>
        <item x="68"/>
        <item x="116"/>
        <item x="289"/>
        <item x="56"/>
        <item x="146"/>
        <item x="109"/>
        <item x="147"/>
        <item x="323"/>
        <item x="12"/>
        <item x="62"/>
        <item x="43"/>
        <item x="144"/>
        <item x="227"/>
        <item x="174"/>
        <item x="312"/>
        <item x="212"/>
        <item x="13"/>
        <item x="302"/>
        <item x="313"/>
        <item x="241"/>
        <item x="7"/>
        <item x="63"/>
        <item x="107"/>
        <item x="185"/>
        <item x="6"/>
        <item x="46"/>
        <item x="202"/>
        <item x="253"/>
        <item x="225"/>
        <item x="81"/>
        <item x="307"/>
        <item x="18"/>
        <item x="226"/>
        <item x="305"/>
        <item x="153"/>
        <item x="33"/>
        <item x="134"/>
        <item x="32"/>
        <item x="331"/>
        <item x="240"/>
        <item x="31"/>
        <item x="222"/>
        <item x="262"/>
        <item x="348"/>
        <item x="329"/>
        <item x="123"/>
        <item x="78"/>
        <item x="79"/>
        <item x="309"/>
        <item x="345"/>
        <item x="333"/>
        <item x="259"/>
        <item x="339"/>
        <item x="326"/>
        <item x="215"/>
        <item x="95"/>
        <item x="219"/>
        <item x="271"/>
        <item x="16"/>
        <item x="175"/>
        <item x="276"/>
        <item x="182"/>
        <item x="41"/>
      </items>
      <autoSortScope>
        <pivotArea dataOnly="0" outline="0" fieldPosition="0">
          <references count="1">
            <reference field="4294967294" count="1" selected="0">
              <x v="0"/>
            </reference>
          </references>
        </pivotArea>
      </autoSortScope>
      <extLst>
        <ext xmlns:x14="http://schemas.microsoft.com/office/spreadsheetml/2009/9/main" uri="{2946ED86-A175-432a-8AC1-64E0C546D7DE}">
          <x14:pivotField fillDownLabels="1"/>
        </ext>
      </extLst>
    </pivotField>
    <pivotField compact="0" numFmtId="165"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dataField="1" compact="0" numFmtId="166"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compact="0" numFmtId="1" outline="0" showAll="0">
      <extLst>
        <ext xmlns:x14="http://schemas.microsoft.com/office/spreadsheetml/2009/9/main" uri="{2946ED86-A175-432a-8AC1-64E0C546D7DE}">
          <x14:pivotField fillDownLabels="1"/>
        </ext>
      </extLst>
    </pivotField>
    <pivotField compact="0" outline="0" showAll="0">
      <extLst>
        <ext xmlns:x14="http://schemas.microsoft.com/office/spreadsheetml/2009/9/main" uri="{2946ED86-A175-432a-8AC1-64E0C546D7DE}">
          <x14:pivotField fillDownLabels="1"/>
        </ext>
      </extLst>
    </pivotField>
    <pivotField axis="axisRow" compact="0" outline="0" showAll="0" defaultSubtotal="0">
      <items count="10">
        <item x="9"/>
        <item x="3"/>
        <item x="5"/>
        <item x="7"/>
        <item x="8"/>
        <item x="1"/>
        <item x="4"/>
        <item x="0"/>
        <item x="2"/>
        <item x="6"/>
      </items>
      <extLst>
        <ext xmlns:x14="http://schemas.microsoft.com/office/spreadsheetml/2009/9/main" uri="{2946ED86-A175-432a-8AC1-64E0C546D7DE}">
          <x14:pivotField fillDownLabels="1"/>
        </ext>
      </extLst>
    </pivotField>
    <pivotField axis="axisRow" compact="0" outline="0" showAll="0" defaultSubtotal="0">
      <items count="4">
        <item x="2"/>
        <item x="0"/>
        <item x="1"/>
        <item x="3"/>
      </items>
      <extLst>
        <ext xmlns:x14="http://schemas.microsoft.com/office/spreadsheetml/2009/9/main" uri="{2946ED86-A175-432a-8AC1-64E0C546D7DE}">
          <x14:pivotField fillDownLabels="1"/>
        </ext>
      </extLst>
    </pivotField>
    <pivotField compact="0" outline="0" showAll="0">
      <items count="5">
        <item x="0"/>
        <item x="3"/>
        <item x="2"/>
        <item x="1"/>
        <item t="default"/>
      </items>
      <extLst>
        <ext xmlns:x14="http://schemas.microsoft.com/office/spreadsheetml/2009/9/main" uri="{2946ED86-A175-432a-8AC1-64E0C546D7DE}">
          <x14:pivotField fillDownLabels="1"/>
        </ext>
      </extLst>
    </pivotField>
  </pivotFields>
  <rowFields count="3">
    <field x="1"/>
    <field x="8"/>
    <field x="9"/>
  </rowFields>
  <rowItems count="10">
    <i>
      <x v="178"/>
      <x/>
      <x v="2"/>
    </i>
    <i>
      <x v="33"/>
      <x v="6"/>
      <x/>
    </i>
    <i>
      <x v="328"/>
      <x v="9"/>
      <x/>
    </i>
    <i>
      <x v="163"/>
      <x v="5"/>
      <x/>
    </i>
    <i>
      <x v="250"/>
      <x/>
      <x/>
    </i>
    <i>
      <x v="115"/>
      <x v="8"/>
      <x v="1"/>
    </i>
    <i>
      <x v="256"/>
      <x v="7"/>
      <x v="1"/>
    </i>
    <i>
      <x v="167"/>
      <x v="6"/>
      <x v="2"/>
    </i>
    <i>
      <x v="5"/>
      <x v="6"/>
      <x/>
    </i>
    <i>
      <x v="274"/>
      <x v="5"/>
      <x/>
    </i>
  </rowItems>
  <colFields count="1">
    <field x="-2"/>
  </colFields>
  <colItems count="2">
    <i>
      <x/>
    </i>
    <i i="1">
      <x v="1"/>
    </i>
  </colItems>
  <dataFields count="2">
    <dataField name="Total Spent (₦)" fld="4" baseField="0" baseItem="0" numFmtId="166"/>
    <dataField name="Txn Count" fld="0" subtotal="count" baseField="0" baseItem="0" numFmtId="3"/>
  </dataFields>
  <pivotTableStyleInfo name="Navy Pivot" showRowHeaders="1" showColHeaders="1" showRowStripes="1"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fillDownLabelsDefault="1"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tate" sourceName="State">
  <pivotTables>
    <pivotTable tabId="9" name="ptKPI"/>
    <pivotTable tabId="9" name="ptStatus"/>
    <pivotTable tabId="9" name="ptMonth"/>
    <pivotTable tabId="9" name="ptState"/>
    <pivotTable tabId="9" name="ptProduct"/>
    <pivotTable tabId="8" name="ptTop10"/>
  </pivotTables>
  <data>
    <tabular pivotCacheId="1">
      <items count="10">
        <i x="9" s="1"/>
        <i x="3" s="1"/>
        <i x="5" s="1"/>
        <i x="7" s="1"/>
        <i x="8" s="1"/>
        <i x="1" s="1"/>
        <i x="4" s="1"/>
        <i x="0" s="1"/>
        <i x="2" s="1"/>
        <i x="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Account_Type" sourceName="Account_Type">
  <pivotTables>
    <pivotTable tabId="9" name="ptKPI"/>
    <pivotTable tabId="9" name="ptStatus"/>
    <pivotTable tabId="9" name="ptMonth"/>
    <pivotTable tabId="9" name="ptState"/>
    <pivotTable tabId="9" name="ptProduct"/>
    <pivotTable tabId="8" name="ptTop10"/>
  </pivotTables>
  <data>
    <tabular pivotCacheId="1">
      <items count="4">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Payment_Method" sourceName="Payment_Method">
  <pivotTables>
    <pivotTable tabId="9" name="ptKPI"/>
    <pivotTable tabId="9" name="ptStatus"/>
    <pivotTable tabId="9" name="ptMonth"/>
    <pivotTable tabId="9" name="ptState"/>
    <pivotTable tabId="9" name="ptProduct"/>
    <pivotTable tabId="8" name="ptTop10"/>
  </pivotTables>
  <data>
    <tabular pivotCacheId="1">
      <items count="4">
        <i x="0" s="1"/>
        <i x="3"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ate" cache="Slicer_State" caption="State" columnCount="5" rowHeight="254000"/>
  <slicer name="Account_Type" cache="Slicer_Account_Type" caption="Account_Type" columnCount="2" rowHeight="254000"/>
  <slicer name="Payment_Method" cache="Slicer_Payment_Method" caption="Payment_Method" columnCount="2" rowHeight="254000"/>
</slicers>
</file>

<file path=xl/tables/table1.xml><?xml version="1.0" encoding="utf-8"?>
<table xmlns="http://schemas.openxmlformats.org/spreadsheetml/2006/main" id="1" name="TransactionTable" displayName="TransactionTable" ref="A1:K2501">
  <autoFilter ref="A1:K2501"/>
  <tableColumns count="11">
    <tableColumn id="1" name="Transaction_ID"/>
    <tableColumn id="2" name="Customer_ID"/>
    <tableColumn id="3" name="Transaction_Date"/>
    <tableColumn id="4" name="Transaction_Type"/>
    <tableColumn id="5" name="Amount"/>
    <tableColumn id="6" name="Transaction_Status"/>
    <tableColumn id="7" name="Customer_Age"/>
    <tableColumn id="8" name="Gender"/>
    <tableColumn id="9" name="State"/>
    <tableColumn id="10" name="Account_Type"/>
    <tableColumn id="11" name="Payment_Metho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501"/>
  <sheetViews>
    <sheetView workbookViewId="0">
      <pane ySplit="1" topLeftCell="A2" activePane="bottomLeft" state="frozen"/>
      <selection pane="bottomLeft"/>
    </sheetView>
  </sheetViews>
  <sheetFormatPr defaultRowHeight="14.4" x14ac:dyDescent="0.3"/>
  <cols>
    <col min="1" max="1" width="16" customWidth="1"/>
    <col min="2" max="2" width="14" customWidth="1"/>
    <col min="3" max="3" width="19" customWidth="1"/>
    <col min="4" max="4" width="18" customWidth="1"/>
    <col min="5" max="5" width="16" customWidth="1"/>
    <col min="6" max="6" width="19" customWidth="1"/>
    <col min="7" max="7" width="14" customWidth="1"/>
    <col min="8" max="8" width="10" customWidth="1"/>
    <col min="9" max="9" width="13" customWidth="1"/>
    <col min="10" max="11" width="17" customWidth="1"/>
  </cols>
  <sheetData>
    <row r="1" spans="1:11" ht="22.05" customHeight="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t="s">
        <v>12</v>
      </c>
      <c r="C2" s="3">
        <v>45672.163888888892</v>
      </c>
      <c r="D2" s="2" t="s">
        <v>13</v>
      </c>
      <c r="E2" s="4">
        <v>1638.03</v>
      </c>
      <c r="F2" s="2" t="s">
        <v>14</v>
      </c>
      <c r="G2" s="5">
        <v>47</v>
      </c>
      <c r="H2" s="2" t="s">
        <v>15</v>
      </c>
      <c r="I2" s="2" t="s">
        <v>16</v>
      </c>
      <c r="J2" s="2" t="s">
        <v>17</v>
      </c>
      <c r="K2" s="2" t="s">
        <v>18</v>
      </c>
    </row>
    <row r="3" spans="1:11" x14ac:dyDescent="0.3">
      <c r="A3" s="2" t="s">
        <v>19</v>
      </c>
      <c r="B3" s="2" t="s">
        <v>20</v>
      </c>
      <c r="C3" s="3">
        <v>45791.234027777777</v>
      </c>
      <c r="D3" s="2" t="s">
        <v>13</v>
      </c>
      <c r="E3" s="4">
        <v>994.07</v>
      </c>
      <c r="F3" s="2" t="s">
        <v>14</v>
      </c>
      <c r="G3" s="5">
        <v>43</v>
      </c>
      <c r="H3" s="2" t="s">
        <v>15</v>
      </c>
      <c r="I3" s="2" t="s">
        <v>21</v>
      </c>
      <c r="J3" s="2" t="s">
        <v>17</v>
      </c>
      <c r="K3" s="2" t="s">
        <v>22</v>
      </c>
    </row>
    <row r="4" spans="1:11" x14ac:dyDescent="0.3">
      <c r="A4" s="2" t="s">
        <v>23</v>
      </c>
      <c r="B4" s="2" t="s">
        <v>24</v>
      </c>
      <c r="C4" s="3">
        <v>45793.04583333333</v>
      </c>
      <c r="D4" s="2" t="s">
        <v>13</v>
      </c>
      <c r="E4" s="4">
        <v>2862.66</v>
      </c>
      <c r="F4" s="2" t="s">
        <v>14</v>
      </c>
      <c r="G4" s="5">
        <v>35</v>
      </c>
      <c r="H4" s="2" t="s">
        <v>15</v>
      </c>
      <c r="I4" s="2" t="s">
        <v>25</v>
      </c>
      <c r="J4" s="2" t="s">
        <v>17</v>
      </c>
      <c r="K4" s="2" t="s">
        <v>18</v>
      </c>
    </row>
    <row r="5" spans="1:11" x14ac:dyDescent="0.3">
      <c r="A5" s="2" t="s">
        <v>26</v>
      </c>
      <c r="B5" s="2" t="s">
        <v>27</v>
      </c>
      <c r="C5" s="3">
        <v>45963.556944444441</v>
      </c>
      <c r="D5" s="2" t="s">
        <v>28</v>
      </c>
      <c r="E5" s="4">
        <v>39577</v>
      </c>
      <c r="F5" s="2" t="s">
        <v>14</v>
      </c>
      <c r="G5" s="5">
        <v>35</v>
      </c>
      <c r="H5" s="2" t="s">
        <v>29</v>
      </c>
      <c r="I5" s="2" t="s">
        <v>30</v>
      </c>
      <c r="J5" s="2" t="s">
        <v>17</v>
      </c>
      <c r="K5" s="2" t="s">
        <v>18</v>
      </c>
    </row>
    <row r="6" spans="1:11" x14ac:dyDescent="0.3">
      <c r="A6" s="2" t="s">
        <v>31</v>
      </c>
      <c r="B6" s="2" t="s">
        <v>32</v>
      </c>
      <c r="C6" s="3">
        <v>45818.568055555559</v>
      </c>
      <c r="D6" s="2" t="s">
        <v>33</v>
      </c>
      <c r="E6" s="4">
        <v>21734.400000000001</v>
      </c>
      <c r="F6" s="2" t="s">
        <v>14</v>
      </c>
      <c r="G6" s="5">
        <v>53</v>
      </c>
      <c r="H6" s="2" t="s">
        <v>15</v>
      </c>
      <c r="I6" s="2" t="s">
        <v>34</v>
      </c>
      <c r="J6" s="2" t="s">
        <v>17</v>
      </c>
      <c r="K6" s="2" t="s">
        <v>35</v>
      </c>
    </row>
    <row r="7" spans="1:11" x14ac:dyDescent="0.3">
      <c r="A7" s="2" t="s">
        <v>36</v>
      </c>
      <c r="B7" s="2" t="s">
        <v>37</v>
      </c>
      <c r="C7" s="3">
        <v>45919.14166666667</v>
      </c>
      <c r="D7" s="2" t="s">
        <v>38</v>
      </c>
      <c r="E7" s="4">
        <v>14388.09</v>
      </c>
      <c r="F7" s="2" t="s">
        <v>14</v>
      </c>
      <c r="G7" s="5">
        <v>29</v>
      </c>
      <c r="H7" s="2" t="s">
        <v>15</v>
      </c>
      <c r="I7" s="2" t="s">
        <v>25</v>
      </c>
      <c r="J7" s="2" t="s">
        <v>17</v>
      </c>
      <c r="K7" s="2" t="s">
        <v>18</v>
      </c>
    </row>
    <row r="8" spans="1:11" x14ac:dyDescent="0.3">
      <c r="A8" s="2" t="s">
        <v>39</v>
      </c>
      <c r="B8" s="2" t="s">
        <v>40</v>
      </c>
      <c r="C8" s="3">
        <v>45953.261111111111</v>
      </c>
      <c r="D8" s="2" t="s">
        <v>13</v>
      </c>
      <c r="E8" s="4">
        <v>1290.67</v>
      </c>
      <c r="F8" s="2" t="s">
        <v>14</v>
      </c>
      <c r="G8" s="5">
        <v>36</v>
      </c>
      <c r="H8" s="2" t="s">
        <v>29</v>
      </c>
      <c r="I8" s="2" t="s">
        <v>34</v>
      </c>
      <c r="J8" s="2" t="s">
        <v>17</v>
      </c>
      <c r="K8" s="2" t="s">
        <v>18</v>
      </c>
    </row>
    <row r="9" spans="1:11" x14ac:dyDescent="0.3">
      <c r="A9" s="2" t="s">
        <v>41</v>
      </c>
      <c r="B9" s="2" t="s">
        <v>42</v>
      </c>
      <c r="C9" s="3">
        <v>45680.935416666667</v>
      </c>
      <c r="D9" s="2" t="s">
        <v>28</v>
      </c>
      <c r="E9" s="4">
        <v>2614.16</v>
      </c>
      <c r="F9" s="2" t="s">
        <v>14</v>
      </c>
      <c r="G9" s="5">
        <v>35</v>
      </c>
      <c r="H9" s="2" t="s">
        <v>15</v>
      </c>
      <c r="I9" s="2" t="s">
        <v>43</v>
      </c>
      <c r="J9" s="2" t="s">
        <v>44</v>
      </c>
      <c r="K9" s="2" t="s">
        <v>45</v>
      </c>
    </row>
    <row r="10" spans="1:11" x14ac:dyDescent="0.3">
      <c r="A10" s="2" t="s">
        <v>46</v>
      </c>
      <c r="B10" s="2" t="s">
        <v>47</v>
      </c>
      <c r="C10" s="3">
        <v>45658.707638888889</v>
      </c>
      <c r="D10" s="2" t="s">
        <v>28</v>
      </c>
      <c r="E10" s="4">
        <v>1856.41</v>
      </c>
      <c r="F10" s="2" t="s">
        <v>14</v>
      </c>
      <c r="G10" s="5">
        <v>53</v>
      </c>
      <c r="H10" s="2" t="s">
        <v>15</v>
      </c>
      <c r="I10" s="2" t="s">
        <v>48</v>
      </c>
      <c r="J10" s="2" t="s">
        <v>49</v>
      </c>
      <c r="K10" s="2" t="s">
        <v>18</v>
      </c>
    </row>
    <row r="11" spans="1:11" x14ac:dyDescent="0.3">
      <c r="A11" s="2" t="s">
        <v>50</v>
      </c>
      <c r="B11" s="2" t="s">
        <v>51</v>
      </c>
      <c r="C11" s="3">
        <v>45933.906944444447</v>
      </c>
      <c r="D11" s="2" t="s">
        <v>38</v>
      </c>
      <c r="E11" s="4">
        <v>827.07</v>
      </c>
      <c r="F11" s="2" t="s">
        <v>14</v>
      </c>
      <c r="G11" s="5">
        <v>30</v>
      </c>
      <c r="H11" s="2" t="s">
        <v>29</v>
      </c>
      <c r="I11" s="2" t="s">
        <v>48</v>
      </c>
      <c r="J11" s="2" t="s">
        <v>52</v>
      </c>
      <c r="K11" s="2" t="s">
        <v>18</v>
      </c>
    </row>
    <row r="12" spans="1:11" x14ac:dyDescent="0.3">
      <c r="A12" s="2" t="s">
        <v>53</v>
      </c>
      <c r="B12" s="2" t="s">
        <v>54</v>
      </c>
      <c r="C12" s="3">
        <v>46001.265972222223</v>
      </c>
      <c r="D12" s="2" t="s">
        <v>28</v>
      </c>
      <c r="E12" s="4">
        <v>45733.52</v>
      </c>
      <c r="F12" s="2" t="s">
        <v>14</v>
      </c>
      <c r="G12" s="5">
        <v>60</v>
      </c>
      <c r="H12" s="2" t="s">
        <v>29</v>
      </c>
      <c r="I12" s="2" t="s">
        <v>34</v>
      </c>
      <c r="J12" s="2" t="s">
        <v>49</v>
      </c>
      <c r="K12" s="2" t="s">
        <v>35</v>
      </c>
    </row>
    <row r="13" spans="1:11" x14ac:dyDescent="0.3">
      <c r="A13" s="2" t="s">
        <v>55</v>
      </c>
      <c r="B13" s="2" t="s">
        <v>56</v>
      </c>
      <c r="C13" s="3">
        <v>45878.112500000003</v>
      </c>
      <c r="D13" s="2" t="s">
        <v>13</v>
      </c>
      <c r="E13" s="4">
        <v>774.66</v>
      </c>
      <c r="F13" s="2" t="s">
        <v>57</v>
      </c>
      <c r="G13" s="5">
        <v>64</v>
      </c>
      <c r="H13" s="2" t="s">
        <v>29</v>
      </c>
      <c r="I13" s="2" t="s">
        <v>30</v>
      </c>
      <c r="J13" s="2" t="s">
        <v>49</v>
      </c>
      <c r="K13" s="2" t="s">
        <v>45</v>
      </c>
    </row>
    <row r="14" spans="1:11" x14ac:dyDescent="0.3">
      <c r="A14" s="2" t="s">
        <v>58</v>
      </c>
      <c r="B14" s="2" t="s">
        <v>59</v>
      </c>
      <c r="C14" s="3">
        <v>45827.805555555547</v>
      </c>
      <c r="D14" s="2" t="s">
        <v>38</v>
      </c>
      <c r="E14" s="4">
        <v>1264.52</v>
      </c>
      <c r="F14" s="2" t="s">
        <v>14</v>
      </c>
      <c r="G14" s="5">
        <v>27</v>
      </c>
      <c r="H14" s="2" t="s">
        <v>15</v>
      </c>
      <c r="I14" s="2" t="s">
        <v>60</v>
      </c>
      <c r="J14" s="2" t="s">
        <v>17</v>
      </c>
      <c r="K14" s="2" t="s">
        <v>45</v>
      </c>
    </row>
    <row r="15" spans="1:11" x14ac:dyDescent="0.3">
      <c r="A15" s="2" t="s">
        <v>61</v>
      </c>
      <c r="B15" s="2" t="s">
        <v>62</v>
      </c>
      <c r="C15" s="3">
        <v>45997.156944444447</v>
      </c>
      <c r="D15" s="2" t="s">
        <v>33</v>
      </c>
      <c r="E15" s="4">
        <v>13840.84</v>
      </c>
      <c r="F15" s="2" t="s">
        <v>14</v>
      </c>
      <c r="G15" s="5">
        <v>32</v>
      </c>
      <c r="H15" s="2" t="s">
        <v>29</v>
      </c>
      <c r="I15" s="2" t="s">
        <v>25</v>
      </c>
      <c r="J15" s="2" t="s">
        <v>17</v>
      </c>
      <c r="K15" s="2" t="s">
        <v>18</v>
      </c>
    </row>
    <row r="16" spans="1:11" x14ac:dyDescent="0.3">
      <c r="A16" s="2" t="s">
        <v>63</v>
      </c>
      <c r="B16" s="2" t="s">
        <v>64</v>
      </c>
      <c r="C16" s="3">
        <v>45811.679861111108</v>
      </c>
      <c r="D16" s="2" t="s">
        <v>28</v>
      </c>
      <c r="E16" s="4">
        <v>10423.540000000001</v>
      </c>
      <c r="F16" s="2" t="s">
        <v>14</v>
      </c>
      <c r="G16" s="5">
        <v>51</v>
      </c>
      <c r="H16" s="2" t="s">
        <v>29</v>
      </c>
      <c r="I16" s="2" t="s">
        <v>25</v>
      </c>
      <c r="J16" s="2" t="s">
        <v>44</v>
      </c>
      <c r="K16" s="2" t="s">
        <v>18</v>
      </c>
    </row>
    <row r="17" spans="1:11" x14ac:dyDescent="0.3">
      <c r="A17" s="2" t="s">
        <v>65</v>
      </c>
      <c r="B17" s="2" t="s">
        <v>12</v>
      </c>
      <c r="C17" s="3">
        <v>45999.555555555547</v>
      </c>
      <c r="D17" s="2" t="s">
        <v>28</v>
      </c>
      <c r="E17" s="4">
        <v>10869.45</v>
      </c>
      <c r="F17" s="2" t="s">
        <v>14</v>
      </c>
      <c r="G17" s="5">
        <v>47</v>
      </c>
      <c r="H17" s="2" t="s">
        <v>15</v>
      </c>
      <c r="I17" s="2" t="s">
        <v>16</v>
      </c>
      <c r="J17" s="2" t="s">
        <v>17</v>
      </c>
      <c r="K17" s="2" t="s">
        <v>18</v>
      </c>
    </row>
    <row r="18" spans="1:11" x14ac:dyDescent="0.3">
      <c r="A18" s="2" t="s">
        <v>66</v>
      </c>
      <c r="B18" s="2" t="s">
        <v>67</v>
      </c>
      <c r="C18" s="3">
        <v>45864.929166666669</v>
      </c>
      <c r="D18" s="2" t="s">
        <v>13</v>
      </c>
      <c r="E18" s="4">
        <v>679.22</v>
      </c>
      <c r="F18" s="2" t="s">
        <v>14</v>
      </c>
      <c r="G18" s="5">
        <v>29</v>
      </c>
      <c r="H18" s="2" t="s">
        <v>15</v>
      </c>
      <c r="I18" s="2" t="s">
        <v>34</v>
      </c>
      <c r="J18" s="2" t="s">
        <v>44</v>
      </c>
      <c r="K18" s="2" t="s">
        <v>18</v>
      </c>
    </row>
    <row r="19" spans="1:11" x14ac:dyDescent="0.3">
      <c r="A19" s="2" t="s">
        <v>68</v>
      </c>
      <c r="B19" s="2" t="s">
        <v>69</v>
      </c>
      <c r="C19" s="3">
        <v>45941.175000000003</v>
      </c>
      <c r="D19" s="2" t="s">
        <v>13</v>
      </c>
      <c r="E19" s="4">
        <v>2481.19</v>
      </c>
      <c r="F19" s="2" t="s">
        <v>14</v>
      </c>
      <c r="G19" s="5">
        <v>42</v>
      </c>
      <c r="H19" s="2" t="s">
        <v>15</v>
      </c>
      <c r="I19" s="2" t="s">
        <v>34</v>
      </c>
      <c r="J19" s="2" t="s">
        <v>44</v>
      </c>
      <c r="K19" s="2" t="s">
        <v>35</v>
      </c>
    </row>
    <row r="20" spans="1:11" x14ac:dyDescent="0.3">
      <c r="A20" s="2" t="s">
        <v>70</v>
      </c>
      <c r="B20" s="2" t="s">
        <v>71</v>
      </c>
      <c r="C20" s="3">
        <v>45873.89166666667</v>
      </c>
      <c r="D20" s="2" t="s">
        <v>38</v>
      </c>
      <c r="E20" s="4">
        <v>22077.14</v>
      </c>
      <c r="F20" s="2" t="s">
        <v>14</v>
      </c>
      <c r="G20" s="5">
        <v>42</v>
      </c>
      <c r="H20" s="2" t="s">
        <v>15</v>
      </c>
      <c r="I20" s="2" t="s">
        <v>60</v>
      </c>
      <c r="J20" s="2" t="s">
        <v>17</v>
      </c>
      <c r="K20" s="2" t="s">
        <v>18</v>
      </c>
    </row>
    <row r="21" spans="1:11" x14ac:dyDescent="0.3">
      <c r="A21" s="2" t="s">
        <v>72</v>
      </c>
      <c r="B21" s="2" t="s">
        <v>73</v>
      </c>
      <c r="C21" s="3">
        <v>46004.997916666667</v>
      </c>
      <c r="D21" s="2" t="s">
        <v>28</v>
      </c>
      <c r="E21" s="4">
        <v>23504.06</v>
      </c>
      <c r="F21" s="2" t="s">
        <v>14</v>
      </c>
      <c r="G21" s="5">
        <v>33</v>
      </c>
      <c r="H21" s="2" t="s">
        <v>15</v>
      </c>
      <c r="I21" s="2" t="s">
        <v>21</v>
      </c>
      <c r="J21" s="2" t="s">
        <v>49</v>
      </c>
      <c r="K21" s="2" t="s">
        <v>18</v>
      </c>
    </row>
    <row r="22" spans="1:11" x14ac:dyDescent="0.3">
      <c r="A22" s="2" t="s">
        <v>74</v>
      </c>
      <c r="B22" s="2" t="s">
        <v>75</v>
      </c>
      <c r="C22" s="3">
        <v>45747.816666666673</v>
      </c>
      <c r="D22" s="2" t="s">
        <v>13</v>
      </c>
      <c r="E22" s="4">
        <v>276.3</v>
      </c>
      <c r="F22" s="2" t="s">
        <v>14</v>
      </c>
      <c r="G22" s="5">
        <v>31</v>
      </c>
      <c r="H22" s="2" t="s">
        <v>29</v>
      </c>
      <c r="I22" s="2" t="s">
        <v>25</v>
      </c>
      <c r="J22" s="2" t="s">
        <v>17</v>
      </c>
      <c r="K22" s="2" t="s">
        <v>18</v>
      </c>
    </row>
    <row r="23" spans="1:11" x14ac:dyDescent="0.3">
      <c r="A23" s="2" t="s">
        <v>76</v>
      </c>
      <c r="B23" s="2" t="s">
        <v>77</v>
      </c>
      <c r="C23" s="3">
        <v>45812.524305555547</v>
      </c>
      <c r="D23" s="2" t="s">
        <v>28</v>
      </c>
      <c r="E23" s="4">
        <v>1098.04</v>
      </c>
      <c r="F23" s="2" t="s">
        <v>14</v>
      </c>
      <c r="G23" s="5">
        <v>34</v>
      </c>
      <c r="H23" s="2" t="s">
        <v>29</v>
      </c>
      <c r="I23" s="2" t="s">
        <v>78</v>
      </c>
      <c r="J23" s="2" t="s">
        <v>17</v>
      </c>
      <c r="K23" s="2" t="s">
        <v>18</v>
      </c>
    </row>
    <row r="24" spans="1:11" x14ac:dyDescent="0.3">
      <c r="A24" s="2" t="s">
        <v>79</v>
      </c>
      <c r="B24" s="2" t="s">
        <v>80</v>
      </c>
      <c r="C24" s="3">
        <v>45658.387499999997</v>
      </c>
      <c r="D24" s="2" t="s">
        <v>13</v>
      </c>
      <c r="E24" s="4">
        <v>1087.98</v>
      </c>
      <c r="F24" s="2" t="s">
        <v>14</v>
      </c>
      <c r="G24" s="5">
        <v>27</v>
      </c>
      <c r="H24" s="2" t="s">
        <v>29</v>
      </c>
      <c r="I24" s="2" t="s">
        <v>60</v>
      </c>
      <c r="J24" s="2" t="s">
        <v>17</v>
      </c>
      <c r="K24" s="2" t="s">
        <v>35</v>
      </c>
    </row>
    <row r="25" spans="1:11" x14ac:dyDescent="0.3">
      <c r="A25" s="2" t="s">
        <v>81</v>
      </c>
      <c r="B25" s="2" t="s">
        <v>82</v>
      </c>
      <c r="C25" s="3">
        <v>45765.576388888891</v>
      </c>
      <c r="D25" s="2" t="s">
        <v>28</v>
      </c>
      <c r="E25" s="4">
        <v>42880.480000000003</v>
      </c>
      <c r="F25" s="2" t="s">
        <v>14</v>
      </c>
      <c r="G25" s="5">
        <v>20</v>
      </c>
      <c r="H25" s="2" t="s">
        <v>29</v>
      </c>
      <c r="I25" s="2" t="s">
        <v>21</v>
      </c>
      <c r="J25" s="2" t="s">
        <v>17</v>
      </c>
      <c r="K25" s="2" t="s">
        <v>18</v>
      </c>
    </row>
    <row r="26" spans="1:11" x14ac:dyDescent="0.3">
      <c r="A26" s="2" t="s">
        <v>83</v>
      </c>
      <c r="B26" s="2" t="s">
        <v>84</v>
      </c>
      <c r="C26" s="3">
        <v>45954.820138888892</v>
      </c>
      <c r="D26" s="2" t="s">
        <v>28</v>
      </c>
      <c r="E26" s="4">
        <v>61709.83</v>
      </c>
      <c r="F26" s="2" t="s">
        <v>14</v>
      </c>
      <c r="G26" s="5">
        <v>33</v>
      </c>
      <c r="H26" s="2" t="s">
        <v>15</v>
      </c>
      <c r="I26" s="2" t="s">
        <v>34</v>
      </c>
      <c r="J26" s="2" t="s">
        <v>17</v>
      </c>
      <c r="K26" s="2" t="s">
        <v>18</v>
      </c>
    </row>
    <row r="27" spans="1:11" x14ac:dyDescent="0.3">
      <c r="A27" s="2" t="s">
        <v>85</v>
      </c>
      <c r="B27" s="2" t="s">
        <v>86</v>
      </c>
      <c r="C27" s="3">
        <v>45822.602777777778</v>
      </c>
      <c r="D27" s="2" t="s">
        <v>28</v>
      </c>
      <c r="E27" s="4">
        <v>2260.2600000000002</v>
      </c>
      <c r="F27" s="2" t="s">
        <v>14</v>
      </c>
      <c r="G27" s="5">
        <v>41</v>
      </c>
      <c r="H27" s="2" t="s">
        <v>29</v>
      </c>
      <c r="I27" s="2" t="s">
        <v>60</v>
      </c>
      <c r="J27" s="2" t="s">
        <v>17</v>
      </c>
      <c r="K27" s="2" t="s">
        <v>45</v>
      </c>
    </row>
    <row r="28" spans="1:11" x14ac:dyDescent="0.3">
      <c r="A28" s="2" t="s">
        <v>87</v>
      </c>
      <c r="B28" s="2" t="s">
        <v>88</v>
      </c>
      <c r="C28" s="3">
        <v>45884.884027777778</v>
      </c>
      <c r="D28" s="2" t="s">
        <v>28</v>
      </c>
      <c r="E28" s="4">
        <v>1833.75</v>
      </c>
      <c r="F28" s="2" t="s">
        <v>14</v>
      </c>
      <c r="G28" s="5">
        <v>25</v>
      </c>
      <c r="H28" s="2" t="s">
        <v>29</v>
      </c>
      <c r="I28" s="2" t="s">
        <v>34</v>
      </c>
      <c r="J28" s="2" t="s">
        <v>49</v>
      </c>
      <c r="K28" s="2" t="s">
        <v>35</v>
      </c>
    </row>
    <row r="29" spans="1:11" x14ac:dyDescent="0.3">
      <c r="A29" s="2" t="s">
        <v>89</v>
      </c>
      <c r="B29" s="2" t="s">
        <v>90</v>
      </c>
      <c r="C29" s="3">
        <v>45919.659722222219</v>
      </c>
      <c r="D29" s="2" t="s">
        <v>13</v>
      </c>
      <c r="E29" s="4">
        <v>868.36</v>
      </c>
      <c r="F29" s="2" t="s">
        <v>14</v>
      </c>
      <c r="G29" s="5">
        <v>22</v>
      </c>
      <c r="H29" s="2" t="s">
        <v>29</v>
      </c>
      <c r="I29" s="2" t="s">
        <v>48</v>
      </c>
      <c r="J29" s="2" t="s">
        <v>49</v>
      </c>
      <c r="K29" s="2" t="s">
        <v>45</v>
      </c>
    </row>
    <row r="30" spans="1:11" x14ac:dyDescent="0.3">
      <c r="A30" s="2" t="s">
        <v>91</v>
      </c>
      <c r="B30" s="2" t="s">
        <v>92</v>
      </c>
      <c r="C30" s="3">
        <v>45744.878472222219</v>
      </c>
      <c r="D30" s="2" t="s">
        <v>38</v>
      </c>
      <c r="E30" s="4">
        <v>10700.5</v>
      </c>
      <c r="F30" s="2" t="s">
        <v>14</v>
      </c>
      <c r="G30" s="5">
        <v>31</v>
      </c>
      <c r="H30" s="2" t="s">
        <v>29</v>
      </c>
      <c r="I30" s="2" t="s">
        <v>60</v>
      </c>
      <c r="J30" s="2" t="s">
        <v>44</v>
      </c>
      <c r="K30" s="2" t="s">
        <v>18</v>
      </c>
    </row>
    <row r="31" spans="1:11" x14ac:dyDescent="0.3">
      <c r="A31" s="2" t="s">
        <v>93</v>
      </c>
      <c r="B31" s="2" t="s">
        <v>94</v>
      </c>
      <c r="C31" s="3">
        <v>45803.695833333331</v>
      </c>
      <c r="D31" s="2" t="s">
        <v>13</v>
      </c>
      <c r="E31" s="4">
        <v>442.98</v>
      </c>
      <c r="F31" s="2" t="s">
        <v>14</v>
      </c>
      <c r="G31" s="5">
        <v>36</v>
      </c>
      <c r="H31" s="2" t="s">
        <v>15</v>
      </c>
      <c r="I31" s="2" t="s">
        <v>95</v>
      </c>
      <c r="J31" s="2" t="s">
        <v>17</v>
      </c>
      <c r="K31" s="2" t="s">
        <v>18</v>
      </c>
    </row>
    <row r="32" spans="1:11" x14ac:dyDescent="0.3">
      <c r="A32" s="2" t="s">
        <v>96</v>
      </c>
      <c r="B32" s="2" t="s">
        <v>97</v>
      </c>
      <c r="C32" s="3">
        <v>45982.806250000001</v>
      </c>
      <c r="D32" s="2" t="s">
        <v>13</v>
      </c>
      <c r="E32" s="4">
        <v>726.6</v>
      </c>
      <c r="F32" s="2" t="s">
        <v>14</v>
      </c>
      <c r="G32" s="5">
        <v>31</v>
      </c>
      <c r="H32" s="2" t="s">
        <v>15</v>
      </c>
      <c r="I32" s="2" t="s">
        <v>25</v>
      </c>
      <c r="J32" s="2" t="s">
        <v>17</v>
      </c>
      <c r="K32" s="2" t="s">
        <v>18</v>
      </c>
    </row>
    <row r="33" spans="1:11" x14ac:dyDescent="0.3">
      <c r="A33" s="2" t="s">
        <v>98</v>
      </c>
      <c r="B33" s="2" t="s">
        <v>99</v>
      </c>
      <c r="C33" s="3">
        <v>45705.321527777778</v>
      </c>
      <c r="D33" s="2" t="s">
        <v>13</v>
      </c>
      <c r="E33" s="4">
        <v>1097.48</v>
      </c>
      <c r="F33" s="2" t="s">
        <v>14</v>
      </c>
      <c r="G33" s="5">
        <v>36</v>
      </c>
      <c r="H33" s="2" t="s">
        <v>15</v>
      </c>
      <c r="I33" s="2" t="s">
        <v>30</v>
      </c>
      <c r="J33" s="2" t="s">
        <v>17</v>
      </c>
      <c r="K33" s="2" t="s">
        <v>18</v>
      </c>
    </row>
    <row r="34" spans="1:11" x14ac:dyDescent="0.3">
      <c r="A34" s="2" t="s">
        <v>100</v>
      </c>
      <c r="B34" s="2" t="s">
        <v>101</v>
      </c>
      <c r="C34" s="3">
        <v>45816.32708333333</v>
      </c>
      <c r="D34" s="2" t="s">
        <v>28</v>
      </c>
      <c r="E34" s="4">
        <v>79100.34</v>
      </c>
      <c r="F34" s="2" t="s">
        <v>14</v>
      </c>
      <c r="G34" s="5">
        <v>45</v>
      </c>
      <c r="H34" s="2" t="s">
        <v>29</v>
      </c>
      <c r="I34" s="2" t="s">
        <v>34</v>
      </c>
      <c r="J34" s="2" t="s">
        <v>17</v>
      </c>
      <c r="K34" s="2" t="s">
        <v>45</v>
      </c>
    </row>
    <row r="35" spans="1:11" x14ac:dyDescent="0.3">
      <c r="A35" s="2" t="s">
        <v>102</v>
      </c>
      <c r="B35" s="2" t="s">
        <v>103</v>
      </c>
      <c r="C35" s="3">
        <v>45759.167361111111</v>
      </c>
      <c r="D35" s="2" t="s">
        <v>33</v>
      </c>
      <c r="E35" s="4">
        <v>13423.82</v>
      </c>
      <c r="F35" s="2" t="s">
        <v>14</v>
      </c>
      <c r="G35" s="5">
        <v>43</v>
      </c>
      <c r="H35" s="2" t="s">
        <v>29</v>
      </c>
      <c r="I35" s="2" t="s">
        <v>34</v>
      </c>
      <c r="J35" s="2" t="s">
        <v>17</v>
      </c>
      <c r="K35" s="2" t="s">
        <v>45</v>
      </c>
    </row>
    <row r="36" spans="1:11" x14ac:dyDescent="0.3">
      <c r="A36" s="2" t="s">
        <v>104</v>
      </c>
      <c r="B36" s="2" t="s">
        <v>105</v>
      </c>
      <c r="C36" s="3">
        <v>45681.3125</v>
      </c>
      <c r="D36" s="2" t="s">
        <v>28</v>
      </c>
      <c r="E36" s="4">
        <v>30033.88</v>
      </c>
      <c r="F36" s="2" t="s">
        <v>14</v>
      </c>
      <c r="G36" s="5">
        <v>42</v>
      </c>
      <c r="H36" s="2" t="s">
        <v>15</v>
      </c>
      <c r="I36" s="2" t="s">
        <v>34</v>
      </c>
      <c r="J36" s="2" t="s">
        <v>49</v>
      </c>
      <c r="K36" s="2" t="s">
        <v>18</v>
      </c>
    </row>
    <row r="37" spans="1:11" x14ac:dyDescent="0.3">
      <c r="A37" s="2" t="s">
        <v>106</v>
      </c>
      <c r="B37" s="2" t="s">
        <v>107</v>
      </c>
      <c r="C37" s="3">
        <v>45970.103472222218</v>
      </c>
      <c r="D37" s="2" t="s">
        <v>13</v>
      </c>
      <c r="E37" s="4">
        <v>1909.67</v>
      </c>
      <c r="F37" s="2" t="s">
        <v>14</v>
      </c>
      <c r="G37" s="5">
        <v>43</v>
      </c>
      <c r="H37" s="2" t="s">
        <v>29</v>
      </c>
      <c r="I37" s="2" t="s">
        <v>21</v>
      </c>
      <c r="J37" s="2" t="s">
        <v>49</v>
      </c>
      <c r="K37" s="2" t="s">
        <v>22</v>
      </c>
    </row>
    <row r="38" spans="1:11" x14ac:dyDescent="0.3">
      <c r="A38" s="2" t="s">
        <v>108</v>
      </c>
      <c r="B38" s="2" t="s">
        <v>109</v>
      </c>
      <c r="C38" s="3">
        <v>45870.85833333333</v>
      </c>
      <c r="D38" s="2" t="s">
        <v>28</v>
      </c>
      <c r="E38" s="4">
        <v>1079.48</v>
      </c>
      <c r="F38" s="2" t="s">
        <v>57</v>
      </c>
      <c r="G38" s="5">
        <v>38</v>
      </c>
      <c r="H38" s="2" t="s">
        <v>15</v>
      </c>
      <c r="I38" s="2" t="s">
        <v>21</v>
      </c>
      <c r="J38" s="2" t="s">
        <v>17</v>
      </c>
      <c r="K38" s="2" t="s">
        <v>45</v>
      </c>
    </row>
    <row r="39" spans="1:11" x14ac:dyDescent="0.3">
      <c r="A39" s="2" t="s">
        <v>110</v>
      </c>
      <c r="B39" s="2" t="s">
        <v>111</v>
      </c>
      <c r="C39" s="3">
        <v>45757.947222222218</v>
      </c>
      <c r="D39" s="2" t="s">
        <v>13</v>
      </c>
      <c r="E39" s="4">
        <v>299.07</v>
      </c>
      <c r="F39" s="2" t="s">
        <v>14</v>
      </c>
      <c r="G39" s="5">
        <v>45</v>
      </c>
      <c r="H39" s="2" t="s">
        <v>15</v>
      </c>
      <c r="I39" s="2" t="s">
        <v>48</v>
      </c>
      <c r="J39" s="2" t="s">
        <v>17</v>
      </c>
      <c r="K39" s="2" t="s">
        <v>18</v>
      </c>
    </row>
    <row r="40" spans="1:11" x14ac:dyDescent="0.3">
      <c r="A40" s="2" t="s">
        <v>112</v>
      </c>
      <c r="B40" s="2" t="s">
        <v>113</v>
      </c>
      <c r="C40" s="3">
        <v>45854.642361111109</v>
      </c>
      <c r="D40" s="2" t="s">
        <v>28</v>
      </c>
      <c r="E40" s="4">
        <v>85530.27</v>
      </c>
      <c r="F40" s="2" t="s">
        <v>57</v>
      </c>
      <c r="G40" s="5">
        <v>60</v>
      </c>
      <c r="H40" s="2" t="s">
        <v>29</v>
      </c>
      <c r="I40" s="2" t="s">
        <v>78</v>
      </c>
      <c r="J40" s="2" t="s">
        <v>17</v>
      </c>
      <c r="K40" s="2" t="s">
        <v>18</v>
      </c>
    </row>
    <row r="41" spans="1:11" x14ac:dyDescent="0.3">
      <c r="A41" s="2" t="s">
        <v>114</v>
      </c>
      <c r="B41" s="2" t="s">
        <v>115</v>
      </c>
      <c r="C41" s="3">
        <v>45782.195138888892</v>
      </c>
      <c r="D41" s="2" t="s">
        <v>28</v>
      </c>
      <c r="E41" s="4">
        <v>13074.82</v>
      </c>
      <c r="F41" s="2" t="s">
        <v>14</v>
      </c>
      <c r="G41" s="5">
        <v>42</v>
      </c>
      <c r="H41" s="2" t="s">
        <v>29</v>
      </c>
      <c r="I41" s="2" t="s">
        <v>34</v>
      </c>
      <c r="J41" s="2" t="s">
        <v>44</v>
      </c>
      <c r="K41" s="2" t="s">
        <v>18</v>
      </c>
    </row>
    <row r="42" spans="1:11" x14ac:dyDescent="0.3">
      <c r="A42" s="2" t="s">
        <v>116</v>
      </c>
      <c r="B42" s="2" t="s">
        <v>117</v>
      </c>
      <c r="C42" s="3">
        <v>46010.039583333331</v>
      </c>
      <c r="D42" s="2" t="s">
        <v>28</v>
      </c>
      <c r="E42" s="4">
        <v>2408.63</v>
      </c>
      <c r="F42" s="2" t="s">
        <v>14</v>
      </c>
      <c r="G42" s="5">
        <v>47</v>
      </c>
      <c r="H42" s="2" t="s">
        <v>29</v>
      </c>
      <c r="I42" s="2" t="s">
        <v>34</v>
      </c>
      <c r="J42" s="2" t="s">
        <v>17</v>
      </c>
      <c r="K42" s="2" t="s">
        <v>35</v>
      </c>
    </row>
    <row r="43" spans="1:11" x14ac:dyDescent="0.3">
      <c r="A43" s="2" t="s">
        <v>118</v>
      </c>
      <c r="B43" s="2" t="s">
        <v>119</v>
      </c>
      <c r="C43" s="3">
        <v>45712.551388888889</v>
      </c>
      <c r="D43" s="2" t="s">
        <v>33</v>
      </c>
      <c r="E43" s="4">
        <v>2173.83</v>
      </c>
      <c r="F43" s="2" t="s">
        <v>14</v>
      </c>
      <c r="G43" s="5">
        <v>33</v>
      </c>
      <c r="H43" s="2" t="s">
        <v>29</v>
      </c>
      <c r="I43" s="2" t="s">
        <v>60</v>
      </c>
      <c r="J43" s="2" t="s">
        <v>52</v>
      </c>
      <c r="K43" s="2" t="s">
        <v>18</v>
      </c>
    </row>
    <row r="44" spans="1:11" x14ac:dyDescent="0.3">
      <c r="A44" s="2" t="s">
        <v>120</v>
      </c>
      <c r="B44" s="2" t="s">
        <v>121</v>
      </c>
      <c r="C44" s="3">
        <v>45748.939583333333</v>
      </c>
      <c r="D44" s="2" t="s">
        <v>13</v>
      </c>
      <c r="E44" s="4">
        <v>1555.69</v>
      </c>
      <c r="F44" s="2" t="s">
        <v>122</v>
      </c>
      <c r="G44" s="5">
        <v>21</v>
      </c>
      <c r="H44" s="2" t="s">
        <v>29</v>
      </c>
      <c r="I44" s="2" t="s">
        <v>16</v>
      </c>
      <c r="J44" s="2" t="s">
        <v>17</v>
      </c>
      <c r="K44" s="2" t="s">
        <v>18</v>
      </c>
    </row>
    <row r="45" spans="1:11" x14ac:dyDescent="0.3">
      <c r="A45" s="2" t="s">
        <v>123</v>
      </c>
      <c r="B45" s="2" t="s">
        <v>124</v>
      </c>
      <c r="C45" s="3">
        <v>45895.065972222219</v>
      </c>
      <c r="D45" s="2" t="s">
        <v>38</v>
      </c>
      <c r="E45" s="4">
        <v>9954.41</v>
      </c>
      <c r="F45" s="2" t="s">
        <v>14</v>
      </c>
      <c r="G45" s="5">
        <v>39</v>
      </c>
      <c r="H45" s="2" t="s">
        <v>15</v>
      </c>
      <c r="I45" s="2" t="s">
        <v>16</v>
      </c>
      <c r="J45" s="2" t="s">
        <v>52</v>
      </c>
      <c r="K45" s="2" t="s">
        <v>18</v>
      </c>
    </row>
    <row r="46" spans="1:11" x14ac:dyDescent="0.3">
      <c r="A46" s="2" t="s">
        <v>125</v>
      </c>
      <c r="B46" s="2" t="s">
        <v>126</v>
      </c>
      <c r="C46" s="3">
        <v>45785.145138888889</v>
      </c>
      <c r="D46" s="2" t="s">
        <v>13</v>
      </c>
      <c r="E46" s="4">
        <v>2210.2199999999998</v>
      </c>
      <c r="F46" s="2" t="s">
        <v>14</v>
      </c>
      <c r="G46" s="5">
        <v>49</v>
      </c>
      <c r="H46" s="2" t="s">
        <v>29</v>
      </c>
      <c r="I46" s="2" t="s">
        <v>16</v>
      </c>
      <c r="J46" s="2" t="s">
        <v>17</v>
      </c>
      <c r="K46" s="2" t="s">
        <v>18</v>
      </c>
    </row>
    <row r="47" spans="1:11" x14ac:dyDescent="0.3">
      <c r="A47" s="2" t="s">
        <v>127</v>
      </c>
      <c r="B47" s="2" t="s">
        <v>128</v>
      </c>
      <c r="C47" s="3">
        <v>45726.612500000003</v>
      </c>
      <c r="D47" s="2" t="s">
        <v>13</v>
      </c>
      <c r="E47" s="4">
        <v>1205.79</v>
      </c>
      <c r="F47" s="2" t="s">
        <v>14</v>
      </c>
      <c r="G47" s="5">
        <v>26</v>
      </c>
      <c r="H47" s="2" t="s">
        <v>15</v>
      </c>
      <c r="I47" s="2" t="s">
        <v>95</v>
      </c>
      <c r="J47" s="2" t="s">
        <v>44</v>
      </c>
      <c r="K47" s="2" t="s">
        <v>18</v>
      </c>
    </row>
    <row r="48" spans="1:11" x14ac:dyDescent="0.3">
      <c r="A48" s="2" t="s">
        <v>129</v>
      </c>
      <c r="B48" s="2" t="s">
        <v>130</v>
      </c>
      <c r="C48" s="3">
        <v>45929.734722222223</v>
      </c>
      <c r="D48" s="2" t="s">
        <v>28</v>
      </c>
      <c r="E48" s="4">
        <v>27518.43</v>
      </c>
      <c r="F48" s="2" t="s">
        <v>122</v>
      </c>
      <c r="G48" s="5">
        <v>38</v>
      </c>
      <c r="H48" s="2" t="s">
        <v>29</v>
      </c>
      <c r="I48" s="2" t="s">
        <v>48</v>
      </c>
      <c r="J48" s="2" t="s">
        <v>17</v>
      </c>
      <c r="K48" s="2" t="s">
        <v>22</v>
      </c>
    </row>
    <row r="49" spans="1:11" x14ac:dyDescent="0.3">
      <c r="A49" s="2" t="s">
        <v>131</v>
      </c>
      <c r="B49" s="2" t="s">
        <v>132</v>
      </c>
      <c r="C49" s="3">
        <v>45820.61041666667</v>
      </c>
      <c r="D49" s="2" t="s">
        <v>28</v>
      </c>
      <c r="E49" s="4">
        <v>10226.200000000001</v>
      </c>
      <c r="F49" s="2" t="s">
        <v>14</v>
      </c>
      <c r="G49" s="5">
        <v>20</v>
      </c>
      <c r="H49" s="2" t="s">
        <v>15</v>
      </c>
      <c r="I49" s="2" t="s">
        <v>43</v>
      </c>
      <c r="J49" s="2" t="s">
        <v>17</v>
      </c>
      <c r="K49" s="2" t="s">
        <v>18</v>
      </c>
    </row>
    <row r="50" spans="1:11" x14ac:dyDescent="0.3">
      <c r="A50" s="2" t="s">
        <v>133</v>
      </c>
      <c r="B50" s="2" t="s">
        <v>134</v>
      </c>
      <c r="C50" s="3">
        <v>45916.578472222223</v>
      </c>
      <c r="D50" s="2" t="s">
        <v>13</v>
      </c>
      <c r="E50" s="4">
        <v>365.43</v>
      </c>
      <c r="F50" s="2" t="s">
        <v>14</v>
      </c>
      <c r="G50" s="5">
        <v>26</v>
      </c>
      <c r="H50" s="2" t="s">
        <v>15</v>
      </c>
      <c r="I50" s="2" t="s">
        <v>25</v>
      </c>
      <c r="J50" s="2" t="s">
        <v>49</v>
      </c>
      <c r="K50" s="2" t="s">
        <v>18</v>
      </c>
    </row>
    <row r="51" spans="1:11" x14ac:dyDescent="0.3">
      <c r="A51" s="2" t="s">
        <v>135</v>
      </c>
      <c r="B51" s="2" t="s">
        <v>136</v>
      </c>
      <c r="C51" s="3">
        <v>45938.622916666667</v>
      </c>
      <c r="D51" s="2" t="s">
        <v>13</v>
      </c>
      <c r="E51" s="4">
        <v>1964.39</v>
      </c>
      <c r="F51" s="2" t="s">
        <v>14</v>
      </c>
      <c r="G51" s="5">
        <v>59</v>
      </c>
      <c r="H51" s="2" t="s">
        <v>15</v>
      </c>
      <c r="I51" s="2" t="s">
        <v>16</v>
      </c>
      <c r="J51" s="2" t="s">
        <v>17</v>
      </c>
      <c r="K51" s="2" t="s">
        <v>45</v>
      </c>
    </row>
    <row r="52" spans="1:11" x14ac:dyDescent="0.3">
      <c r="A52" s="2" t="s">
        <v>137</v>
      </c>
      <c r="B52" s="2" t="s">
        <v>138</v>
      </c>
      <c r="C52" s="3">
        <v>45739.996527777781</v>
      </c>
      <c r="D52" s="2" t="s">
        <v>28</v>
      </c>
      <c r="E52" s="4">
        <v>26499.02</v>
      </c>
      <c r="F52" s="2" t="s">
        <v>14</v>
      </c>
      <c r="G52" s="5">
        <v>39</v>
      </c>
      <c r="H52" s="2" t="s">
        <v>15</v>
      </c>
      <c r="I52" s="2" t="s">
        <v>21</v>
      </c>
      <c r="J52" s="2" t="s">
        <v>52</v>
      </c>
      <c r="K52" s="2" t="s">
        <v>18</v>
      </c>
    </row>
    <row r="53" spans="1:11" x14ac:dyDescent="0.3">
      <c r="A53" s="2" t="s">
        <v>139</v>
      </c>
      <c r="B53" s="2" t="s">
        <v>140</v>
      </c>
      <c r="C53" s="3">
        <v>45901.594444444447</v>
      </c>
      <c r="D53" s="2" t="s">
        <v>28</v>
      </c>
      <c r="E53" s="4">
        <v>4253.96</v>
      </c>
      <c r="F53" s="2" t="s">
        <v>14</v>
      </c>
      <c r="G53" s="5">
        <v>49</v>
      </c>
      <c r="H53" s="2" t="s">
        <v>15</v>
      </c>
      <c r="I53" s="2" t="s">
        <v>21</v>
      </c>
      <c r="J53" s="2" t="s">
        <v>44</v>
      </c>
      <c r="K53" s="2" t="s">
        <v>45</v>
      </c>
    </row>
    <row r="54" spans="1:11" x14ac:dyDescent="0.3">
      <c r="A54" s="2" t="s">
        <v>141</v>
      </c>
      <c r="B54" s="2" t="s">
        <v>142</v>
      </c>
      <c r="C54" s="3">
        <v>45784.845138888893</v>
      </c>
      <c r="D54" s="2" t="s">
        <v>28</v>
      </c>
      <c r="E54" s="4">
        <v>18256.03</v>
      </c>
      <c r="F54" s="2" t="s">
        <v>14</v>
      </c>
      <c r="G54" s="5">
        <v>49</v>
      </c>
      <c r="H54" s="2" t="s">
        <v>29</v>
      </c>
      <c r="I54" s="2" t="s">
        <v>34</v>
      </c>
      <c r="J54" s="2" t="s">
        <v>17</v>
      </c>
      <c r="K54" s="2" t="s">
        <v>18</v>
      </c>
    </row>
    <row r="55" spans="1:11" x14ac:dyDescent="0.3">
      <c r="A55" s="2" t="s">
        <v>143</v>
      </c>
      <c r="B55" s="2" t="s">
        <v>144</v>
      </c>
      <c r="C55" s="3">
        <v>45924.652777777781</v>
      </c>
      <c r="D55" s="2" t="s">
        <v>33</v>
      </c>
      <c r="E55" s="4">
        <v>5926.64</v>
      </c>
      <c r="F55" s="2" t="s">
        <v>14</v>
      </c>
      <c r="G55" s="5">
        <v>49</v>
      </c>
      <c r="H55" s="2" t="s">
        <v>15</v>
      </c>
      <c r="I55" s="2" t="s">
        <v>60</v>
      </c>
      <c r="J55" s="2" t="s">
        <v>17</v>
      </c>
      <c r="K55" s="2" t="s">
        <v>45</v>
      </c>
    </row>
    <row r="56" spans="1:11" x14ac:dyDescent="0.3">
      <c r="A56" s="2" t="s">
        <v>145</v>
      </c>
      <c r="B56" s="2" t="s">
        <v>146</v>
      </c>
      <c r="C56" s="3">
        <v>45780.352777777778</v>
      </c>
      <c r="D56" s="2" t="s">
        <v>13</v>
      </c>
      <c r="E56" s="4">
        <v>2653.84</v>
      </c>
      <c r="F56" s="2" t="s">
        <v>14</v>
      </c>
      <c r="G56" s="5">
        <v>24</v>
      </c>
      <c r="H56" s="2" t="s">
        <v>15</v>
      </c>
      <c r="I56" s="2" t="s">
        <v>60</v>
      </c>
      <c r="J56" s="2" t="s">
        <v>17</v>
      </c>
      <c r="K56" s="2" t="s">
        <v>22</v>
      </c>
    </row>
    <row r="57" spans="1:11" x14ac:dyDescent="0.3">
      <c r="A57" s="2" t="s">
        <v>147</v>
      </c>
      <c r="B57" s="2" t="s">
        <v>148</v>
      </c>
      <c r="C57" s="3">
        <v>45697.929166666669</v>
      </c>
      <c r="D57" s="2" t="s">
        <v>13</v>
      </c>
      <c r="E57" s="4">
        <v>2134.89</v>
      </c>
      <c r="F57" s="2" t="s">
        <v>14</v>
      </c>
      <c r="G57" s="5">
        <v>56</v>
      </c>
      <c r="H57" s="2" t="s">
        <v>29</v>
      </c>
      <c r="I57" s="2" t="s">
        <v>43</v>
      </c>
      <c r="J57" s="2" t="s">
        <v>17</v>
      </c>
      <c r="K57" s="2" t="s">
        <v>18</v>
      </c>
    </row>
    <row r="58" spans="1:11" x14ac:dyDescent="0.3">
      <c r="A58" s="2" t="s">
        <v>149</v>
      </c>
      <c r="B58" s="2" t="s">
        <v>150</v>
      </c>
      <c r="C58" s="3">
        <v>45778.347916666673</v>
      </c>
      <c r="D58" s="2" t="s">
        <v>38</v>
      </c>
      <c r="E58" s="4">
        <v>2060.69</v>
      </c>
      <c r="F58" s="2" t="s">
        <v>14</v>
      </c>
      <c r="G58" s="5">
        <v>52</v>
      </c>
      <c r="H58" s="2" t="s">
        <v>15</v>
      </c>
      <c r="I58" s="2" t="s">
        <v>34</v>
      </c>
      <c r="J58" s="2" t="s">
        <v>17</v>
      </c>
      <c r="K58" s="2" t="s">
        <v>45</v>
      </c>
    </row>
    <row r="59" spans="1:11" x14ac:dyDescent="0.3">
      <c r="A59" s="2" t="s">
        <v>151</v>
      </c>
      <c r="B59" s="2" t="s">
        <v>152</v>
      </c>
      <c r="C59" s="3">
        <v>45821.711805555547</v>
      </c>
      <c r="D59" s="2" t="s">
        <v>13</v>
      </c>
      <c r="E59" s="4">
        <v>2417.54</v>
      </c>
      <c r="F59" s="2" t="s">
        <v>57</v>
      </c>
      <c r="G59" s="5">
        <v>31</v>
      </c>
      <c r="H59" s="2" t="s">
        <v>15</v>
      </c>
      <c r="I59" s="2" t="s">
        <v>34</v>
      </c>
      <c r="J59" s="2" t="s">
        <v>49</v>
      </c>
      <c r="K59" s="2" t="s">
        <v>18</v>
      </c>
    </row>
    <row r="60" spans="1:11" x14ac:dyDescent="0.3">
      <c r="A60" s="2" t="s">
        <v>153</v>
      </c>
      <c r="B60" s="2" t="s">
        <v>117</v>
      </c>
      <c r="C60" s="3">
        <v>45728.176388888889</v>
      </c>
      <c r="D60" s="2" t="s">
        <v>154</v>
      </c>
      <c r="E60" s="4">
        <v>20000</v>
      </c>
      <c r="F60" s="2" t="s">
        <v>57</v>
      </c>
      <c r="G60" s="5">
        <v>47</v>
      </c>
      <c r="H60" s="2" t="s">
        <v>29</v>
      </c>
      <c r="I60" s="2" t="s">
        <v>34</v>
      </c>
      <c r="J60" s="2" t="s">
        <v>17</v>
      </c>
      <c r="K60" s="2" t="s">
        <v>35</v>
      </c>
    </row>
    <row r="61" spans="1:11" x14ac:dyDescent="0.3">
      <c r="A61" s="2" t="s">
        <v>155</v>
      </c>
      <c r="B61" s="2" t="s">
        <v>156</v>
      </c>
      <c r="C61" s="3">
        <v>45854.92291666667</v>
      </c>
      <c r="D61" s="2" t="s">
        <v>13</v>
      </c>
      <c r="E61" s="4">
        <v>4400.1499999999996</v>
      </c>
      <c r="F61" s="2" t="s">
        <v>14</v>
      </c>
      <c r="G61" s="5">
        <v>22</v>
      </c>
      <c r="H61" s="2" t="s">
        <v>29</v>
      </c>
      <c r="I61" s="2" t="s">
        <v>34</v>
      </c>
      <c r="J61" s="2" t="s">
        <v>52</v>
      </c>
      <c r="K61" s="2" t="s">
        <v>22</v>
      </c>
    </row>
    <row r="62" spans="1:11" x14ac:dyDescent="0.3">
      <c r="A62" s="2" t="s">
        <v>157</v>
      </c>
      <c r="B62" s="2" t="s">
        <v>158</v>
      </c>
      <c r="C62" s="3">
        <v>46019.25277777778</v>
      </c>
      <c r="D62" s="2" t="s">
        <v>28</v>
      </c>
      <c r="E62" s="4">
        <v>5025.99</v>
      </c>
      <c r="F62" s="2" t="s">
        <v>14</v>
      </c>
      <c r="G62" s="5">
        <v>30</v>
      </c>
      <c r="H62" s="2" t="s">
        <v>29</v>
      </c>
      <c r="I62" s="2" t="s">
        <v>34</v>
      </c>
      <c r="J62" s="2" t="s">
        <v>44</v>
      </c>
      <c r="K62" s="2" t="s">
        <v>45</v>
      </c>
    </row>
    <row r="63" spans="1:11" x14ac:dyDescent="0.3">
      <c r="A63" s="2" t="s">
        <v>159</v>
      </c>
      <c r="B63" s="2" t="s">
        <v>94</v>
      </c>
      <c r="C63" s="3">
        <v>45870.556250000001</v>
      </c>
      <c r="D63" s="2" t="s">
        <v>38</v>
      </c>
      <c r="E63" s="4">
        <v>22931.86</v>
      </c>
      <c r="F63" s="2" t="s">
        <v>14</v>
      </c>
      <c r="G63" s="5">
        <v>36</v>
      </c>
      <c r="H63" s="2" t="s">
        <v>15</v>
      </c>
      <c r="I63" s="2" t="s">
        <v>95</v>
      </c>
      <c r="J63" s="2" t="s">
        <v>17</v>
      </c>
      <c r="K63" s="2" t="s">
        <v>18</v>
      </c>
    </row>
    <row r="64" spans="1:11" x14ac:dyDescent="0.3">
      <c r="A64" s="2" t="s">
        <v>160</v>
      </c>
      <c r="B64" s="2" t="s">
        <v>161</v>
      </c>
      <c r="C64" s="3">
        <v>45935.601388888892</v>
      </c>
      <c r="D64" s="2" t="s">
        <v>13</v>
      </c>
      <c r="E64" s="4">
        <v>1146.96</v>
      </c>
      <c r="F64" s="2" t="s">
        <v>14</v>
      </c>
      <c r="G64" s="5">
        <v>39</v>
      </c>
      <c r="H64" s="2" t="s">
        <v>15</v>
      </c>
      <c r="I64" s="2" t="s">
        <v>34</v>
      </c>
      <c r="J64" s="2" t="s">
        <v>44</v>
      </c>
      <c r="K64" s="2" t="s">
        <v>35</v>
      </c>
    </row>
    <row r="65" spans="1:11" x14ac:dyDescent="0.3">
      <c r="A65" s="2" t="s">
        <v>162</v>
      </c>
      <c r="B65" s="2" t="s">
        <v>163</v>
      </c>
      <c r="C65" s="3">
        <v>45689.286805555559</v>
      </c>
      <c r="D65" s="2" t="s">
        <v>28</v>
      </c>
      <c r="E65" s="4">
        <v>2677.72</v>
      </c>
      <c r="F65" s="2" t="s">
        <v>14</v>
      </c>
      <c r="G65" s="5">
        <v>31</v>
      </c>
      <c r="H65" s="2" t="s">
        <v>29</v>
      </c>
      <c r="I65" s="2" t="s">
        <v>25</v>
      </c>
      <c r="J65" s="2" t="s">
        <v>49</v>
      </c>
      <c r="K65" s="2" t="s">
        <v>18</v>
      </c>
    </row>
    <row r="66" spans="1:11" x14ac:dyDescent="0.3">
      <c r="A66" s="2" t="s">
        <v>164</v>
      </c>
      <c r="B66" s="2" t="s">
        <v>165</v>
      </c>
      <c r="C66" s="3">
        <v>45873.539583333331</v>
      </c>
      <c r="D66" s="2" t="s">
        <v>13</v>
      </c>
      <c r="E66" s="4">
        <v>523.14</v>
      </c>
      <c r="F66" s="2" t="s">
        <v>14</v>
      </c>
      <c r="G66" s="5">
        <v>31</v>
      </c>
      <c r="H66" s="2" t="s">
        <v>29</v>
      </c>
      <c r="I66" s="2" t="s">
        <v>30</v>
      </c>
      <c r="J66" s="2" t="s">
        <v>52</v>
      </c>
      <c r="K66" s="2" t="s">
        <v>22</v>
      </c>
    </row>
    <row r="67" spans="1:11" x14ac:dyDescent="0.3">
      <c r="A67" s="2" t="s">
        <v>166</v>
      </c>
      <c r="B67" s="2" t="s">
        <v>167</v>
      </c>
      <c r="C67" s="3">
        <v>45957.917361111111</v>
      </c>
      <c r="D67" s="2" t="s">
        <v>13</v>
      </c>
      <c r="E67" s="4">
        <v>448.45</v>
      </c>
      <c r="F67" s="2" t="s">
        <v>14</v>
      </c>
      <c r="G67" s="5">
        <v>24</v>
      </c>
      <c r="H67" s="2" t="s">
        <v>29</v>
      </c>
      <c r="I67" s="2" t="s">
        <v>34</v>
      </c>
      <c r="J67" s="2" t="s">
        <v>44</v>
      </c>
      <c r="K67" s="2" t="s">
        <v>18</v>
      </c>
    </row>
    <row r="68" spans="1:11" x14ac:dyDescent="0.3">
      <c r="A68" s="2" t="s">
        <v>168</v>
      </c>
      <c r="B68" s="2" t="s">
        <v>169</v>
      </c>
      <c r="C68" s="3">
        <v>45952.520833333343</v>
      </c>
      <c r="D68" s="2" t="s">
        <v>28</v>
      </c>
      <c r="E68" s="4">
        <v>4908.54</v>
      </c>
      <c r="F68" s="2" t="s">
        <v>14</v>
      </c>
      <c r="G68" s="5">
        <v>33</v>
      </c>
      <c r="H68" s="2" t="s">
        <v>29</v>
      </c>
      <c r="I68" s="2" t="s">
        <v>34</v>
      </c>
      <c r="J68" s="2" t="s">
        <v>17</v>
      </c>
      <c r="K68" s="2" t="s">
        <v>35</v>
      </c>
    </row>
    <row r="69" spans="1:11" x14ac:dyDescent="0.3">
      <c r="A69" s="2" t="s">
        <v>170</v>
      </c>
      <c r="B69" s="2" t="s">
        <v>171</v>
      </c>
      <c r="C69" s="3">
        <v>45661.47152777778</v>
      </c>
      <c r="D69" s="2" t="s">
        <v>28</v>
      </c>
      <c r="E69" s="4">
        <v>5044.7299999999996</v>
      </c>
      <c r="F69" s="2" t="s">
        <v>14</v>
      </c>
      <c r="G69" s="5">
        <v>51</v>
      </c>
      <c r="H69" s="2" t="s">
        <v>29</v>
      </c>
      <c r="I69" s="2" t="s">
        <v>25</v>
      </c>
      <c r="J69" s="2" t="s">
        <v>17</v>
      </c>
      <c r="K69" s="2" t="s">
        <v>45</v>
      </c>
    </row>
    <row r="70" spans="1:11" x14ac:dyDescent="0.3">
      <c r="A70" s="2" t="s">
        <v>172</v>
      </c>
      <c r="B70" s="2" t="s">
        <v>173</v>
      </c>
      <c r="C70" s="3">
        <v>45857.56527777778</v>
      </c>
      <c r="D70" s="2" t="s">
        <v>33</v>
      </c>
      <c r="E70" s="4">
        <v>19226.43</v>
      </c>
      <c r="F70" s="2" t="s">
        <v>57</v>
      </c>
      <c r="G70" s="5">
        <v>24</v>
      </c>
      <c r="H70" s="2" t="s">
        <v>15</v>
      </c>
      <c r="I70" s="2" t="s">
        <v>30</v>
      </c>
      <c r="J70" s="2" t="s">
        <v>49</v>
      </c>
      <c r="K70" s="2" t="s">
        <v>22</v>
      </c>
    </row>
    <row r="71" spans="1:11" x14ac:dyDescent="0.3">
      <c r="A71" s="2" t="s">
        <v>174</v>
      </c>
      <c r="B71" s="2" t="s">
        <v>59</v>
      </c>
      <c r="C71" s="3">
        <v>45937.831250000003</v>
      </c>
      <c r="D71" s="2" t="s">
        <v>38</v>
      </c>
      <c r="E71" s="4">
        <v>3749.7</v>
      </c>
      <c r="F71" s="2" t="s">
        <v>14</v>
      </c>
      <c r="G71" s="5">
        <v>27</v>
      </c>
      <c r="H71" s="2" t="s">
        <v>15</v>
      </c>
      <c r="I71" s="2" t="s">
        <v>60</v>
      </c>
      <c r="J71" s="2" t="s">
        <v>17</v>
      </c>
      <c r="K71" s="2" t="s">
        <v>18</v>
      </c>
    </row>
    <row r="72" spans="1:11" x14ac:dyDescent="0.3">
      <c r="A72" s="2" t="s">
        <v>175</v>
      </c>
      <c r="B72" s="2" t="s">
        <v>176</v>
      </c>
      <c r="C72" s="3">
        <v>45770.634722222218</v>
      </c>
      <c r="D72" s="2" t="s">
        <v>13</v>
      </c>
      <c r="E72" s="4">
        <v>2813.89</v>
      </c>
      <c r="F72" s="2" t="s">
        <v>14</v>
      </c>
      <c r="G72" s="5">
        <v>32</v>
      </c>
      <c r="H72" s="2" t="s">
        <v>15</v>
      </c>
      <c r="I72" s="2" t="s">
        <v>34</v>
      </c>
      <c r="J72" s="2" t="s">
        <v>49</v>
      </c>
      <c r="K72" s="2" t="s">
        <v>18</v>
      </c>
    </row>
    <row r="73" spans="1:11" x14ac:dyDescent="0.3">
      <c r="A73" s="2" t="s">
        <v>177</v>
      </c>
      <c r="B73" s="2" t="s">
        <v>84</v>
      </c>
      <c r="C73" s="3">
        <v>45797.563194444447</v>
      </c>
      <c r="D73" s="2" t="s">
        <v>13</v>
      </c>
      <c r="E73" s="4">
        <v>2438.4299999999998</v>
      </c>
      <c r="F73" s="2" t="s">
        <v>14</v>
      </c>
      <c r="G73" s="5">
        <v>33</v>
      </c>
      <c r="H73" s="2" t="s">
        <v>15</v>
      </c>
      <c r="I73" s="2" t="s">
        <v>34</v>
      </c>
      <c r="J73" s="2" t="s">
        <v>17</v>
      </c>
      <c r="K73" s="2" t="s">
        <v>45</v>
      </c>
    </row>
    <row r="74" spans="1:11" x14ac:dyDescent="0.3">
      <c r="A74" s="2" t="s">
        <v>178</v>
      </c>
      <c r="B74" s="2" t="s">
        <v>179</v>
      </c>
      <c r="C74" s="3">
        <v>45672.51458333333</v>
      </c>
      <c r="D74" s="2" t="s">
        <v>38</v>
      </c>
      <c r="E74" s="4">
        <v>9578.7999999999993</v>
      </c>
      <c r="F74" s="2" t="s">
        <v>14</v>
      </c>
      <c r="G74" s="5">
        <v>38</v>
      </c>
      <c r="H74" s="2" t="s">
        <v>15</v>
      </c>
      <c r="I74" s="2" t="s">
        <v>34</v>
      </c>
      <c r="J74" s="2" t="s">
        <v>17</v>
      </c>
      <c r="K74" s="2" t="s">
        <v>18</v>
      </c>
    </row>
    <row r="75" spans="1:11" x14ac:dyDescent="0.3">
      <c r="A75" s="2" t="s">
        <v>180</v>
      </c>
      <c r="B75" s="2" t="s">
        <v>181</v>
      </c>
      <c r="C75" s="3">
        <v>46000.910416666673</v>
      </c>
      <c r="D75" s="2" t="s">
        <v>28</v>
      </c>
      <c r="E75" s="4">
        <v>12527.43</v>
      </c>
      <c r="F75" s="2" t="s">
        <v>14</v>
      </c>
      <c r="G75" s="5">
        <v>34</v>
      </c>
      <c r="H75" s="2" t="s">
        <v>15</v>
      </c>
      <c r="I75" s="2" t="s">
        <v>48</v>
      </c>
      <c r="J75" s="2" t="s">
        <v>17</v>
      </c>
      <c r="K75" s="2" t="s">
        <v>22</v>
      </c>
    </row>
    <row r="76" spans="1:11" x14ac:dyDescent="0.3">
      <c r="A76" s="2" t="s">
        <v>182</v>
      </c>
      <c r="B76" s="2" t="s">
        <v>183</v>
      </c>
      <c r="C76" s="3">
        <v>45865.965277777781</v>
      </c>
      <c r="D76" s="2" t="s">
        <v>38</v>
      </c>
      <c r="E76" s="4">
        <v>1471.25</v>
      </c>
      <c r="F76" s="2" t="s">
        <v>14</v>
      </c>
      <c r="G76" s="5">
        <v>19</v>
      </c>
      <c r="H76" s="2" t="s">
        <v>29</v>
      </c>
      <c r="I76" s="2" t="s">
        <v>78</v>
      </c>
      <c r="J76" s="2" t="s">
        <v>44</v>
      </c>
      <c r="K76" s="2" t="s">
        <v>18</v>
      </c>
    </row>
    <row r="77" spans="1:11" x14ac:dyDescent="0.3">
      <c r="A77" s="2" t="s">
        <v>184</v>
      </c>
      <c r="B77" s="2" t="s">
        <v>185</v>
      </c>
      <c r="C77" s="3">
        <v>45897.193749999999</v>
      </c>
      <c r="D77" s="2" t="s">
        <v>28</v>
      </c>
      <c r="E77" s="4">
        <v>5130.24</v>
      </c>
      <c r="F77" s="2" t="s">
        <v>14</v>
      </c>
      <c r="G77" s="5">
        <v>28</v>
      </c>
      <c r="H77" s="2" t="s">
        <v>29</v>
      </c>
      <c r="I77" s="2" t="s">
        <v>34</v>
      </c>
      <c r="J77" s="2" t="s">
        <v>17</v>
      </c>
      <c r="K77" s="2" t="s">
        <v>18</v>
      </c>
    </row>
    <row r="78" spans="1:11" x14ac:dyDescent="0.3">
      <c r="A78" s="2" t="s">
        <v>186</v>
      </c>
      <c r="B78" s="2" t="s">
        <v>179</v>
      </c>
      <c r="C78" s="3">
        <v>45931.040277777778</v>
      </c>
      <c r="D78" s="2" t="s">
        <v>38</v>
      </c>
      <c r="E78" s="4">
        <v>16929.509999999998</v>
      </c>
      <c r="F78" s="2" t="s">
        <v>14</v>
      </c>
      <c r="G78" s="5">
        <v>38</v>
      </c>
      <c r="H78" s="2" t="s">
        <v>15</v>
      </c>
      <c r="I78" s="2" t="s">
        <v>34</v>
      </c>
      <c r="J78" s="2" t="s">
        <v>17</v>
      </c>
      <c r="K78" s="2" t="s">
        <v>45</v>
      </c>
    </row>
    <row r="79" spans="1:11" x14ac:dyDescent="0.3">
      <c r="A79" s="2" t="s">
        <v>187</v>
      </c>
      <c r="B79" s="2" t="s">
        <v>188</v>
      </c>
      <c r="C79" s="3">
        <v>45859.775000000001</v>
      </c>
      <c r="D79" s="2" t="s">
        <v>28</v>
      </c>
      <c r="E79" s="4">
        <v>5082.2299999999996</v>
      </c>
      <c r="F79" s="2" t="s">
        <v>14</v>
      </c>
      <c r="G79" s="5">
        <v>27</v>
      </c>
      <c r="H79" s="2" t="s">
        <v>15</v>
      </c>
      <c r="I79" s="2" t="s">
        <v>21</v>
      </c>
      <c r="J79" s="2" t="s">
        <v>17</v>
      </c>
      <c r="K79" s="2" t="s">
        <v>35</v>
      </c>
    </row>
    <row r="80" spans="1:11" x14ac:dyDescent="0.3">
      <c r="A80" s="2" t="s">
        <v>189</v>
      </c>
      <c r="B80" s="2" t="s">
        <v>190</v>
      </c>
      <c r="C80" s="3">
        <v>45997.003472222219</v>
      </c>
      <c r="D80" s="2" t="s">
        <v>38</v>
      </c>
      <c r="E80" s="4">
        <v>1980.56</v>
      </c>
      <c r="F80" s="2" t="s">
        <v>14</v>
      </c>
      <c r="G80" s="5">
        <v>25</v>
      </c>
      <c r="H80" s="2" t="s">
        <v>15</v>
      </c>
      <c r="I80" s="2" t="s">
        <v>34</v>
      </c>
      <c r="J80" s="2" t="s">
        <v>17</v>
      </c>
      <c r="K80" s="2" t="s">
        <v>18</v>
      </c>
    </row>
    <row r="81" spans="1:11" x14ac:dyDescent="0.3">
      <c r="A81" s="2" t="s">
        <v>191</v>
      </c>
      <c r="B81" s="2" t="s">
        <v>192</v>
      </c>
      <c r="C81" s="3">
        <v>45987.547222222223</v>
      </c>
      <c r="D81" s="2" t="s">
        <v>13</v>
      </c>
      <c r="E81" s="4">
        <v>2693.44</v>
      </c>
      <c r="F81" s="2" t="s">
        <v>14</v>
      </c>
      <c r="G81" s="5">
        <v>48</v>
      </c>
      <c r="H81" s="2" t="s">
        <v>29</v>
      </c>
      <c r="I81" s="2" t="s">
        <v>60</v>
      </c>
      <c r="J81" s="2" t="s">
        <v>49</v>
      </c>
      <c r="K81" s="2" t="s">
        <v>18</v>
      </c>
    </row>
    <row r="82" spans="1:11" x14ac:dyDescent="0.3">
      <c r="A82" s="2" t="s">
        <v>193</v>
      </c>
      <c r="B82" s="2" t="s">
        <v>194</v>
      </c>
      <c r="C82" s="3">
        <v>45894.210416666669</v>
      </c>
      <c r="D82" s="2" t="s">
        <v>28</v>
      </c>
      <c r="E82" s="4">
        <v>76676.52</v>
      </c>
      <c r="F82" s="2" t="s">
        <v>14</v>
      </c>
      <c r="G82" s="5">
        <v>31</v>
      </c>
      <c r="H82" s="2" t="s">
        <v>29</v>
      </c>
      <c r="I82" s="2" t="s">
        <v>16</v>
      </c>
      <c r="J82" s="2" t="s">
        <v>17</v>
      </c>
      <c r="K82" s="2" t="s">
        <v>22</v>
      </c>
    </row>
    <row r="83" spans="1:11" x14ac:dyDescent="0.3">
      <c r="A83" s="2" t="s">
        <v>195</v>
      </c>
      <c r="B83" s="2" t="s">
        <v>20</v>
      </c>
      <c r="C83" s="3">
        <v>45791.513888888891</v>
      </c>
      <c r="D83" s="2" t="s">
        <v>13</v>
      </c>
      <c r="E83" s="4">
        <v>1996.37</v>
      </c>
      <c r="F83" s="2" t="s">
        <v>14</v>
      </c>
      <c r="G83" s="5">
        <v>43</v>
      </c>
      <c r="H83" s="2" t="s">
        <v>15</v>
      </c>
      <c r="I83" s="2" t="s">
        <v>21</v>
      </c>
      <c r="J83" s="2" t="s">
        <v>17</v>
      </c>
      <c r="K83" s="2" t="s">
        <v>18</v>
      </c>
    </row>
    <row r="84" spans="1:11" x14ac:dyDescent="0.3">
      <c r="A84" s="2" t="s">
        <v>196</v>
      </c>
      <c r="B84" s="2" t="s">
        <v>75</v>
      </c>
      <c r="C84" s="3">
        <v>45766.597222222219</v>
      </c>
      <c r="D84" s="2" t="s">
        <v>33</v>
      </c>
      <c r="E84" s="4">
        <v>4483.76</v>
      </c>
      <c r="F84" s="2" t="s">
        <v>14</v>
      </c>
      <c r="G84" s="5">
        <v>31</v>
      </c>
      <c r="H84" s="2" t="s">
        <v>29</v>
      </c>
      <c r="I84" s="2" t="s">
        <v>25</v>
      </c>
      <c r="J84" s="2" t="s">
        <v>17</v>
      </c>
      <c r="K84" s="2" t="s">
        <v>18</v>
      </c>
    </row>
    <row r="85" spans="1:11" x14ac:dyDescent="0.3">
      <c r="A85" s="2" t="s">
        <v>197</v>
      </c>
      <c r="B85" s="2" t="s">
        <v>198</v>
      </c>
      <c r="C85" s="3">
        <v>45830.511805555558</v>
      </c>
      <c r="D85" s="2" t="s">
        <v>28</v>
      </c>
      <c r="E85" s="4">
        <v>21749.49</v>
      </c>
      <c r="F85" s="2" t="s">
        <v>14</v>
      </c>
      <c r="G85" s="5">
        <v>40</v>
      </c>
      <c r="H85" s="2" t="s">
        <v>29</v>
      </c>
      <c r="I85" s="2" t="s">
        <v>34</v>
      </c>
      <c r="J85" s="2" t="s">
        <v>49</v>
      </c>
      <c r="K85" s="2" t="s">
        <v>18</v>
      </c>
    </row>
    <row r="86" spans="1:11" x14ac:dyDescent="0.3">
      <c r="A86" s="2" t="s">
        <v>199</v>
      </c>
      <c r="B86" s="2" t="s">
        <v>176</v>
      </c>
      <c r="C86" s="3">
        <v>45873.370138888888</v>
      </c>
      <c r="D86" s="2" t="s">
        <v>38</v>
      </c>
      <c r="E86" s="4">
        <v>1627.4</v>
      </c>
      <c r="F86" s="2" t="s">
        <v>14</v>
      </c>
      <c r="G86" s="5">
        <v>32</v>
      </c>
      <c r="H86" s="2" t="s">
        <v>15</v>
      </c>
      <c r="I86" s="2" t="s">
        <v>34</v>
      </c>
      <c r="J86" s="2" t="s">
        <v>49</v>
      </c>
      <c r="K86" s="2" t="s">
        <v>18</v>
      </c>
    </row>
    <row r="87" spans="1:11" x14ac:dyDescent="0.3">
      <c r="A87" s="2" t="s">
        <v>200</v>
      </c>
      <c r="B87" s="2" t="s">
        <v>201</v>
      </c>
      <c r="C87" s="3">
        <v>45699.625694444447</v>
      </c>
      <c r="D87" s="2" t="s">
        <v>13</v>
      </c>
      <c r="E87" s="4">
        <v>1172.48</v>
      </c>
      <c r="F87" s="2" t="s">
        <v>57</v>
      </c>
      <c r="G87" s="5">
        <v>38</v>
      </c>
      <c r="H87" s="2" t="s">
        <v>29</v>
      </c>
      <c r="I87" s="2" t="s">
        <v>34</v>
      </c>
      <c r="J87" s="2" t="s">
        <v>44</v>
      </c>
      <c r="K87" s="2" t="s">
        <v>18</v>
      </c>
    </row>
    <row r="88" spans="1:11" x14ac:dyDescent="0.3">
      <c r="A88" s="2" t="s">
        <v>202</v>
      </c>
      <c r="B88" s="2" t="s">
        <v>203</v>
      </c>
      <c r="C88" s="3">
        <v>45934.056944444441</v>
      </c>
      <c r="D88" s="2" t="s">
        <v>28</v>
      </c>
      <c r="E88" s="4">
        <v>7403.21</v>
      </c>
      <c r="F88" s="2" t="s">
        <v>14</v>
      </c>
      <c r="G88" s="5">
        <v>37</v>
      </c>
      <c r="H88" s="2" t="s">
        <v>29</v>
      </c>
      <c r="I88" s="2" t="s">
        <v>48</v>
      </c>
      <c r="J88" s="2" t="s">
        <v>44</v>
      </c>
      <c r="K88" s="2" t="s">
        <v>45</v>
      </c>
    </row>
    <row r="89" spans="1:11" x14ac:dyDescent="0.3">
      <c r="A89" s="2" t="s">
        <v>204</v>
      </c>
      <c r="B89" s="2" t="s">
        <v>84</v>
      </c>
      <c r="C89" s="3">
        <v>45772.836111111108</v>
      </c>
      <c r="D89" s="2" t="s">
        <v>154</v>
      </c>
      <c r="E89" s="4">
        <v>10000</v>
      </c>
      <c r="F89" s="2" t="s">
        <v>57</v>
      </c>
      <c r="G89" s="5">
        <v>33</v>
      </c>
      <c r="H89" s="2" t="s">
        <v>15</v>
      </c>
      <c r="I89" s="2" t="s">
        <v>34</v>
      </c>
      <c r="J89" s="2" t="s">
        <v>17</v>
      </c>
      <c r="K89" s="2" t="s">
        <v>22</v>
      </c>
    </row>
    <row r="90" spans="1:11" x14ac:dyDescent="0.3">
      <c r="A90" s="2" t="s">
        <v>205</v>
      </c>
      <c r="B90" s="2" t="s">
        <v>148</v>
      </c>
      <c r="C90" s="3">
        <v>45991.074999999997</v>
      </c>
      <c r="D90" s="2" t="s">
        <v>28</v>
      </c>
      <c r="E90" s="4">
        <v>53047.14</v>
      </c>
      <c r="F90" s="2" t="s">
        <v>14</v>
      </c>
      <c r="G90" s="5">
        <v>56</v>
      </c>
      <c r="H90" s="2" t="s">
        <v>29</v>
      </c>
      <c r="I90" s="2" t="s">
        <v>43</v>
      </c>
      <c r="J90" s="2" t="s">
        <v>17</v>
      </c>
      <c r="K90" s="2" t="s">
        <v>18</v>
      </c>
    </row>
    <row r="91" spans="1:11" x14ac:dyDescent="0.3">
      <c r="A91" s="2" t="s">
        <v>206</v>
      </c>
      <c r="B91" s="2" t="s">
        <v>207</v>
      </c>
      <c r="C91" s="3">
        <v>45673.3</v>
      </c>
      <c r="D91" s="2" t="s">
        <v>28</v>
      </c>
      <c r="E91" s="4">
        <v>32539.87</v>
      </c>
      <c r="F91" s="2" t="s">
        <v>14</v>
      </c>
      <c r="G91" s="5">
        <v>33</v>
      </c>
      <c r="H91" s="2" t="s">
        <v>15</v>
      </c>
      <c r="I91" s="2" t="s">
        <v>34</v>
      </c>
      <c r="J91" s="2" t="s">
        <v>49</v>
      </c>
      <c r="K91" s="2" t="s">
        <v>22</v>
      </c>
    </row>
    <row r="92" spans="1:11" x14ac:dyDescent="0.3">
      <c r="A92" s="2" t="s">
        <v>208</v>
      </c>
      <c r="B92" s="2" t="s">
        <v>209</v>
      </c>
      <c r="C92" s="3">
        <v>45668.79791666667</v>
      </c>
      <c r="D92" s="2" t="s">
        <v>33</v>
      </c>
      <c r="E92" s="4">
        <v>3524.16</v>
      </c>
      <c r="F92" s="2" t="s">
        <v>57</v>
      </c>
      <c r="G92" s="5">
        <v>50</v>
      </c>
      <c r="H92" s="2" t="s">
        <v>15</v>
      </c>
      <c r="I92" s="2" t="s">
        <v>60</v>
      </c>
      <c r="J92" s="2" t="s">
        <v>44</v>
      </c>
      <c r="K92" s="2" t="s">
        <v>45</v>
      </c>
    </row>
    <row r="93" spans="1:11" x14ac:dyDescent="0.3">
      <c r="A93" s="2" t="s">
        <v>210</v>
      </c>
      <c r="B93" s="2" t="s">
        <v>211</v>
      </c>
      <c r="C93" s="3">
        <v>45780.1875</v>
      </c>
      <c r="D93" s="2" t="s">
        <v>28</v>
      </c>
      <c r="E93" s="4">
        <v>61753.57</v>
      </c>
      <c r="F93" s="2" t="s">
        <v>14</v>
      </c>
      <c r="G93" s="5">
        <v>30</v>
      </c>
      <c r="H93" s="2" t="s">
        <v>15</v>
      </c>
      <c r="I93" s="2" t="s">
        <v>16</v>
      </c>
      <c r="J93" s="2" t="s">
        <v>17</v>
      </c>
      <c r="K93" s="2" t="s">
        <v>18</v>
      </c>
    </row>
    <row r="94" spans="1:11" x14ac:dyDescent="0.3">
      <c r="A94" s="2" t="s">
        <v>212</v>
      </c>
      <c r="B94" s="2" t="s">
        <v>213</v>
      </c>
      <c r="C94" s="3">
        <v>46000.15</v>
      </c>
      <c r="D94" s="2" t="s">
        <v>38</v>
      </c>
      <c r="E94" s="4">
        <v>6514.38</v>
      </c>
      <c r="F94" s="2" t="s">
        <v>14</v>
      </c>
      <c r="G94" s="5">
        <v>50</v>
      </c>
      <c r="H94" s="2" t="s">
        <v>29</v>
      </c>
      <c r="I94" s="2" t="s">
        <v>25</v>
      </c>
      <c r="J94" s="2" t="s">
        <v>49</v>
      </c>
      <c r="K94" s="2" t="s">
        <v>35</v>
      </c>
    </row>
    <row r="95" spans="1:11" x14ac:dyDescent="0.3">
      <c r="A95" s="2" t="s">
        <v>214</v>
      </c>
      <c r="B95" s="2" t="s">
        <v>215</v>
      </c>
      <c r="C95" s="3">
        <v>45769.613888888889</v>
      </c>
      <c r="D95" s="2" t="s">
        <v>28</v>
      </c>
      <c r="E95" s="4">
        <v>9411.7000000000007</v>
      </c>
      <c r="F95" s="2" t="s">
        <v>14</v>
      </c>
      <c r="G95" s="5">
        <v>28</v>
      </c>
      <c r="H95" s="2" t="s">
        <v>15</v>
      </c>
      <c r="I95" s="2" t="s">
        <v>30</v>
      </c>
      <c r="J95" s="2" t="s">
        <v>17</v>
      </c>
      <c r="K95" s="2" t="s">
        <v>35</v>
      </c>
    </row>
    <row r="96" spans="1:11" x14ac:dyDescent="0.3">
      <c r="A96" s="2" t="s">
        <v>216</v>
      </c>
      <c r="B96" s="2" t="s">
        <v>217</v>
      </c>
      <c r="C96" s="3">
        <v>45789.465277777781</v>
      </c>
      <c r="D96" s="2" t="s">
        <v>38</v>
      </c>
      <c r="E96" s="4">
        <v>1007.34</v>
      </c>
      <c r="F96" s="2" t="s">
        <v>14</v>
      </c>
      <c r="G96" s="5">
        <v>57</v>
      </c>
      <c r="H96" s="2" t="s">
        <v>15</v>
      </c>
      <c r="I96" s="2" t="s">
        <v>34</v>
      </c>
      <c r="J96" s="2" t="s">
        <v>44</v>
      </c>
      <c r="K96" s="2" t="s">
        <v>35</v>
      </c>
    </row>
    <row r="97" spans="1:11" x14ac:dyDescent="0.3">
      <c r="A97" s="2" t="s">
        <v>218</v>
      </c>
      <c r="B97" s="2" t="s">
        <v>219</v>
      </c>
      <c r="C97" s="3">
        <v>45968.824305555558</v>
      </c>
      <c r="D97" s="2" t="s">
        <v>28</v>
      </c>
      <c r="E97" s="4">
        <v>15927.5</v>
      </c>
      <c r="F97" s="2" t="s">
        <v>14</v>
      </c>
      <c r="G97" s="5">
        <v>21</v>
      </c>
      <c r="H97" s="2" t="s">
        <v>15</v>
      </c>
      <c r="I97" s="2" t="s">
        <v>30</v>
      </c>
      <c r="J97" s="2" t="s">
        <v>44</v>
      </c>
      <c r="K97" s="2" t="s">
        <v>45</v>
      </c>
    </row>
    <row r="98" spans="1:11" x14ac:dyDescent="0.3">
      <c r="A98" s="2" t="s">
        <v>220</v>
      </c>
      <c r="B98" s="2" t="s">
        <v>221</v>
      </c>
      <c r="C98" s="3">
        <v>45716.22152777778</v>
      </c>
      <c r="D98" s="2" t="s">
        <v>28</v>
      </c>
      <c r="E98" s="4">
        <v>6580.84</v>
      </c>
      <c r="F98" s="2" t="s">
        <v>14</v>
      </c>
      <c r="G98" s="5">
        <v>43</v>
      </c>
      <c r="H98" s="2" t="s">
        <v>15</v>
      </c>
      <c r="I98" s="2" t="s">
        <v>60</v>
      </c>
      <c r="J98" s="2" t="s">
        <v>49</v>
      </c>
      <c r="K98" s="2" t="s">
        <v>18</v>
      </c>
    </row>
    <row r="99" spans="1:11" x14ac:dyDescent="0.3">
      <c r="A99" s="2" t="s">
        <v>222</v>
      </c>
      <c r="B99" s="2" t="s">
        <v>223</v>
      </c>
      <c r="C99" s="3">
        <v>45713.750694444447</v>
      </c>
      <c r="D99" s="2" t="s">
        <v>28</v>
      </c>
      <c r="E99" s="4">
        <v>9062.9500000000007</v>
      </c>
      <c r="F99" s="2" t="s">
        <v>122</v>
      </c>
      <c r="G99" s="5">
        <v>40</v>
      </c>
      <c r="H99" s="2" t="s">
        <v>15</v>
      </c>
      <c r="I99" s="2" t="s">
        <v>34</v>
      </c>
      <c r="J99" s="2" t="s">
        <v>49</v>
      </c>
      <c r="K99" s="2" t="s">
        <v>18</v>
      </c>
    </row>
    <row r="100" spans="1:11" x14ac:dyDescent="0.3">
      <c r="A100" s="2" t="s">
        <v>224</v>
      </c>
      <c r="B100" s="2" t="s">
        <v>225</v>
      </c>
      <c r="C100" s="3">
        <v>45817.779861111107</v>
      </c>
      <c r="D100" s="2" t="s">
        <v>28</v>
      </c>
      <c r="E100" s="4">
        <v>104444.99</v>
      </c>
      <c r="F100" s="2" t="s">
        <v>14</v>
      </c>
      <c r="G100" s="5">
        <v>35</v>
      </c>
      <c r="H100" s="2" t="s">
        <v>29</v>
      </c>
      <c r="I100" s="2" t="s">
        <v>78</v>
      </c>
      <c r="J100" s="2" t="s">
        <v>17</v>
      </c>
      <c r="K100" s="2" t="s">
        <v>18</v>
      </c>
    </row>
    <row r="101" spans="1:11" x14ac:dyDescent="0.3">
      <c r="A101" s="2" t="s">
        <v>226</v>
      </c>
      <c r="B101" s="2" t="s">
        <v>176</v>
      </c>
      <c r="C101" s="3">
        <v>45850.53125</v>
      </c>
      <c r="D101" s="2" t="s">
        <v>28</v>
      </c>
      <c r="E101" s="4">
        <v>127470.58</v>
      </c>
      <c r="F101" s="2" t="s">
        <v>14</v>
      </c>
      <c r="G101" s="5">
        <v>32</v>
      </c>
      <c r="H101" s="2" t="s">
        <v>15</v>
      </c>
      <c r="I101" s="2" t="s">
        <v>34</v>
      </c>
      <c r="J101" s="2" t="s">
        <v>49</v>
      </c>
      <c r="K101" s="2" t="s">
        <v>35</v>
      </c>
    </row>
    <row r="102" spans="1:11" x14ac:dyDescent="0.3">
      <c r="A102" s="2" t="s">
        <v>227</v>
      </c>
      <c r="B102" s="2" t="s">
        <v>228</v>
      </c>
      <c r="C102" s="3">
        <v>45759.109027777777</v>
      </c>
      <c r="D102" s="2" t="s">
        <v>28</v>
      </c>
      <c r="E102" s="4">
        <v>6136.61</v>
      </c>
      <c r="F102" s="2" t="s">
        <v>14</v>
      </c>
      <c r="G102" s="5">
        <v>45</v>
      </c>
      <c r="H102" s="2" t="s">
        <v>15</v>
      </c>
      <c r="I102" s="2" t="s">
        <v>48</v>
      </c>
      <c r="J102" s="2" t="s">
        <v>44</v>
      </c>
      <c r="K102" s="2" t="s">
        <v>18</v>
      </c>
    </row>
    <row r="103" spans="1:11" x14ac:dyDescent="0.3">
      <c r="A103" s="2" t="s">
        <v>229</v>
      </c>
      <c r="B103" s="2" t="s">
        <v>230</v>
      </c>
      <c r="C103" s="3">
        <v>46011.84375</v>
      </c>
      <c r="D103" s="2" t="s">
        <v>28</v>
      </c>
      <c r="E103" s="4">
        <v>4546.3900000000003</v>
      </c>
      <c r="F103" s="2" t="s">
        <v>14</v>
      </c>
      <c r="G103" s="5">
        <v>35</v>
      </c>
      <c r="H103" s="2" t="s">
        <v>15</v>
      </c>
      <c r="I103" s="2" t="s">
        <v>34</v>
      </c>
      <c r="J103" s="2" t="s">
        <v>17</v>
      </c>
      <c r="K103" s="2" t="s">
        <v>18</v>
      </c>
    </row>
    <row r="104" spans="1:11" x14ac:dyDescent="0.3">
      <c r="A104" s="2" t="s">
        <v>231</v>
      </c>
      <c r="B104" s="2" t="s">
        <v>232</v>
      </c>
      <c r="C104" s="3">
        <v>45710.950694444437</v>
      </c>
      <c r="D104" s="2" t="s">
        <v>28</v>
      </c>
      <c r="E104" s="4">
        <v>71302.509999999995</v>
      </c>
      <c r="F104" s="2" t="s">
        <v>14</v>
      </c>
      <c r="G104" s="5">
        <v>36</v>
      </c>
      <c r="H104" s="2" t="s">
        <v>15</v>
      </c>
      <c r="I104" s="2" t="s">
        <v>34</v>
      </c>
      <c r="J104" s="2" t="s">
        <v>44</v>
      </c>
      <c r="K104" s="2" t="s">
        <v>45</v>
      </c>
    </row>
    <row r="105" spans="1:11" x14ac:dyDescent="0.3">
      <c r="A105" s="2" t="s">
        <v>233</v>
      </c>
      <c r="B105" s="2" t="s">
        <v>234</v>
      </c>
      <c r="C105" s="3">
        <v>45812.901388888888</v>
      </c>
      <c r="D105" s="2" t="s">
        <v>28</v>
      </c>
      <c r="E105" s="4">
        <v>53191.45</v>
      </c>
      <c r="F105" s="2" t="s">
        <v>14</v>
      </c>
      <c r="G105" s="5">
        <v>46</v>
      </c>
      <c r="H105" s="2" t="s">
        <v>15</v>
      </c>
      <c r="I105" s="2" t="s">
        <v>78</v>
      </c>
      <c r="J105" s="2" t="s">
        <v>44</v>
      </c>
      <c r="K105" s="2" t="s">
        <v>22</v>
      </c>
    </row>
    <row r="106" spans="1:11" x14ac:dyDescent="0.3">
      <c r="A106" s="2" t="s">
        <v>235</v>
      </c>
      <c r="B106" s="2" t="s">
        <v>236</v>
      </c>
      <c r="C106" s="3">
        <v>45719.784722222219</v>
      </c>
      <c r="D106" s="2" t="s">
        <v>38</v>
      </c>
      <c r="E106" s="4">
        <v>9905.84</v>
      </c>
      <c r="F106" s="2" t="s">
        <v>14</v>
      </c>
      <c r="G106" s="5">
        <v>27</v>
      </c>
      <c r="H106" s="2" t="s">
        <v>29</v>
      </c>
      <c r="I106" s="2" t="s">
        <v>34</v>
      </c>
      <c r="J106" s="2" t="s">
        <v>17</v>
      </c>
      <c r="K106" s="2" t="s">
        <v>18</v>
      </c>
    </row>
    <row r="107" spans="1:11" x14ac:dyDescent="0.3">
      <c r="A107" s="2" t="s">
        <v>237</v>
      </c>
      <c r="B107" s="2" t="s">
        <v>238</v>
      </c>
      <c r="C107" s="3">
        <v>45679.481944444437</v>
      </c>
      <c r="D107" s="2" t="s">
        <v>13</v>
      </c>
      <c r="E107" s="4">
        <v>4590.72</v>
      </c>
      <c r="F107" s="2" t="s">
        <v>14</v>
      </c>
      <c r="G107" s="5">
        <v>25</v>
      </c>
      <c r="H107" s="2" t="s">
        <v>15</v>
      </c>
      <c r="I107" s="2" t="s">
        <v>34</v>
      </c>
      <c r="J107" s="2" t="s">
        <v>52</v>
      </c>
      <c r="K107" s="2" t="s">
        <v>18</v>
      </c>
    </row>
    <row r="108" spans="1:11" x14ac:dyDescent="0.3">
      <c r="A108" s="2" t="s">
        <v>239</v>
      </c>
      <c r="B108" s="2" t="s">
        <v>240</v>
      </c>
      <c r="C108" s="3">
        <v>45877.890972222223</v>
      </c>
      <c r="D108" s="2" t="s">
        <v>13</v>
      </c>
      <c r="E108" s="4">
        <v>1684.74</v>
      </c>
      <c r="F108" s="2" t="s">
        <v>14</v>
      </c>
      <c r="G108" s="5">
        <v>37</v>
      </c>
      <c r="H108" s="2" t="s">
        <v>15</v>
      </c>
      <c r="I108" s="2" t="s">
        <v>34</v>
      </c>
      <c r="J108" s="2" t="s">
        <v>44</v>
      </c>
      <c r="K108" s="2" t="s">
        <v>18</v>
      </c>
    </row>
    <row r="109" spans="1:11" x14ac:dyDescent="0.3">
      <c r="A109" s="2" t="s">
        <v>241</v>
      </c>
      <c r="B109" s="2" t="s">
        <v>217</v>
      </c>
      <c r="C109" s="3">
        <v>45693.695138888892</v>
      </c>
      <c r="D109" s="2" t="s">
        <v>38</v>
      </c>
      <c r="E109" s="4">
        <v>4478.0200000000004</v>
      </c>
      <c r="F109" s="2" t="s">
        <v>14</v>
      </c>
      <c r="G109" s="5">
        <v>57</v>
      </c>
      <c r="H109" s="2" t="s">
        <v>15</v>
      </c>
      <c r="I109" s="2" t="s">
        <v>34</v>
      </c>
      <c r="J109" s="2" t="s">
        <v>44</v>
      </c>
      <c r="K109" s="2" t="s">
        <v>45</v>
      </c>
    </row>
    <row r="110" spans="1:11" x14ac:dyDescent="0.3">
      <c r="A110" s="2" t="s">
        <v>242</v>
      </c>
      <c r="B110" s="2" t="s">
        <v>144</v>
      </c>
      <c r="C110" s="3">
        <v>45832.037499999999</v>
      </c>
      <c r="D110" s="2" t="s">
        <v>13</v>
      </c>
      <c r="E110" s="4">
        <v>863.29</v>
      </c>
      <c r="F110" s="2" t="s">
        <v>14</v>
      </c>
      <c r="G110" s="5">
        <v>49</v>
      </c>
      <c r="H110" s="2" t="s">
        <v>15</v>
      </c>
      <c r="I110" s="2" t="s">
        <v>60</v>
      </c>
      <c r="J110" s="2" t="s">
        <v>17</v>
      </c>
      <c r="K110" s="2" t="s">
        <v>45</v>
      </c>
    </row>
    <row r="111" spans="1:11" x14ac:dyDescent="0.3">
      <c r="A111" s="2" t="s">
        <v>243</v>
      </c>
      <c r="B111" s="2" t="s">
        <v>244</v>
      </c>
      <c r="C111" s="3">
        <v>45873.629166666673</v>
      </c>
      <c r="D111" s="2" t="s">
        <v>28</v>
      </c>
      <c r="E111" s="4">
        <v>2553.64</v>
      </c>
      <c r="F111" s="2" t="s">
        <v>14</v>
      </c>
      <c r="G111" s="5">
        <v>49</v>
      </c>
      <c r="H111" s="2" t="s">
        <v>29</v>
      </c>
      <c r="I111" s="2" t="s">
        <v>16</v>
      </c>
      <c r="J111" s="2" t="s">
        <v>17</v>
      </c>
      <c r="K111" s="2" t="s">
        <v>35</v>
      </c>
    </row>
    <row r="112" spans="1:11" x14ac:dyDescent="0.3">
      <c r="A112" s="2" t="s">
        <v>245</v>
      </c>
      <c r="B112" s="2" t="s">
        <v>246</v>
      </c>
      <c r="C112" s="3">
        <v>45879.486111111109</v>
      </c>
      <c r="D112" s="2" t="s">
        <v>33</v>
      </c>
      <c r="E112" s="4">
        <v>52296.98</v>
      </c>
      <c r="F112" s="2" t="s">
        <v>14</v>
      </c>
      <c r="G112" s="5">
        <v>30</v>
      </c>
      <c r="H112" s="2" t="s">
        <v>15</v>
      </c>
      <c r="I112" s="2" t="s">
        <v>60</v>
      </c>
      <c r="J112" s="2" t="s">
        <v>49</v>
      </c>
      <c r="K112" s="2" t="s">
        <v>22</v>
      </c>
    </row>
    <row r="113" spans="1:11" x14ac:dyDescent="0.3">
      <c r="A113" s="2" t="s">
        <v>247</v>
      </c>
      <c r="B113" s="2" t="s">
        <v>248</v>
      </c>
      <c r="C113" s="3">
        <v>45893.92291666667</v>
      </c>
      <c r="D113" s="2" t="s">
        <v>28</v>
      </c>
      <c r="E113" s="4">
        <v>83333.009999999995</v>
      </c>
      <c r="F113" s="2" t="s">
        <v>14</v>
      </c>
      <c r="G113" s="5">
        <v>35</v>
      </c>
      <c r="H113" s="2" t="s">
        <v>15</v>
      </c>
      <c r="I113" s="2" t="s">
        <v>25</v>
      </c>
      <c r="J113" s="2" t="s">
        <v>17</v>
      </c>
      <c r="K113" s="2" t="s">
        <v>35</v>
      </c>
    </row>
    <row r="114" spans="1:11" x14ac:dyDescent="0.3">
      <c r="A114" s="2" t="s">
        <v>249</v>
      </c>
      <c r="B114" s="2" t="s">
        <v>250</v>
      </c>
      <c r="C114" s="3">
        <v>45880.240277777782</v>
      </c>
      <c r="D114" s="2" t="s">
        <v>33</v>
      </c>
      <c r="E114" s="4">
        <v>2726.76</v>
      </c>
      <c r="F114" s="2" t="s">
        <v>14</v>
      </c>
      <c r="G114" s="5">
        <v>29</v>
      </c>
      <c r="H114" s="2" t="s">
        <v>15</v>
      </c>
      <c r="I114" s="2" t="s">
        <v>25</v>
      </c>
      <c r="J114" s="2" t="s">
        <v>17</v>
      </c>
      <c r="K114" s="2" t="s">
        <v>18</v>
      </c>
    </row>
    <row r="115" spans="1:11" x14ac:dyDescent="0.3">
      <c r="A115" s="2" t="s">
        <v>251</v>
      </c>
      <c r="B115" s="2" t="s">
        <v>252</v>
      </c>
      <c r="C115" s="3">
        <v>45925.845138888893</v>
      </c>
      <c r="D115" s="2" t="s">
        <v>28</v>
      </c>
      <c r="E115" s="4">
        <v>49788.09</v>
      </c>
      <c r="F115" s="2" t="s">
        <v>14</v>
      </c>
      <c r="G115" s="5">
        <v>25</v>
      </c>
      <c r="H115" s="2" t="s">
        <v>29</v>
      </c>
      <c r="I115" s="2" t="s">
        <v>60</v>
      </c>
      <c r="J115" s="2" t="s">
        <v>44</v>
      </c>
      <c r="K115" s="2" t="s">
        <v>18</v>
      </c>
    </row>
    <row r="116" spans="1:11" x14ac:dyDescent="0.3">
      <c r="A116" s="2" t="s">
        <v>253</v>
      </c>
      <c r="B116" s="2" t="s">
        <v>254</v>
      </c>
      <c r="C116" s="3">
        <v>45973.742361111108</v>
      </c>
      <c r="D116" s="2" t="s">
        <v>28</v>
      </c>
      <c r="E116" s="4">
        <v>2938.59</v>
      </c>
      <c r="F116" s="2" t="s">
        <v>14</v>
      </c>
      <c r="G116" s="5">
        <v>36</v>
      </c>
      <c r="H116" s="2" t="s">
        <v>29</v>
      </c>
      <c r="I116" s="2" t="s">
        <v>34</v>
      </c>
      <c r="J116" s="2" t="s">
        <v>17</v>
      </c>
      <c r="K116" s="2" t="s">
        <v>45</v>
      </c>
    </row>
    <row r="117" spans="1:11" x14ac:dyDescent="0.3">
      <c r="A117" s="2" t="s">
        <v>255</v>
      </c>
      <c r="B117" s="2" t="s">
        <v>256</v>
      </c>
      <c r="C117" s="3">
        <v>45905.602083333331</v>
      </c>
      <c r="D117" s="2" t="s">
        <v>28</v>
      </c>
      <c r="E117" s="4">
        <v>48353.38</v>
      </c>
      <c r="F117" s="2" t="s">
        <v>14</v>
      </c>
      <c r="G117" s="5">
        <v>26</v>
      </c>
      <c r="H117" s="2" t="s">
        <v>29</v>
      </c>
      <c r="I117" s="2" t="s">
        <v>78</v>
      </c>
      <c r="J117" s="2" t="s">
        <v>17</v>
      </c>
      <c r="K117" s="2" t="s">
        <v>35</v>
      </c>
    </row>
    <row r="118" spans="1:11" x14ac:dyDescent="0.3">
      <c r="A118" s="2" t="s">
        <v>257</v>
      </c>
      <c r="B118" s="2" t="s">
        <v>258</v>
      </c>
      <c r="C118" s="3">
        <v>45961.347222222219</v>
      </c>
      <c r="D118" s="2" t="s">
        <v>28</v>
      </c>
      <c r="E118" s="4">
        <v>15750.05</v>
      </c>
      <c r="F118" s="2" t="s">
        <v>14</v>
      </c>
      <c r="G118" s="5">
        <v>58</v>
      </c>
      <c r="H118" s="2" t="s">
        <v>29</v>
      </c>
      <c r="I118" s="2" t="s">
        <v>30</v>
      </c>
      <c r="J118" s="2" t="s">
        <v>49</v>
      </c>
      <c r="K118" s="2" t="s">
        <v>45</v>
      </c>
    </row>
    <row r="119" spans="1:11" x14ac:dyDescent="0.3">
      <c r="A119" s="2" t="s">
        <v>259</v>
      </c>
      <c r="B119" s="2" t="s">
        <v>260</v>
      </c>
      <c r="C119" s="3">
        <v>45783.095138888893</v>
      </c>
      <c r="D119" s="2" t="s">
        <v>28</v>
      </c>
      <c r="E119" s="4">
        <v>69600.92</v>
      </c>
      <c r="F119" s="2" t="s">
        <v>14</v>
      </c>
      <c r="G119" s="5">
        <v>39</v>
      </c>
      <c r="H119" s="2" t="s">
        <v>15</v>
      </c>
      <c r="I119" s="2" t="s">
        <v>21</v>
      </c>
      <c r="J119" s="2" t="s">
        <v>17</v>
      </c>
      <c r="K119" s="2" t="s">
        <v>18</v>
      </c>
    </row>
    <row r="120" spans="1:11" x14ac:dyDescent="0.3">
      <c r="A120" s="2" t="s">
        <v>261</v>
      </c>
      <c r="B120" s="2" t="s">
        <v>262</v>
      </c>
      <c r="C120" s="3">
        <v>45888.324999999997</v>
      </c>
      <c r="D120" s="2" t="s">
        <v>28</v>
      </c>
      <c r="E120" s="4">
        <v>8080.54</v>
      </c>
      <c r="F120" s="2" t="s">
        <v>14</v>
      </c>
      <c r="G120" s="5">
        <v>50</v>
      </c>
      <c r="H120" s="2" t="s">
        <v>29</v>
      </c>
      <c r="I120" s="2" t="s">
        <v>60</v>
      </c>
      <c r="J120" s="2" t="s">
        <v>49</v>
      </c>
      <c r="K120" s="2" t="s">
        <v>18</v>
      </c>
    </row>
    <row r="121" spans="1:11" x14ac:dyDescent="0.3">
      <c r="A121" s="2" t="s">
        <v>263</v>
      </c>
      <c r="B121" s="2" t="s">
        <v>264</v>
      </c>
      <c r="C121" s="3">
        <v>45895.777083333327</v>
      </c>
      <c r="D121" s="2" t="s">
        <v>13</v>
      </c>
      <c r="E121" s="4">
        <v>1248.27</v>
      </c>
      <c r="F121" s="2" t="s">
        <v>14</v>
      </c>
      <c r="G121" s="5">
        <v>26</v>
      </c>
      <c r="H121" s="2" t="s">
        <v>29</v>
      </c>
      <c r="I121" s="2" t="s">
        <v>34</v>
      </c>
      <c r="J121" s="2" t="s">
        <v>49</v>
      </c>
      <c r="K121" s="2" t="s">
        <v>18</v>
      </c>
    </row>
    <row r="122" spans="1:11" x14ac:dyDescent="0.3">
      <c r="A122" s="2" t="s">
        <v>265</v>
      </c>
      <c r="B122" s="2" t="s">
        <v>266</v>
      </c>
      <c r="C122" s="3">
        <v>46000.51458333333</v>
      </c>
      <c r="D122" s="2" t="s">
        <v>28</v>
      </c>
      <c r="E122" s="4">
        <v>28870.45</v>
      </c>
      <c r="F122" s="2" t="s">
        <v>14</v>
      </c>
      <c r="G122" s="5">
        <v>47</v>
      </c>
      <c r="H122" s="2" t="s">
        <v>29</v>
      </c>
      <c r="I122" s="2" t="s">
        <v>95</v>
      </c>
      <c r="J122" s="2" t="s">
        <v>44</v>
      </c>
      <c r="K122" s="2" t="s">
        <v>18</v>
      </c>
    </row>
    <row r="123" spans="1:11" x14ac:dyDescent="0.3">
      <c r="A123" s="2" t="s">
        <v>267</v>
      </c>
      <c r="B123" s="2" t="s">
        <v>268</v>
      </c>
      <c r="C123" s="3">
        <v>45672.662499999999</v>
      </c>
      <c r="D123" s="2" t="s">
        <v>28</v>
      </c>
      <c r="E123" s="4">
        <v>28178.560000000001</v>
      </c>
      <c r="F123" s="2" t="s">
        <v>14</v>
      </c>
      <c r="G123" s="5">
        <v>36</v>
      </c>
      <c r="H123" s="2" t="s">
        <v>29</v>
      </c>
      <c r="I123" s="2" t="s">
        <v>25</v>
      </c>
      <c r="J123" s="2" t="s">
        <v>17</v>
      </c>
      <c r="K123" s="2" t="s">
        <v>45</v>
      </c>
    </row>
    <row r="124" spans="1:11" x14ac:dyDescent="0.3">
      <c r="A124" s="2" t="s">
        <v>269</v>
      </c>
      <c r="B124" s="2" t="s">
        <v>270</v>
      </c>
      <c r="C124" s="3">
        <v>45824.229861111111</v>
      </c>
      <c r="D124" s="2" t="s">
        <v>28</v>
      </c>
      <c r="E124" s="4">
        <v>15884.1</v>
      </c>
      <c r="F124" s="2" t="s">
        <v>14</v>
      </c>
      <c r="G124" s="5">
        <v>50</v>
      </c>
      <c r="H124" s="2" t="s">
        <v>29</v>
      </c>
      <c r="I124" s="2" t="s">
        <v>95</v>
      </c>
      <c r="J124" s="2" t="s">
        <v>49</v>
      </c>
      <c r="K124" s="2" t="s">
        <v>35</v>
      </c>
    </row>
    <row r="125" spans="1:11" x14ac:dyDescent="0.3">
      <c r="A125" s="2" t="s">
        <v>271</v>
      </c>
      <c r="B125" s="2" t="s">
        <v>272</v>
      </c>
      <c r="C125" s="3">
        <v>45766.493750000001</v>
      </c>
      <c r="D125" s="2" t="s">
        <v>28</v>
      </c>
      <c r="E125" s="4">
        <v>55526.44</v>
      </c>
      <c r="F125" s="2" t="s">
        <v>14</v>
      </c>
      <c r="G125" s="5">
        <v>42</v>
      </c>
      <c r="H125" s="2" t="s">
        <v>29</v>
      </c>
      <c r="I125" s="2" t="s">
        <v>60</v>
      </c>
      <c r="J125" s="2" t="s">
        <v>17</v>
      </c>
      <c r="K125" s="2" t="s">
        <v>35</v>
      </c>
    </row>
    <row r="126" spans="1:11" x14ac:dyDescent="0.3">
      <c r="A126" s="2" t="s">
        <v>273</v>
      </c>
      <c r="B126" s="2" t="s">
        <v>132</v>
      </c>
      <c r="C126" s="3">
        <v>45790.428472222222</v>
      </c>
      <c r="D126" s="2" t="s">
        <v>13</v>
      </c>
      <c r="E126" s="4">
        <v>4352.2700000000004</v>
      </c>
      <c r="F126" s="2" t="s">
        <v>14</v>
      </c>
      <c r="G126" s="5">
        <v>20</v>
      </c>
      <c r="H126" s="2" t="s">
        <v>15</v>
      </c>
      <c r="I126" s="2" t="s">
        <v>43</v>
      </c>
      <c r="J126" s="2" t="s">
        <v>17</v>
      </c>
      <c r="K126" s="2" t="s">
        <v>18</v>
      </c>
    </row>
    <row r="127" spans="1:11" x14ac:dyDescent="0.3">
      <c r="A127" s="2" t="s">
        <v>274</v>
      </c>
      <c r="B127" s="2" t="s">
        <v>275</v>
      </c>
      <c r="C127" s="3">
        <v>45963.955555555563</v>
      </c>
      <c r="D127" s="2" t="s">
        <v>38</v>
      </c>
      <c r="E127" s="4">
        <v>6334.73</v>
      </c>
      <c r="F127" s="2" t="s">
        <v>14</v>
      </c>
      <c r="G127" s="5">
        <v>29</v>
      </c>
      <c r="H127" s="2" t="s">
        <v>15</v>
      </c>
      <c r="I127" s="2" t="s">
        <v>34</v>
      </c>
      <c r="J127" s="2" t="s">
        <v>49</v>
      </c>
      <c r="K127" s="2" t="s">
        <v>18</v>
      </c>
    </row>
    <row r="128" spans="1:11" x14ac:dyDescent="0.3">
      <c r="A128" s="2" t="s">
        <v>276</v>
      </c>
      <c r="B128" s="2" t="s">
        <v>277</v>
      </c>
      <c r="C128" s="3">
        <v>45799.708333333343</v>
      </c>
      <c r="D128" s="2" t="s">
        <v>28</v>
      </c>
      <c r="E128" s="4">
        <v>4890.5200000000004</v>
      </c>
      <c r="F128" s="2" t="s">
        <v>14</v>
      </c>
      <c r="G128" s="5">
        <v>50</v>
      </c>
      <c r="H128" s="2" t="s">
        <v>15</v>
      </c>
      <c r="I128" s="2" t="s">
        <v>21</v>
      </c>
      <c r="J128" s="2" t="s">
        <v>44</v>
      </c>
      <c r="K128" s="2" t="s">
        <v>18</v>
      </c>
    </row>
    <row r="129" spans="1:11" x14ac:dyDescent="0.3">
      <c r="A129" s="2" t="s">
        <v>278</v>
      </c>
      <c r="B129" s="2" t="s">
        <v>279</v>
      </c>
      <c r="C129" s="3">
        <v>45922.253472222219</v>
      </c>
      <c r="D129" s="2" t="s">
        <v>28</v>
      </c>
      <c r="E129" s="4">
        <v>5535.15</v>
      </c>
      <c r="F129" s="2" t="s">
        <v>122</v>
      </c>
      <c r="G129" s="5">
        <v>52</v>
      </c>
      <c r="H129" s="2" t="s">
        <v>29</v>
      </c>
      <c r="I129" s="2" t="s">
        <v>34</v>
      </c>
      <c r="J129" s="2" t="s">
        <v>17</v>
      </c>
      <c r="K129" s="2" t="s">
        <v>45</v>
      </c>
    </row>
    <row r="130" spans="1:11" x14ac:dyDescent="0.3">
      <c r="A130" s="2" t="s">
        <v>280</v>
      </c>
      <c r="B130" s="2" t="s">
        <v>75</v>
      </c>
      <c r="C130" s="3">
        <v>45781.976388888892</v>
      </c>
      <c r="D130" s="2" t="s">
        <v>28</v>
      </c>
      <c r="E130" s="4">
        <v>29139.34</v>
      </c>
      <c r="F130" s="2" t="s">
        <v>14</v>
      </c>
      <c r="G130" s="5">
        <v>31</v>
      </c>
      <c r="H130" s="2" t="s">
        <v>29</v>
      </c>
      <c r="I130" s="2" t="s">
        <v>25</v>
      </c>
      <c r="J130" s="2" t="s">
        <v>17</v>
      </c>
      <c r="K130" s="2" t="s">
        <v>18</v>
      </c>
    </row>
    <row r="131" spans="1:11" x14ac:dyDescent="0.3">
      <c r="A131" s="2" t="s">
        <v>281</v>
      </c>
      <c r="B131" s="2" t="s">
        <v>282</v>
      </c>
      <c r="C131" s="3">
        <v>45908.741666666669</v>
      </c>
      <c r="D131" s="2" t="s">
        <v>13</v>
      </c>
      <c r="E131" s="4">
        <v>1107.52</v>
      </c>
      <c r="F131" s="2" t="s">
        <v>14</v>
      </c>
      <c r="G131" s="5">
        <v>33</v>
      </c>
      <c r="H131" s="2" t="s">
        <v>29</v>
      </c>
      <c r="I131" s="2" t="s">
        <v>34</v>
      </c>
      <c r="J131" s="2" t="s">
        <v>17</v>
      </c>
      <c r="K131" s="2" t="s">
        <v>18</v>
      </c>
    </row>
    <row r="132" spans="1:11" x14ac:dyDescent="0.3">
      <c r="A132" s="2" t="s">
        <v>283</v>
      </c>
      <c r="B132" s="2" t="s">
        <v>284</v>
      </c>
      <c r="C132" s="3">
        <v>45781.9375</v>
      </c>
      <c r="D132" s="2" t="s">
        <v>28</v>
      </c>
      <c r="E132" s="4">
        <v>7327.19</v>
      </c>
      <c r="F132" s="2" t="s">
        <v>14</v>
      </c>
      <c r="G132" s="5">
        <v>59</v>
      </c>
      <c r="H132" s="2" t="s">
        <v>15</v>
      </c>
      <c r="I132" s="2" t="s">
        <v>34</v>
      </c>
      <c r="J132" s="2" t="s">
        <v>17</v>
      </c>
      <c r="K132" s="2" t="s">
        <v>45</v>
      </c>
    </row>
    <row r="133" spans="1:11" x14ac:dyDescent="0.3">
      <c r="A133" s="2" t="s">
        <v>285</v>
      </c>
      <c r="B133" s="2" t="s">
        <v>286</v>
      </c>
      <c r="C133" s="3">
        <v>45988.938194444447</v>
      </c>
      <c r="D133" s="2" t="s">
        <v>38</v>
      </c>
      <c r="E133" s="4">
        <v>7952.21</v>
      </c>
      <c r="F133" s="2" t="s">
        <v>14</v>
      </c>
      <c r="G133" s="5">
        <v>60</v>
      </c>
      <c r="H133" s="2" t="s">
        <v>29</v>
      </c>
      <c r="I133" s="2" t="s">
        <v>21</v>
      </c>
      <c r="J133" s="2" t="s">
        <v>17</v>
      </c>
      <c r="K133" s="2" t="s">
        <v>18</v>
      </c>
    </row>
    <row r="134" spans="1:11" x14ac:dyDescent="0.3">
      <c r="A134" s="2" t="s">
        <v>287</v>
      </c>
      <c r="B134" s="2" t="s">
        <v>20</v>
      </c>
      <c r="C134" s="3">
        <v>45887.003472222219</v>
      </c>
      <c r="D134" s="2" t="s">
        <v>28</v>
      </c>
      <c r="E134" s="4">
        <v>41058.97</v>
      </c>
      <c r="F134" s="2" t="s">
        <v>14</v>
      </c>
      <c r="G134" s="5">
        <v>43</v>
      </c>
      <c r="H134" s="2" t="s">
        <v>15</v>
      </c>
      <c r="I134" s="2" t="s">
        <v>21</v>
      </c>
      <c r="J134" s="2" t="s">
        <v>17</v>
      </c>
      <c r="K134" s="2" t="s">
        <v>18</v>
      </c>
    </row>
    <row r="135" spans="1:11" x14ac:dyDescent="0.3">
      <c r="A135" s="2" t="s">
        <v>288</v>
      </c>
      <c r="B135" s="2" t="s">
        <v>289</v>
      </c>
      <c r="C135" s="3">
        <v>45808.309027777781</v>
      </c>
      <c r="D135" s="2" t="s">
        <v>38</v>
      </c>
      <c r="E135" s="4">
        <v>1263.51</v>
      </c>
      <c r="F135" s="2" t="s">
        <v>14</v>
      </c>
      <c r="G135" s="5">
        <v>32</v>
      </c>
      <c r="H135" s="2" t="s">
        <v>29</v>
      </c>
      <c r="I135" s="2" t="s">
        <v>48</v>
      </c>
      <c r="J135" s="2" t="s">
        <v>17</v>
      </c>
      <c r="K135" s="2" t="s">
        <v>45</v>
      </c>
    </row>
    <row r="136" spans="1:11" x14ac:dyDescent="0.3">
      <c r="A136" s="2" t="s">
        <v>290</v>
      </c>
      <c r="B136" s="2" t="s">
        <v>291</v>
      </c>
      <c r="C136" s="3">
        <v>46012.304861111108</v>
      </c>
      <c r="D136" s="2" t="s">
        <v>28</v>
      </c>
      <c r="E136" s="4">
        <v>7035.36</v>
      </c>
      <c r="F136" s="2" t="s">
        <v>14</v>
      </c>
      <c r="G136" s="5">
        <v>39</v>
      </c>
      <c r="H136" s="2" t="s">
        <v>15</v>
      </c>
      <c r="I136" s="2" t="s">
        <v>25</v>
      </c>
      <c r="J136" s="2" t="s">
        <v>17</v>
      </c>
      <c r="K136" s="2" t="s">
        <v>45</v>
      </c>
    </row>
    <row r="137" spans="1:11" x14ac:dyDescent="0.3">
      <c r="A137" s="2" t="s">
        <v>292</v>
      </c>
      <c r="B137" s="2" t="s">
        <v>293</v>
      </c>
      <c r="C137" s="3">
        <v>45997.765972222223</v>
      </c>
      <c r="D137" s="2" t="s">
        <v>28</v>
      </c>
      <c r="E137" s="4">
        <v>3477.66</v>
      </c>
      <c r="F137" s="2" t="s">
        <v>14</v>
      </c>
      <c r="G137" s="5">
        <v>36</v>
      </c>
      <c r="H137" s="2" t="s">
        <v>15</v>
      </c>
      <c r="I137" s="2" t="s">
        <v>34</v>
      </c>
      <c r="J137" s="2" t="s">
        <v>17</v>
      </c>
      <c r="K137" s="2" t="s">
        <v>22</v>
      </c>
    </row>
    <row r="138" spans="1:11" x14ac:dyDescent="0.3">
      <c r="A138" s="2" t="s">
        <v>294</v>
      </c>
      <c r="B138" s="2" t="s">
        <v>232</v>
      </c>
      <c r="C138" s="3">
        <v>45900.731249999997</v>
      </c>
      <c r="D138" s="2" t="s">
        <v>28</v>
      </c>
      <c r="E138" s="4">
        <v>21069.439999999999</v>
      </c>
      <c r="F138" s="2" t="s">
        <v>14</v>
      </c>
      <c r="G138" s="5">
        <v>36</v>
      </c>
      <c r="H138" s="2" t="s">
        <v>15</v>
      </c>
      <c r="I138" s="2" t="s">
        <v>34</v>
      </c>
      <c r="J138" s="2" t="s">
        <v>44</v>
      </c>
      <c r="K138" s="2" t="s">
        <v>45</v>
      </c>
    </row>
    <row r="139" spans="1:11" x14ac:dyDescent="0.3">
      <c r="A139" s="2" t="s">
        <v>295</v>
      </c>
      <c r="B139" s="2" t="s">
        <v>296</v>
      </c>
      <c r="C139" s="3">
        <v>45834.574305555558</v>
      </c>
      <c r="D139" s="2" t="s">
        <v>28</v>
      </c>
      <c r="E139" s="4">
        <v>42827.01</v>
      </c>
      <c r="F139" s="2" t="s">
        <v>14</v>
      </c>
      <c r="G139" s="5">
        <v>31</v>
      </c>
      <c r="H139" s="2" t="s">
        <v>15</v>
      </c>
      <c r="I139" s="2" t="s">
        <v>34</v>
      </c>
      <c r="J139" s="2" t="s">
        <v>52</v>
      </c>
      <c r="K139" s="2" t="s">
        <v>35</v>
      </c>
    </row>
    <row r="140" spans="1:11" x14ac:dyDescent="0.3">
      <c r="A140" s="2" t="s">
        <v>297</v>
      </c>
      <c r="B140" s="2" t="s">
        <v>171</v>
      </c>
      <c r="C140" s="3">
        <v>45939.431944444441</v>
      </c>
      <c r="D140" s="2" t="s">
        <v>33</v>
      </c>
      <c r="E140" s="4">
        <v>2592.9899999999998</v>
      </c>
      <c r="F140" s="2" t="s">
        <v>14</v>
      </c>
      <c r="G140" s="5">
        <v>51</v>
      </c>
      <c r="H140" s="2" t="s">
        <v>29</v>
      </c>
      <c r="I140" s="2" t="s">
        <v>25</v>
      </c>
      <c r="J140" s="2" t="s">
        <v>17</v>
      </c>
      <c r="K140" s="2" t="s">
        <v>22</v>
      </c>
    </row>
    <row r="141" spans="1:11" x14ac:dyDescent="0.3">
      <c r="A141" s="2" t="s">
        <v>298</v>
      </c>
      <c r="B141" s="2" t="s">
        <v>299</v>
      </c>
      <c r="C141" s="3">
        <v>46017.595138888893</v>
      </c>
      <c r="D141" s="2" t="s">
        <v>33</v>
      </c>
      <c r="E141" s="4">
        <v>10928.06</v>
      </c>
      <c r="F141" s="2" t="s">
        <v>14</v>
      </c>
      <c r="G141" s="5">
        <v>27</v>
      </c>
      <c r="H141" s="2" t="s">
        <v>15</v>
      </c>
      <c r="I141" s="2" t="s">
        <v>34</v>
      </c>
      <c r="J141" s="2" t="s">
        <v>49</v>
      </c>
      <c r="K141" s="2" t="s">
        <v>45</v>
      </c>
    </row>
    <row r="142" spans="1:11" x14ac:dyDescent="0.3">
      <c r="A142" s="2" t="s">
        <v>300</v>
      </c>
      <c r="B142" s="2" t="s">
        <v>301</v>
      </c>
      <c r="C142" s="3">
        <v>45814.343055555553</v>
      </c>
      <c r="D142" s="2" t="s">
        <v>28</v>
      </c>
      <c r="E142" s="4">
        <v>5027.2299999999996</v>
      </c>
      <c r="F142" s="2" t="s">
        <v>57</v>
      </c>
      <c r="G142" s="5">
        <v>49</v>
      </c>
      <c r="H142" s="2" t="s">
        <v>15</v>
      </c>
      <c r="I142" s="2" t="s">
        <v>60</v>
      </c>
      <c r="J142" s="2" t="s">
        <v>17</v>
      </c>
      <c r="K142" s="2" t="s">
        <v>35</v>
      </c>
    </row>
    <row r="143" spans="1:11" x14ac:dyDescent="0.3">
      <c r="A143" s="2" t="s">
        <v>302</v>
      </c>
      <c r="B143" s="2" t="s">
        <v>146</v>
      </c>
      <c r="C143" s="3">
        <v>45719.966666666667</v>
      </c>
      <c r="D143" s="2" t="s">
        <v>13</v>
      </c>
      <c r="E143" s="4">
        <v>361.21</v>
      </c>
      <c r="F143" s="2" t="s">
        <v>14</v>
      </c>
      <c r="G143" s="5">
        <v>24</v>
      </c>
      <c r="H143" s="2" t="s">
        <v>15</v>
      </c>
      <c r="I143" s="2" t="s">
        <v>60</v>
      </c>
      <c r="J143" s="2" t="s">
        <v>17</v>
      </c>
      <c r="K143" s="2" t="s">
        <v>45</v>
      </c>
    </row>
    <row r="144" spans="1:11" x14ac:dyDescent="0.3">
      <c r="A144" s="2" t="s">
        <v>303</v>
      </c>
      <c r="B144" s="2" t="s">
        <v>286</v>
      </c>
      <c r="C144" s="3">
        <v>45819.157638888893</v>
      </c>
      <c r="D144" s="2" t="s">
        <v>33</v>
      </c>
      <c r="E144" s="4">
        <v>804.07</v>
      </c>
      <c r="F144" s="2" t="s">
        <v>14</v>
      </c>
      <c r="G144" s="5">
        <v>60</v>
      </c>
      <c r="H144" s="2" t="s">
        <v>29</v>
      </c>
      <c r="I144" s="2" t="s">
        <v>21</v>
      </c>
      <c r="J144" s="2" t="s">
        <v>17</v>
      </c>
      <c r="K144" s="2" t="s">
        <v>18</v>
      </c>
    </row>
    <row r="145" spans="1:11" x14ac:dyDescent="0.3">
      <c r="A145" s="2" t="s">
        <v>304</v>
      </c>
      <c r="B145" s="2" t="s">
        <v>305</v>
      </c>
      <c r="C145" s="3">
        <v>45932.924305555563</v>
      </c>
      <c r="D145" s="2" t="s">
        <v>33</v>
      </c>
      <c r="E145" s="4">
        <v>6350.2</v>
      </c>
      <c r="F145" s="2" t="s">
        <v>14</v>
      </c>
      <c r="G145" s="5">
        <v>45</v>
      </c>
      <c r="H145" s="2" t="s">
        <v>29</v>
      </c>
      <c r="I145" s="2" t="s">
        <v>48</v>
      </c>
      <c r="J145" s="2" t="s">
        <v>17</v>
      </c>
      <c r="K145" s="2" t="s">
        <v>18</v>
      </c>
    </row>
    <row r="146" spans="1:11" x14ac:dyDescent="0.3">
      <c r="A146" s="2" t="s">
        <v>306</v>
      </c>
      <c r="B146" s="2" t="s">
        <v>307</v>
      </c>
      <c r="C146" s="3">
        <v>45756.282638888893</v>
      </c>
      <c r="D146" s="2" t="s">
        <v>28</v>
      </c>
      <c r="E146" s="4">
        <v>12507.56</v>
      </c>
      <c r="F146" s="2" t="s">
        <v>14</v>
      </c>
      <c r="G146" s="5">
        <v>53</v>
      </c>
      <c r="H146" s="2" t="s">
        <v>29</v>
      </c>
      <c r="I146" s="2" t="s">
        <v>34</v>
      </c>
      <c r="J146" s="2" t="s">
        <v>52</v>
      </c>
      <c r="K146" s="2" t="s">
        <v>45</v>
      </c>
    </row>
    <row r="147" spans="1:11" x14ac:dyDescent="0.3">
      <c r="A147" s="2" t="s">
        <v>308</v>
      </c>
      <c r="B147" s="2" t="s">
        <v>309</v>
      </c>
      <c r="C147" s="3">
        <v>45905.365277777782</v>
      </c>
      <c r="D147" s="2" t="s">
        <v>13</v>
      </c>
      <c r="E147" s="4">
        <v>315.54000000000002</v>
      </c>
      <c r="F147" s="2" t="s">
        <v>14</v>
      </c>
      <c r="G147" s="5">
        <v>51</v>
      </c>
      <c r="H147" s="2" t="s">
        <v>29</v>
      </c>
      <c r="I147" s="2" t="s">
        <v>25</v>
      </c>
      <c r="J147" s="2" t="s">
        <v>49</v>
      </c>
      <c r="K147" s="2" t="s">
        <v>35</v>
      </c>
    </row>
    <row r="148" spans="1:11" x14ac:dyDescent="0.3">
      <c r="A148" s="2" t="s">
        <v>310</v>
      </c>
      <c r="B148" s="2" t="s">
        <v>311</v>
      </c>
      <c r="C148" s="3">
        <v>45959.693055555559</v>
      </c>
      <c r="D148" s="2" t="s">
        <v>13</v>
      </c>
      <c r="E148" s="4">
        <v>4607.87</v>
      </c>
      <c r="F148" s="2" t="s">
        <v>14</v>
      </c>
      <c r="G148" s="5">
        <v>56</v>
      </c>
      <c r="H148" s="2" t="s">
        <v>29</v>
      </c>
      <c r="I148" s="2" t="s">
        <v>60</v>
      </c>
      <c r="J148" s="2" t="s">
        <v>49</v>
      </c>
      <c r="K148" s="2" t="s">
        <v>18</v>
      </c>
    </row>
    <row r="149" spans="1:11" x14ac:dyDescent="0.3">
      <c r="A149" s="2" t="s">
        <v>312</v>
      </c>
      <c r="B149" s="2" t="s">
        <v>313</v>
      </c>
      <c r="C149" s="3">
        <v>45802.161805555559</v>
      </c>
      <c r="D149" s="2" t="s">
        <v>28</v>
      </c>
      <c r="E149" s="4">
        <v>54627.02</v>
      </c>
      <c r="F149" s="2" t="s">
        <v>14</v>
      </c>
      <c r="G149" s="5">
        <v>24</v>
      </c>
      <c r="H149" s="2" t="s">
        <v>15</v>
      </c>
      <c r="I149" s="2" t="s">
        <v>48</v>
      </c>
      <c r="J149" s="2" t="s">
        <v>17</v>
      </c>
      <c r="K149" s="2" t="s">
        <v>45</v>
      </c>
    </row>
    <row r="150" spans="1:11" x14ac:dyDescent="0.3">
      <c r="A150" s="2" t="s">
        <v>314</v>
      </c>
      <c r="B150" s="2" t="s">
        <v>315</v>
      </c>
      <c r="C150" s="3">
        <v>45757.384722222218</v>
      </c>
      <c r="D150" s="2" t="s">
        <v>38</v>
      </c>
      <c r="E150" s="4">
        <v>1712.05</v>
      </c>
      <c r="F150" s="2" t="s">
        <v>14</v>
      </c>
      <c r="G150" s="5">
        <v>40</v>
      </c>
      <c r="H150" s="2" t="s">
        <v>15</v>
      </c>
      <c r="I150" s="2" t="s">
        <v>34</v>
      </c>
      <c r="J150" s="2" t="s">
        <v>17</v>
      </c>
      <c r="K150" s="2" t="s">
        <v>18</v>
      </c>
    </row>
    <row r="151" spans="1:11" x14ac:dyDescent="0.3">
      <c r="A151" s="2" t="s">
        <v>316</v>
      </c>
      <c r="B151" s="2" t="s">
        <v>317</v>
      </c>
      <c r="C151" s="3">
        <v>45842.22152777778</v>
      </c>
      <c r="D151" s="2" t="s">
        <v>13</v>
      </c>
      <c r="E151" s="4">
        <v>1308.44</v>
      </c>
      <c r="F151" s="2" t="s">
        <v>14</v>
      </c>
      <c r="G151" s="5">
        <v>55</v>
      </c>
      <c r="H151" s="2" t="s">
        <v>15</v>
      </c>
      <c r="I151" s="2" t="s">
        <v>34</v>
      </c>
      <c r="J151" s="2" t="s">
        <v>49</v>
      </c>
      <c r="K151" s="2" t="s">
        <v>18</v>
      </c>
    </row>
    <row r="152" spans="1:11" x14ac:dyDescent="0.3">
      <c r="A152" s="2" t="s">
        <v>318</v>
      </c>
      <c r="B152" s="2" t="s">
        <v>198</v>
      </c>
      <c r="C152" s="3">
        <v>45665.94027777778</v>
      </c>
      <c r="D152" s="2" t="s">
        <v>13</v>
      </c>
      <c r="E152" s="4">
        <v>1428.57</v>
      </c>
      <c r="F152" s="2" t="s">
        <v>14</v>
      </c>
      <c r="G152" s="5">
        <v>40</v>
      </c>
      <c r="H152" s="2" t="s">
        <v>29</v>
      </c>
      <c r="I152" s="2" t="s">
        <v>34</v>
      </c>
      <c r="J152" s="2" t="s">
        <v>49</v>
      </c>
      <c r="K152" s="2" t="s">
        <v>22</v>
      </c>
    </row>
    <row r="153" spans="1:11" x14ac:dyDescent="0.3">
      <c r="A153" s="2" t="s">
        <v>319</v>
      </c>
      <c r="B153" s="2" t="s">
        <v>67</v>
      </c>
      <c r="C153" s="3">
        <v>45722.334722222222</v>
      </c>
      <c r="D153" s="2" t="s">
        <v>28</v>
      </c>
      <c r="E153" s="4">
        <v>8612.39</v>
      </c>
      <c r="F153" s="2" t="s">
        <v>14</v>
      </c>
      <c r="G153" s="5">
        <v>29</v>
      </c>
      <c r="H153" s="2" t="s">
        <v>15</v>
      </c>
      <c r="I153" s="2" t="s">
        <v>34</v>
      </c>
      <c r="J153" s="2" t="s">
        <v>44</v>
      </c>
      <c r="K153" s="2" t="s">
        <v>35</v>
      </c>
    </row>
    <row r="154" spans="1:11" x14ac:dyDescent="0.3">
      <c r="A154" s="2" t="s">
        <v>320</v>
      </c>
      <c r="B154" s="2" t="s">
        <v>223</v>
      </c>
      <c r="C154" s="3">
        <v>45685.720833333333</v>
      </c>
      <c r="D154" s="2" t="s">
        <v>13</v>
      </c>
      <c r="E154" s="4">
        <v>1965.33</v>
      </c>
      <c r="F154" s="2" t="s">
        <v>14</v>
      </c>
      <c r="G154" s="5">
        <v>40</v>
      </c>
      <c r="H154" s="2" t="s">
        <v>15</v>
      </c>
      <c r="I154" s="2" t="s">
        <v>34</v>
      </c>
      <c r="J154" s="2" t="s">
        <v>49</v>
      </c>
      <c r="K154" s="2" t="s">
        <v>35</v>
      </c>
    </row>
    <row r="155" spans="1:11" x14ac:dyDescent="0.3">
      <c r="A155" s="2" t="s">
        <v>321</v>
      </c>
      <c r="B155" s="2" t="s">
        <v>305</v>
      </c>
      <c r="C155" s="3">
        <v>46015.194444444453</v>
      </c>
      <c r="D155" s="2" t="s">
        <v>33</v>
      </c>
      <c r="E155" s="4">
        <v>14208.11</v>
      </c>
      <c r="F155" s="2" t="s">
        <v>57</v>
      </c>
      <c r="G155" s="5">
        <v>45</v>
      </c>
      <c r="H155" s="2" t="s">
        <v>29</v>
      </c>
      <c r="I155" s="2" t="s">
        <v>48</v>
      </c>
      <c r="J155" s="2" t="s">
        <v>17</v>
      </c>
      <c r="K155" s="2" t="s">
        <v>45</v>
      </c>
    </row>
    <row r="156" spans="1:11" x14ac:dyDescent="0.3">
      <c r="A156" s="2" t="s">
        <v>322</v>
      </c>
      <c r="B156" s="2" t="s">
        <v>323</v>
      </c>
      <c r="C156" s="3">
        <v>45909.163194444453</v>
      </c>
      <c r="D156" s="2" t="s">
        <v>28</v>
      </c>
      <c r="E156" s="4">
        <v>74879.23</v>
      </c>
      <c r="F156" s="2" t="s">
        <v>14</v>
      </c>
      <c r="G156" s="5">
        <v>27</v>
      </c>
      <c r="H156" s="2" t="s">
        <v>29</v>
      </c>
      <c r="I156" s="2" t="s">
        <v>43</v>
      </c>
      <c r="J156" s="2" t="s">
        <v>17</v>
      </c>
      <c r="K156" s="2" t="s">
        <v>22</v>
      </c>
    </row>
    <row r="157" spans="1:11" x14ac:dyDescent="0.3">
      <c r="A157" s="2" t="s">
        <v>324</v>
      </c>
      <c r="B157" s="2" t="s">
        <v>325</v>
      </c>
      <c r="C157" s="3">
        <v>45664.762499999997</v>
      </c>
      <c r="D157" s="2" t="s">
        <v>38</v>
      </c>
      <c r="E157" s="4">
        <v>6892.12</v>
      </c>
      <c r="F157" s="2" t="s">
        <v>122</v>
      </c>
      <c r="G157" s="5">
        <v>48</v>
      </c>
      <c r="H157" s="2" t="s">
        <v>15</v>
      </c>
      <c r="I157" s="2" t="s">
        <v>34</v>
      </c>
      <c r="J157" s="2" t="s">
        <v>17</v>
      </c>
      <c r="K157" s="2" t="s">
        <v>45</v>
      </c>
    </row>
    <row r="158" spans="1:11" x14ac:dyDescent="0.3">
      <c r="A158" s="2" t="s">
        <v>326</v>
      </c>
      <c r="B158" s="2" t="s">
        <v>327</v>
      </c>
      <c r="C158" s="3">
        <v>45898.644444444442</v>
      </c>
      <c r="D158" s="2" t="s">
        <v>13</v>
      </c>
      <c r="E158" s="4">
        <v>657.44</v>
      </c>
      <c r="F158" s="2" t="s">
        <v>57</v>
      </c>
      <c r="G158" s="5">
        <v>48</v>
      </c>
      <c r="H158" s="2" t="s">
        <v>15</v>
      </c>
      <c r="I158" s="2" t="s">
        <v>34</v>
      </c>
      <c r="J158" s="2" t="s">
        <v>17</v>
      </c>
      <c r="K158" s="2" t="s">
        <v>18</v>
      </c>
    </row>
    <row r="159" spans="1:11" x14ac:dyDescent="0.3">
      <c r="A159" s="2" t="s">
        <v>328</v>
      </c>
      <c r="B159" s="2" t="s">
        <v>329</v>
      </c>
      <c r="C159" s="3">
        <v>45832.210416666669</v>
      </c>
      <c r="D159" s="2" t="s">
        <v>33</v>
      </c>
      <c r="E159" s="4">
        <v>10945.07</v>
      </c>
      <c r="F159" s="2" t="s">
        <v>14</v>
      </c>
      <c r="G159" s="5">
        <v>31</v>
      </c>
      <c r="H159" s="2" t="s">
        <v>15</v>
      </c>
      <c r="I159" s="2" t="s">
        <v>34</v>
      </c>
      <c r="J159" s="2" t="s">
        <v>49</v>
      </c>
      <c r="K159" s="2" t="s">
        <v>35</v>
      </c>
    </row>
    <row r="160" spans="1:11" x14ac:dyDescent="0.3">
      <c r="A160" s="2" t="s">
        <v>330</v>
      </c>
      <c r="B160" s="2" t="s">
        <v>111</v>
      </c>
      <c r="C160" s="3">
        <v>45787.629861111112</v>
      </c>
      <c r="D160" s="2" t="s">
        <v>38</v>
      </c>
      <c r="E160" s="4">
        <v>4586.03</v>
      </c>
      <c r="F160" s="2" t="s">
        <v>122</v>
      </c>
      <c r="G160" s="5">
        <v>45</v>
      </c>
      <c r="H160" s="2" t="s">
        <v>15</v>
      </c>
      <c r="I160" s="2" t="s">
        <v>48</v>
      </c>
      <c r="J160" s="2" t="s">
        <v>17</v>
      </c>
      <c r="K160" s="2" t="s">
        <v>35</v>
      </c>
    </row>
    <row r="161" spans="1:11" x14ac:dyDescent="0.3">
      <c r="A161" s="2" t="s">
        <v>331</v>
      </c>
      <c r="B161" s="2" t="s">
        <v>332</v>
      </c>
      <c r="C161" s="3">
        <v>45691.521527777782</v>
      </c>
      <c r="D161" s="2" t="s">
        <v>13</v>
      </c>
      <c r="E161" s="4">
        <v>308.2</v>
      </c>
      <c r="F161" s="2" t="s">
        <v>14</v>
      </c>
      <c r="G161" s="5">
        <v>36</v>
      </c>
      <c r="H161" s="2" t="s">
        <v>29</v>
      </c>
      <c r="I161" s="2" t="s">
        <v>25</v>
      </c>
      <c r="J161" s="2" t="s">
        <v>44</v>
      </c>
      <c r="K161" s="2" t="s">
        <v>18</v>
      </c>
    </row>
    <row r="162" spans="1:11" x14ac:dyDescent="0.3">
      <c r="A162" s="2" t="s">
        <v>333</v>
      </c>
      <c r="B162" s="2" t="s">
        <v>334</v>
      </c>
      <c r="C162" s="3">
        <v>45695.777777777781</v>
      </c>
      <c r="D162" s="2" t="s">
        <v>13</v>
      </c>
      <c r="E162" s="4">
        <v>2151.71</v>
      </c>
      <c r="F162" s="2" t="s">
        <v>14</v>
      </c>
      <c r="G162" s="5">
        <v>34</v>
      </c>
      <c r="H162" s="2" t="s">
        <v>15</v>
      </c>
      <c r="I162" s="2" t="s">
        <v>60</v>
      </c>
      <c r="J162" s="2" t="s">
        <v>52</v>
      </c>
      <c r="K162" s="2" t="s">
        <v>45</v>
      </c>
    </row>
    <row r="163" spans="1:11" x14ac:dyDescent="0.3">
      <c r="A163" s="2" t="s">
        <v>335</v>
      </c>
      <c r="B163" s="2" t="s">
        <v>336</v>
      </c>
      <c r="C163" s="3">
        <v>46009.04791666667</v>
      </c>
      <c r="D163" s="2" t="s">
        <v>33</v>
      </c>
      <c r="E163" s="4">
        <v>2088.38</v>
      </c>
      <c r="F163" s="2" t="s">
        <v>14</v>
      </c>
      <c r="G163" s="5">
        <v>32</v>
      </c>
      <c r="H163" s="2" t="s">
        <v>29</v>
      </c>
      <c r="I163" s="2" t="s">
        <v>78</v>
      </c>
      <c r="J163" s="2" t="s">
        <v>52</v>
      </c>
      <c r="K163" s="2" t="s">
        <v>18</v>
      </c>
    </row>
    <row r="164" spans="1:11" x14ac:dyDescent="0.3">
      <c r="A164" s="2" t="s">
        <v>337</v>
      </c>
      <c r="B164" s="2" t="s">
        <v>338</v>
      </c>
      <c r="C164" s="3">
        <v>45734.763194444437</v>
      </c>
      <c r="D164" s="2" t="s">
        <v>154</v>
      </c>
      <c r="E164" s="4">
        <v>5000</v>
      </c>
      <c r="F164" s="2" t="s">
        <v>14</v>
      </c>
      <c r="G164" s="5">
        <v>31</v>
      </c>
      <c r="H164" s="2" t="s">
        <v>15</v>
      </c>
      <c r="I164" s="2" t="s">
        <v>30</v>
      </c>
      <c r="J164" s="2" t="s">
        <v>49</v>
      </c>
      <c r="K164" s="2" t="s">
        <v>18</v>
      </c>
    </row>
    <row r="165" spans="1:11" x14ac:dyDescent="0.3">
      <c r="A165" s="2" t="s">
        <v>339</v>
      </c>
      <c r="B165" s="2" t="s">
        <v>56</v>
      </c>
      <c r="C165" s="3">
        <v>45701.296527777777</v>
      </c>
      <c r="D165" s="2" t="s">
        <v>13</v>
      </c>
      <c r="E165" s="4">
        <v>2363.88</v>
      </c>
      <c r="F165" s="2" t="s">
        <v>14</v>
      </c>
      <c r="G165" s="5">
        <v>64</v>
      </c>
      <c r="H165" s="2" t="s">
        <v>29</v>
      </c>
      <c r="I165" s="2" t="s">
        <v>30</v>
      </c>
      <c r="J165" s="2" t="s">
        <v>49</v>
      </c>
      <c r="K165" s="2" t="s">
        <v>18</v>
      </c>
    </row>
    <row r="166" spans="1:11" x14ac:dyDescent="0.3">
      <c r="A166" s="2" t="s">
        <v>340</v>
      </c>
      <c r="B166" s="2" t="s">
        <v>341</v>
      </c>
      <c r="C166" s="3">
        <v>45943.568055555559</v>
      </c>
      <c r="D166" s="2" t="s">
        <v>28</v>
      </c>
      <c r="E166" s="4">
        <v>77420.350000000006</v>
      </c>
      <c r="F166" s="2" t="s">
        <v>14</v>
      </c>
      <c r="G166" s="5">
        <v>25</v>
      </c>
      <c r="H166" s="2" t="s">
        <v>15</v>
      </c>
      <c r="I166" s="2" t="s">
        <v>60</v>
      </c>
      <c r="J166" s="2" t="s">
        <v>49</v>
      </c>
      <c r="K166" s="2" t="s">
        <v>18</v>
      </c>
    </row>
    <row r="167" spans="1:11" x14ac:dyDescent="0.3">
      <c r="A167" s="2" t="s">
        <v>342</v>
      </c>
      <c r="B167" s="2" t="s">
        <v>343</v>
      </c>
      <c r="C167" s="3">
        <v>45963.801388888889</v>
      </c>
      <c r="D167" s="2" t="s">
        <v>13</v>
      </c>
      <c r="E167" s="4">
        <v>3315.76</v>
      </c>
      <c r="F167" s="2" t="s">
        <v>14</v>
      </c>
      <c r="G167" s="5">
        <v>38</v>
      </c>
      <c r="H167" s="2" t="s">
        <v>15</v>
      </c>
      <c r="I167" s="2" t="s">
        <v>34</v>
      </c>
      <c r="J167" s="2" t="s">
        <v>17</v>
      </c>
      <c r="K167" s="2" t="s">
        <v>35</v>
      </c>
    </row>
    <row r="168" spans="1:11" x14ac:dyDescent="0.3">
      <c r="A168" s="2" t="s">
        <v>344</v>
      </c>
      <c r="B168" s="2" t="s">
        <v>338</v>
      </c>
      <c r="C168" s="3">
        <v>45925.519444444442</v>
      </c>
      <c r="D168" s="2" t="s">
        <v>28</v>
      </c>
      <c r="E168" s="4">
        <v>22529.39</v>
      </c>
      <c r="F168" s="2" t="s">
        <v>57</v>
      </c>
      <c r="G168" s="5">
        <v>31</v>
      </c>
      <c r="H168" s="2" t="s">
        <v>15</v>
      </c>
      <c r="I168" s="2" t="s">
        <v>30</v>
      </c>
      <c r="J168" s="2" t="s">
        <v>49</v>
      </c>
      <c r="K168" s="2" t="s">
        <v>45</v>
      </c>
    </row>
    <row r="169" spans="1:11" x14ac:dyDescent="0.3">
      <c r="A169" s="2" t="s">
        <v>345</v>
      </c>
      <c r="B169" s="2" t="s">
        <v>346</v>
      </c>
      <c r="C169" s="3">
        <v>45884.413194444453</v>
      </c>
      <c r="D169" s="2" t="s">
        <v>13</v>
      </c>
      <c r="E169" s="4">
        <v>1859.1</v>
      </c>
      <c r="F169" s="2" t="s">
        <v>14</v>
      </c>
      <c r="G169" s="5">
        <v>55</v>
      </c>
      <c r="H169" s="2" t="s">
        <v>29</v>
      </c>
      <c r="I169" s="2" t="s">
        <v>95</v>
      </c>
      <c r="J169" s="2" t="s">
        <v>49</v>
      </c>
      <c r="K169" s="2" t="s">
        <v>45</v>
      </c>
    </row>
    <row r="170" spans="1:11" x14ac:dyDescent="0.3">
      <c r="A170" s="2" t="s">
        <v>347</v>
      </c>
      <c r="B170" s="2" t="s">
        <v>348</v>
      </c>
      <c r="C170" s="3">
        <v>45959.554861111108</v>
      </c>
      <c r="D170" s="2" t="s">
        <v>28</v>
      </c>
      <c r="E170" s="4">
        <v>19167.64</v>
      </c>
      <c r="F170" s="2" t="s">
        <v>14</v>
      </c>
      <c r="G170" s="5">
        <v>39</v>
      </c>
      <c r="H170" s="2" t="s">
        <v>29</v>
      </c>
      <c r="I170" s="2" t="s">
        <v>16</v>
      </c>
      <c r="J170" s="2" t="s">
        <v>44</v>
      </c>
      <c r="K170" s="2" t="s">
        <v>45</v>
      </c>
    </row>
    <row r="171" spans="1:11" x14ac:dyDescent="0.3">
      <c r="A171" s="2" t="s">
        <v>349</v>
      </c>
      <c r="B171" s="2" t="s">
        <v>71</v>
      </c>
      <c r="C171" s="3">
        <v>45949.793749999997</v>
      </c>
      <c r="D171" s="2" t="s">
        <v>33</v>
      </c>
      <c r="E171" s="4">
        <v>2272.37</v>
      </c>
      <c r="F171" s="2" t="s">
        <v>14</v>
      </c>
      <c r="G171" s="5">
        <v>42</v>
      </c>
      <c r="H171" s="2" t="s">
        <v>15</v>
      </c>
      <c r="I171" s="2" t="s">
        <v>60</v>
      </c>
      <c r="J171" s="2" t="s">
        <v>17</v>
      </c>
      <c r="K171" s="2" t="s">
        <v>18</v>
      </c>
    </row>
    <row r="172" spans="1:11" x14ac:dyDescent="0.3">
      <c r="A172" s="2" t="s">
        <v>350</v>
      </c>
      <c r="B172" s="2" t="s">
        <v>256</v>
      </c>
      <c r="C172" s="3">
        <v>45970.962500000001</v>
      </c>
      <c r="D172" s="2" t="s">
        <v>28</v>
      </c>
      <c r="E172" s="4">
        <v>48735.24</v>
      </c>
      <c r="F172" s="2" t="s">
        <v>14</v>
      </c>
      <c r="G172" s="5">
        <v>26</v>
      </c>
      <c r="H172" s="2" t="s">
        <v>29</v>
      </c>
      <c r="I172" s="2" t="s">
        <v>78</v>
      </c>
      <c r="J172" s="2" t="s">
        <v>17</v>
      </c>
      <c r="K172" s="2" t="s">
        <v>18</v>
      </c>
    </row>
    <row r="173" spans="1:11" x14ac:dyDescent="0.3">
      <c r="A173" s="2" t="s">
        <v>351</v>
      </c>
      <c r="B173" s="2" t="s">
        <v>352</v>
      </c>
      <c r="C173" s="3">
        <v>45764.842361111107</v>
      </c>
      <c r="D173" s="2" t="s">
        <v>38</v>
      </c>
      <c r="E173" s="4">
        <v>7106.09</v>
      </c>
      <c r="F173" s="2" t="s">
        <v>14</v>
      </c>
      <c r="G173" s="5">
        <v>51</v>
      </c>
      <c r="H173" s="2" t="s">
        <v>15</v>
      </c>
      <c r="I173" s="2" t="s">
        <v>21</v>
      </c>
      <c r="J173" s="2" t="s">
        <v>17</v>
      </c>
      <c r="K173" s="2" t="s">
        <v>18</v>
      </c>
    </row>
    <row r="174" spans="1:11" x14ac:dyDescent="0.3">
      <c r="A174" s="2" t="s">
        <v>353</v>
      </c>
      <c r="B174" s="2" t="s">
        <v>354</v>
      </c>
      <c r="C174" s="3">
        <v>45793.878472222219</v>
      </c>
      <c r="D174" s="2" t="s">
        <v>28</v>
      </c>
      <c r="E174" s="4">
        <v>37711.51</v>
      </c>
      <c r="F174" s="2" t="s">
        <v>14</v>
      </c>
      <c r="G174" s="5">
        <v>22</v>
      </c>
      <c r="H174" s="2" t="s">
        <v>29</v>
      </c>
      <c r="I174" s="2" t="s">
        <v>16</v>
      </c>
      <c r="J174" s="2" t="s">
        <v>17</v>
      </c>
      <c r="K174" s="2" t="s">
        <v>18</v>
      </c>
    </row>
    <row r="175" spans="1:11" x14ac:dyDescent="0.3">
      <c r="A175" s="2" t="s">
        <v>355</v>
      </c>
      <c r="B175" s="2" t="s">
        <v>69</v>
      </c>
      <c r="C175" s="3">
        <v>45738.299305555563</v>
      </c>
      <c r="D175" s="2" t="s">
        <v>13</v>
      </c>
      <c r="E175" s="4">
        <v>929.1</v>
      </c>
      <c r="F175" s="2" t="s">
        <v>57</v>
      </c>
      <c r="G175" s="5">
        <v>42</v>
      </c>
      <c r="H175" s="2" t="s">
        <v>15</v>
      </c>
      <c r="I175" s="2" t="s">
        <v>34</v>
      </c>
      <c r="J175" s="2" t="s">
        <v>44</v>
      </c>
      <c r="K175" s="2" t="s">
        <v>18</v>
      </c>
    </row>
    <row r="176" spans="1:11" x14ac:dyDescent="0.3">
      <c r="A176" s="2" t="s">
        <v>356</v>
      </c>
      <c r="B176" s="2" t="s">
        <v>357</v>
      </c>
      <c r="C176" s="3">
        <v>45940.090277777781</v>
      </c>
      <c r="D176" s="2" t="s">
        <v>13</v>
      </c>
      <c r="E176" s="4">
        <v>578.92999999999995</v>
      </c>
      <c r="F176" s="2" t="s">
        <v>14</v>
      </c>
      <c r="G176" s="5">
        <v>57</v>
      </c>
      <c r="H176" s="2" t="s">
        <v>15</v>
      </c>
      <c r="I176" s="2" t="s">
        <v>16</v>
      </c>
      <c r="J176" s="2" t="s">
        <v>44</v>
      </c>
      <c r="K176" s="2" t="s">
        <v>45</v>
      </c>
    </row>
    <row r="177" spans="1:11" x14ac:dyDescent="0.3">
      <c r="A177" s="2" t="s">
        <v>358</v>
      </c>
      <c r="B177" s="2" t="s">
        <v>246</v>
      </c>
      <c r="C177" s="3">
        <v>45659.561111111107</v>
      </c>
      <c r="D177" s="2" t="s">
        <v>13</v>
      </c>
      <c r="E177" s="4">
        <v>405.61</v>
      </c>
      <c r="F177" s="2" t="s">
        <v>57</v>
      </c>
      <c r="G177" s="5">
        <v>30</v>
      </c>
      <c r="H177" s="2" t="s">
        <v>15</v>
      </c>
      <c r="I177" s="2" t="s">
        <v>60</v>
      </c>
      <c r="J177" s="2" t="s">
        <v>49</v>
      </c>
      <c r="K177" s="2" t="s">
        <v>18</v>
      </c>
    </row>
    <row r="178" spans="1:11" x14ac:dyDescent="0.3">
      <c r="A178" s="2" t="s">
        <v>359</v>
      </c>
      <c r="B178" s="2" t="s">
        <v>360</v>
      </c>
      <c r="C178" s="3">
        <v>46010.8125</v>
      </c>
      <c r="D178" s="2" t="s">
        <v>28</v>
      </c>
      <c r="E178" s="4">
        <v>12247.1</v>
      </c>
      <c r="F178" s="2" t="s">
        <v>14</v>
      </c>
      <c r="G178" s="5">
        <v>40</v>
      </c>
      <c r="H178" s="2" t="s">
        <v>15</v>
      </c>
      <c r="I178" s="2" t="s">
        <v>34</v>
      </c>
      <c r="J178" s="2" t="s">
        <v>17</v>
      </c>
      <c r="K178" s="2" t="s">
        <v>45</v>
      </c>
    </row>
    <row r="179" spans="1:11" x14ac:dyDescent="0.3">
      <c r="A179" s="2" t="s">
        <v>361</v>
      </c>
      <c r="B179" s="2" t="s">
        <v>362</v>
      </c>
      <c r="C179" s="3">
        <v>45807.051388888889</v>
      </c>
      <c r="D179" s="2" t="s">
        <v>33</v>
      </c>
      <c r="E179" s="4">
        <v>1549.03</v>
      </c>
      <c r="F179" s="2" t="s">
        <v>57</v>
      </c>
      <c r="G179" s="5">
        <v>25</v>
      </c>
      <c r="H179" s="2" t="s">
        <v>29</v>
      </c>
      <c r="I179" s="2" t="s">
        <v>34</v>
      </c>
      <c r="J179" s="2" t="s">
        <v>44</v>
      </c>
      <c r="K179" s="2" t="s">
        <v>18</v>
      </c>
    </row>
    <row r="180" spans="1:11" x14ac:dyDescent="0.3">
      <c r="A180" s="2" t="s">
        <v>363</v>
      </c>
      <c r="B180" s="2" t="s">
        <v>364</v>
      </c>
      <c r="C180" s="3">
        <v>45805.929166666669</v>
      </c>
      <c r="D180" s="2" t="s">
        <v>33</v>
      </c>
      <c r="E180" s="4">
        <v>5071.68</v>
      </c>
      <c r="F180" s="2" t="s">
        <v>14</v>
      </c>
      <c r="G180" s="5">
        <v>32</v>
      </c>
      <c r="H180" s="2" t="s">
        <v>15</v>
      </c>
      <c r="I180" s="2" t="s">
        <v>34</v>
      </c>
      <c r="J180" s="2" t="s">
        <v>17</v>
      </c>
      <c r="K180" s="2" t="s">
        <v>18</v>
      </c>
    </row>
    <row r="181" spans="1:11" x14ac:dyDescent="0.3">
      <c r="A181" s="2" t="s">
        <v>365</v>
      </c>
      <c r="B181" s="2" t="s">
        <v>366</v>
      </c>
      <c r="C181" s="3">
        <v>46017.586111111108</v>
      </c>
      <c r="D181" s="2" t="s">
        <v>13</v>
      </c>
      <c r="E181" s="4">
        <v>789.54</v>
      </c>
      <c r="F181" s="2" t="s">
        <v>122</v>
      </c>
      <c r="G181" s="5">
        <v>28</v>
      </c>
      <c r="H181" s="2" t="s">
        <v>15</v>
      </c>
      <c r="I181" s="2" t="s">
        <v>34</v>
      </c>
      <c r="J181" s="2" t="s">
        <v>49</v>
      </c>
      <c r="K181" s="2" t="s">
        <v>22</v>
      </c>
    </row>
    <row r="182" spans="1:11" x14ac:dyDescent="0.3">
      <c r="A182" s="2" t="s">
        <v>367</v>
      </c>
      <c r="B182" s="2" t="s">
        <v>368</v>
      </c>
      <c r="C182" s="3">
        <v>46009.332638888889</v>
      </c>
      <c r="D182" s="2" t="s">
        <v>154</v>
      </c>
      <c r="E182" s="4">
        <v>5000</v>
      </c>
      <c r="F182" s="2" t="s">
        <v>14</v>
      </c>
      <c r="G182" s="5">
        <v>52</v>
      </c>
      <c r="H182" s="2" t="s">
        <v>15</v>
      </c>
      <c r="I182" s="2" t="s">
        <v>34</v>
      </c>
      <c r="J182" s="2" t="s">
        <v>17</v>
      </c>
      <c r="K182" s="2" t="s">
        <v>18</v>
      </c>
    </row>
    <row r="183" spans="1:11" x14ac:dyDescent="0.3">
      <c r="A183" s="2" t="s">
        <v>369</v>
      </c>
      <c r="B183" s="2" t="s">
        <v>370</v>
      </c>
      <c r="C183" s="3">
        <v>45793.859027777777</v>
      </c>
      <c r="D183" s="2" t="s">
        <v>28</v>
      </c>
      <c r="E183" s="4">
        <v>1432.13</v>
      </c>
      <c r="F183" s="2" t="s">
        <v>14</v>
      </c>
      <c r="G183" s="5">
        <v>35</v>
      </c>
      <c r="H183" s="2" t="s">
        <v>15</v>
      </c>
      <c r="I183" s="2" t="s">
        <v>34</v>
      </c>
      <c r="J183" s="2" t="s">
        <v>49</v>
      </c>
      <c r="K183" s="2" t="s">
        <v>35</v>
      </c>
    </row>
    <row r="184" spans="1:11" x14ac:dyDescent="0.3">
      <c r="A184" s="2" t="s">
        <v>371</v>
      </c>
      <c r="B184" s="2" t="s">
        <v>372</v>
      </c>
      <c r="C184" s="3">
        <v>45996.268750000003</v>
      </c>
      <c r="D184" s="2" t="s">
        <v>33</v>
      </c>
      <c r="E184" s="4">
        <v>9325.07</v>
      </c>
      <c r="F184" s="2" t="s">
        <v>14</v>
      </c>
      <c r="G184" s="5">
        <v>28</v>
      </c>
      <c r="H184" s="2" t="s">
        <v>29</v>
      </c>
      <c r="I184" s="2" t="s">
        <v>25</v>
      </c>
      <c r="J184" s="2" t="s">
        <v>17</v>
      </c>
      <c r="K184" s="2" t="s">
        <v>18</v>
      </c>
    </row>
    <row r="185" spans="1:11" x14ac:dyDescent="0.3">
      <c r="A185" s="2" t="s">
        <v>373</v>
      </c>
      <c r="B185" s="2" t="s">
        <v>374</v>
      </c>
      <c r="C185" s="3">
        <v>45716.718055555553</v>
      </c>
      <c r="D185" s="2" t="s">
        <v>13</v>
      </c>
      <c r="E185" s="4">
        <v>1161.7</v>
      </c>
      <c r="F185" s="2" t="s">
        <v>14</v>
      </c>
      <c r="G185" s="5">
        <v>28</v>
      </c>
      <c r="H185" s="2" t="s">
        <v>29</v>
      </c>
      <c r="I185" s="2" t="s">
        <v>21</v>
      </c>
      <c r="J185" s="2" t="s">
        <v>17</v>
      </c>
      <c r="K185" s="2" t="s">
        <v>35</v>
      </c>
    </row>
    <row r="186" spans="1:11" x14ac:dyDescent="0.3">
      <c r="A186" s="2" t="s">
        <v>375</v>
      </c>
      <c r="B186" s="2" t="s">
        <v>165</v>
      </c>
      <c r="C186" s="3">
        <v>45989.206944444442</v>
      </c>
      <c r="D186" s="2" t="s">
        <v>28</v>
      </c>
      <c r="E186" s="4">
        <v>33016.01</v>
      </c>
      <c r="F186" s="2" t="s">
        <v>14</v>
      </c>
      <c r="G186" s="5">
        <v>31</v>
      </c>
      <c r="H186" s="2" t="s">
        <v>29</v>
      </c>
      <c r="I186" s="2" t="s">
        <v>30</v>
      </c>
      <c r="J186" s="2" t="s">
        <v>52</v>
      </c>
      <c r="K186" s="2" t="s">
        <v>22</v>
      </c>
    </row>
    <row r="187" spans="1:11" x14ac:dyDescent="0.3">
      <c r="A187" s="2" t="s">
        <v>376</v>
      </c>
      <c r="B187" s="2" t="s">
        <v>377</v>
      </c>
      <c r="C187" s="3">
        <v>45794.169444444437</v>
      </c>
      <c r="D187" s="2" t="s">
        <v>13</v>
      </c>
      <c r="E187" s="4">
        <v>252.11</v>
      </c>
      <c r="F187" s="2" t="s">
        <v>14</v>
      </c>
      <c r="G187" s="5">
        <v>39</v>
      </c>
      <c r="H187" s="2" t="s">
        <v>15</v>
      </c>
      <c r="I187" s="2" t="s">
        <v>43</v>
      </c>
      <c r="J187" s="2" t="s">
        <v>17</v>
      </c>
      <c r="K187" s="2" t="s">
        <v>18</v>
      </c>
    </row>
    <row r="188" spans="1:11" x14ac:dyDescent="0.3">
      <c r="A188" s="2" t="s">
        <v>378</v>
      </c>
      <c r="B188" s="2" t="s">
        <v>117</v>
      </c>
      <c r="C188" s="3">
        <v>45688.243055555547</v>
      </c>
      <c r="D188" s="2" t="s">
        <v>154</v>
      </c>
      <c r="E188" s="4">
        <v>10000</v>
      </c>
      <c r="F188" s="2" t="s">
        <v>14</v>
      </c>
      <c r="G188" s="5">
        <v>47</v>
      </c>
      <c r="H188" s="2" t="s">
        <v>29</v>
      </c>
      <c r="I188" s="2" t="s">
        <v>34</v>
      </c>
      <c r="J188" s="2" t="s">
        <v>17</v>
      </c>
      <c r="K188" s="2" t="s">
        <v>18</v>
      </c>
    </row>
    <row r="189" spans="1:11" x14ac:dyDescent="0.3">
      <c r="A189" s="2" t="s">
        <v>379</v>
      </c>
      <c r="B189" s="2" t="s">
        <v>380</v>
      </c>
      <c r="C189" s="3">
        <v>45815.824305555558</v>
      </c>
      <c r="D189" s="2" t="s">
        <v>28</v>
      </c>
      <c r="E189" s="4">
        <v>19637.419999999998</v>
      </c>
      <c r="F189" s="2" t="s">
        <v>14</v>
      </c>
      <c r="G189" s="5">
        <v>32</v>
      </c>
      <c r="H189" s="2" t="s">
        <v>29</v>
      </c>
      <c r="I189" s="2" t="s">
        <v>34</v>
      </c>
      <c r="J189" s="2" t="s">
        <v>17</v>
      </c>
      <c r="K189" s="2" t="s">
        <v>35</v>
      </c>
    </row>
    <row r="190" spans="1:11" x14ac:dyDescent="0.3">
      <c r="A190" s="2" t="s">
        <v>381</v>
      </c>
      <c r="B190" s="2" t="s">
        <v>382</v>
      </c>
      <c r="C190" s="3">
        <v>45949.394444444442</v>
      </c>
      <c r="D190" s="2" t="s">
        <v>28</v>
      </c>
      <c r="E190" s="4">
        <v>3949.49</v>
      </c>
      <c r="F190" s="2" t="s">
        <v>14</v>
      </c>
      <c r="G190" s="5">
        <v>27</v>
      </c>
      <c r="H190" s="2" t="s">
        <v>15</v>
      </c>
      <c r="I190" s="2" t="s">
        <v>43</v>
      </c>
      <c r="J190" s="2" t="s">
        <v>49</v>
      </c>
      <c r="K190" s="2" t="s">
        <v>18</v>
      </c>
    </row>
    <row r="191" spans="1:11" x14ac:dyDescent="0.3">
      <c r="A191" s="2" t="s">
        <v>383</v>
      </c>
      <c r="B191" s="2" t="s">
        <v>384</v>
      </c>
      <c r="C191" s="3">
        <v>45721.613888888889</v>
      </c>
      <c r="D191" s="2" t="s">
        <v>28</v>
      </c>
      <c r="E191" s="4">
        <v>23038.79</v>
      </c>
      <c r="F191" s="2" t="s">
        <v>14</v>
      </c>
      <c r="G191" s="5">
        <v>32</v>
      </c>
      <c r="H191" s="2" t="s">
        <v>15</v>
      </c>
      <c r="I191" s="2" t="s">
        <v>25</v>
      </c>
      <c r="J191" s="2" t="s">
        <v>17</v>
      </c>
      <c r="K191" s="2" t="s">
        <v>45</v>
      </c>
    </row>
    <row r="192" spans="1:11" x14ac:dyDescent="0.3">
      <c r="A192" s="2" t="s">
        <v>385</v>
      </c>
      <c r="B192" s="2" t="s">
        <v>386</v>
      </c>
      <c r="C192" s="3">
        <v>45813.934027777781</v>
      </c>
      <c r="D192" s="2" t="s">
        <v>38</v>
      </c>
      <c r="E192" s="4">
        <v>2271.66</v>
      </c>
      <c r="F192" s="2" t="s">
        <v>14</v>
      </c>
      <c r="G192" s="5">
        <v>26</v>
      </c>
      <c r="H192" s="2" t="s">
        <v>15</v>
      </c>
      <c r="I192" s="2" t="s">
        <v>25</v>
      </c>
      <c r="J192" s="2" t="s">
        <v>17</v>
      </c>
      <c r="K192" s="2" t="s">
        <v>45</v>
      </c>
    </row>
    <row r="193" spans="1:11" x14ac:dyDescent="0.3">
      <c r="A193" s="2" t="s">
        <v>387</v>
      </c>
      <c r="B193" s="2" t="s">
        <v>388</v>
      </c>
      <c r="C193" s="3">
        <v>45797.69027777778</v>
      </c>
      <c r="D193" s="2" t="s">
        <v>38</v>
      </c>
      <c r="E193" s="4">
        <v>8900.94</v>
      </c>
      <c r="F193" s="2" t="s">
        <v>14</v>
      </c>
      <c r="G193" s="5">
        <v>31</v>
      </c>
      <c r="H193" s="2" t="s">
        <v>15</v>
      </c>
      <c r="I193" s="2" t="s">
        <v>34</v>
      </c>
      <c r="J193" s="2" t="s">
        <v>17</v>
      </c>
      <c r="K193" s="2" t="s">
        <v>18</v>
      </c>
    </row>
    <row r="194" spans="1:11" x14ac:dyDescent="0.3">
      <c r="A194" s="2" t="s">
        <v>389</v>
      </c>
      <c r="B194" s="2" t="s">
        <v>390</v>
      </c>
      <c r="C194" s="3">
        <v>45910.586805555547</v>
      </c>
      <c r="D194" s="2" t="s">
        <v>28</v>
      </c>
      <c r="E194" s="4">
        <v>7378.34</v>
      </c>
      <c r="F194" s="2" t="s">
        <v>14</v>
      </c>
      <c r="G194" s="5">
        <v>35</v>
      </c>
      <c r="H194" s="2" t="s">
        <v>15</v>
      </c>
      <c r="I194" s="2" t="s">
        <v>25</v>
      </c>
      <c r="J194" s="2" t="s">
        <v>17</v>
      </c>
      <c r="K194" s="2" t="s">
        <v>18</v>
      </c>
    </row>
    <row r="195" spans="1:11" x14ac:dyDescent="0.3">
      <c r="A195" s="2" t="s">
        <v>391</v>
      </c>
      <c r="B195" s="2" t="s">
        <v>105</v>
      </c>
      <c r="C195" s="3">
        <v>45964.080555555563</v>
      </c>
      <c r="D195" s="2" t="s">
        <v>28</v>
      </c>
      <c r="E195" s="4">
        <v>27462.92</v>
      </c>
      <c r="F195" s="2" t="s">
        <v>57</v>
      </c>
      <c r="G195" s="5">
        <v>42</v>
      </c>
      <c r="H195" s="2" t="s">
        <v>15</v>
      </c>
      <c r="I195" s="2" t="s">
        <v>34</v>
      </c>
      <c r="J195" s="2" t="s">
        <v>49</v>
      </c>
      <c r="K195" s="2" t="s">
        <v>18</v>
      </c>
    </row>
    <row r="196" spans="1:11" x14ac:dyDescent="0.3">
      <c r="A196" s="2" t="s">
        <v>392</v>
      </c>
      <c r="B196" s="2" t="s">
        <v>393</v>
      </c>
      <c r="C196" s="3">
        <v>45879.972222222219</v>
      </c>
      <c r="D196" s="2" t="s">
        <v>33</v>
      </c>
      <c r="E196" s="4">
        <v>15768.79</v>
      </c>
      <c r="F196" s="2" t="s">
        <v>57</v>
      </c>
      <c r="G196" s="5">
        <v>52</v>
      </c>
      <c r="H196" s="2" t="s">
        <v>29</v>
      </c>
      <c r="I196" s="2" t="s">
        <v>48</v>
      </c>
      <c r="J196" s="2" t="s">
        <v>49</v>
      </c>
      <c r="K196" s="2" t="s">
        <v>35</v>
      </c>
    </row>
    <row r="197" spans="1:11" x14ac:dyDescent="0.3">
      <c r="A197" s="2" t="s">
        <v>394</v>
      </c>
      <c r="B197" s="2" t="s">
        <v>395</v>
      </c>
      <c r="C197" s="3">
        <v>45967.334027777782</v>
      </c>
      <c r="D197" s="2" t="s">
        <v>28</v>
      </c>
      <c r="E197" s="4">
        <v>24692.799999999999</v>
      </c>
      <c r="F197" s="2" t="s">
        <v>14</v>
      </c>
      <c r="G197" s="5">
        <v>24</v>
      </c>
      <c r="H197" s="2" t="s">
        <v>15</v>
      </c>
      <c r="I197" s="2" t="s">
        <v>21</v>
      </c>
      <c r="J197" s="2" t="s">
        <v>17</v>
      </c>
      <c r="K197" s="2" t="s">
        <v>18</v>
      </c>
    </row>
    <row r="198" spans="1:11" x14ac:dyDescent="0.3">
      <c r="A198" s="2" t="s">
        <v>396</v>
      </c>
      <c r="B198" s="2" t="s">
        <v>252</v>
      </c>
      <c r="C198" s="3">
        <v>45704.321527777778</v>
      </c>
      <c r="D198" s="2" t="s">
        <v>28</v>
      </c>
      <c r="E198" s="4">
        <v>8781.1200000000008</v>
      </c>
      <c r="F198" s="2" t="s">
        <v>14</v>
      </c>
      <c r="G198" s="5">
        <v>25</v>
      </c>
      <c r="H198" s="2" t="s">
        <v>29</v>
      </c>
      <c r="I198" s="2" t="s">
        <v>60</v>
      </c>
      <c r="J198" s="2" t="s">
        <v>44</v>
      </c>
      <c r="K198" s="2" t="s">
        <v>18</v>
      </c>
    </row>
    <row r="199" spans="1:11" x14ac:dyDescent="0.3">
      <c r="A199" s="2" t="s">
        <v>397</v>
      </c>
      <c r="B199" s="2" t="s">
        <v>94</v>
      </c>
      <c r="C199" s="3">
        <v>45952.750694444447</v>
      </c>
      <c r="D199" s="2" t="s">
        <v>33</v>
      </c>
      <c r="E199" s="4">
        <v>2310.34</v>
      </c>
      <c r="F199" s="2" t="s">
        <v>14</v>
      </c>
      <c r="G199" s="5">
        <v>36</v>
      </c>
      <c r="H199" s="2" t="s">
        <v>15</v>
      </c>
      <c r="I199" s="2" t="s">
        <v>95</v>
      </c>
      <c r="J199" s="2" t="s">
        <v>17</v>
      </c>
      <c r="K199" s="2" t="s">
        <v>22</v>
      </c>
    </row>
    <row r="200" spans="1:11" x14ac:dyDescent="0.3">
      <c r="A200" s="2" t="s">
        <v>398</v>
      </c>
      <c r="B200" s="2" t="s">
        <v>399</v>
      </c>
      <c r="C200" s="3">
        <v>46002.35833333333</v>
      </c>
      <c r="D200" s="2" t="s">
        <v>28</v>
      </c>
      <c r="E200" s="4">
        <v>10315.16</v>
      </c>
      <c r="F200" s="2" t="s">
        <v>14</v>
      </c>
      <c r="G200" s="5">
        <v>53</v>
      </c>
      <c r="H200" s="2" t="s">
        <v>29</v>
      </c>
      <c r="I200" s="2" t="s">
        <v>34</v>
      </c>
      <c r="J200" s="2" t="s">
        <v>17</v>
      </c>
      <c r="K200" s="2" t="s">
        <v>18</v>
      </c>
    </row>
    <row r="201" spans="1:11" x14ac:dyDescent="0.3">
      <c r="A201" s="2" t="s">
        <v>400</v>
      </c>
      <c r="B201" s="2" t="s">
        <v>401</v>
      </c>
      <c r="C201" s="3">
        <v>45678.229166666657</v>
      </c>
      <c r="D201" s="2" t="s">
        <v>38</v>
      </c>
      <c r="E201" s="4">
        <v>1979.45</v>
      </c>
      <c r="F201" s="2" t="s">
        <v>14</v>
      </c>
      <c r="G201" s="5">
        <v>31</v>
      </c>
      <c r="H201" s="2" t="s">
        <v>15</v>
      </c>
      <c r="I201" s="2" t="s">
        <v>95</v>
      </c>
      <c r="J201" s="2" t="s">
        <v>44</v>
      </c>
      <c r="K201" s="2" t="s">
        <v>18</v>
      </c>
    </row>
    <row r="202" spans="1:11" x14ac:dyDescent="0.3">
      <c r="A202" s="2" t="s">
        <v>402</v>
      </c>
      <c r="B202" s="2" t="s">
        <v>403</v>
      </c>
      <c r="C202" s="3">
        <v>45923.852777777778</v>
      </c>
      <c r="D202" s="2" t="s">
        <v>28</v>
      </c>
      <c r="E202" s="4">
        <v>10885.91</v>
      </c>
      <c r="F202" s="2" t="s">
        <v>14</v>
      </c>
      <c r="G202" s="5">
        <v>31</v>
      </c>
      <c r="H202" s="2" t="s">
        <v>15</v>
      </c>
      <c r="I202" s="2" t="s">
        <v>34</v>
      </c>
      <c r="J202" s="2" t="s">
        <v>52</v>
      </c>
      <c r="K202" s="2" t="s">
        <v>18</v>
      </c>
    </row>
    <row r="203" spans="1:11" x14ac:dyDescent="0.3">
      <c r="A203" s="2" t="s">
        <v>404</v>
      </c>
      <c r="B203" s="2" t="s">
        <v>236</v>
      </c>
      <c r="C203" s="3">
        <v>45800.234027777777</v>
      </c>
      <c r="D203" s="2" t="s">
        <v>33</v>
      </c>
      <c r="E203" s="4">
        <v>2339.44</v>
      </c>
      <c r="F203" s="2" t="s">
        <v>14</v>
      </c>
      <c r="G203" s="5">
        <v>27</v>
      </c>
      <c r="H203" s="2" t="s">
        <v>29</v>
      </c>
      <c r="I203" s="2" t="s">
        <v>34</v>
      </c>
      <c r="J203" s="2" t="s">
        <v>17</v>
      </c>
      <c r="K203" s="2" t="s">
        <v>18</v>
      </c>
    </row>
    <row r="204" spans="1:11" x14ac:dyDescent="0.3">
      <c r="A204" s="2" t="s">
        <v>405</v>
      </c>
      <c r="B204" s="2" t="s">
        <v>406</v>
      </c>
      <c r="C204" s="3">
        <v>45881.869444444441</v>
      </c>
      <c r="D204" s="2" t="s">
        <v>38</v>
      </c>
      <c r="E204" s="4">
        <v>4799.57</v>
      </c>
      <c r="F204" s="2" t="s">
        <v>14</v>
      </c>
      <c r="G204" s="5">
        <v>28</v>
      </c>
      <c r="H204" s="2" t="s">
        <v>15</v>
      </c>
      <c r="I204" s="2" t="s">
        <v>60</v>
      </c>
      <c r="J204" s="2" t="s">
        <v>44</v>
      </c>
      <c r="K204" s="2" t="s">
        <v>18</v>
      </c>
    </row>
    <row r="205" spans="1:11" x14ac:dyDescent="0.3">
      <c r="A205" s="2" t="s">
        <v>407</v>
      </c>
      <c r="B205" s="2" t="s">
        <v>408</v>
      </c>
      <c r="C205" s="3">
        <v>45909.104166666657</v>
      </c>
      <c r="D205" s="2" t="s">
        <v>13</v>
      </c>
      <c r="E205" s="4">
        <v>876.92</v>
      </c>
      <c r="F205" s="2" t="s">
        <v>14</v>
      </c>
      <c r="G205" s="5">
        <v>25</v>
      </c>
      <c r="H205" s="2" t="s">
        <v>15</v>
      </c>
      <c r="I205" s="2" t="s">
        <v>48</v>
      </c>
      <c r="J205" s="2" t="s">
        <v>44</v>
      </c>
      <c r="K205" s="2" t="s">
        <v>18</v>
      </c>
    </row>
    <row r="206" spans="1:11" x14ac:dyDescent="0.3">
      <c r="A206" s="2" t="s">
        <v>409</v>
      </c>
      <c r="B206" s="2" t="s">
        <v>323</v>
      </c>
      <c r="C206" s="3">
        <v>45836.556250000001</v>
      </c>
      <c r="D206" s="2" t="s">
        <v>33</v>
      </c>
      <c r="E206" s="4">
        <v>26177.5</v>
      </c>
      <c r="F206" s="2" t="s">
        <v>57</v>
      </c>
      <c r="G206" s="5">
        <v>27</v>
      </c>
      <c r="H206" s="2" t="s">
        <v>29</v>
      </c>
      <c r="I206" s="2" t="s">
        <v>43</v>
      </c>
      <c r="J206" s="2" t="s">
        <v>17</v>
      </c>
      <c r="K206" s="2" t="s">
        <v>18</v>
      </c>
    </row>
    <row r="207" spans="1:11" x14ac:dyDescent="0.3">
      <c r="A207" s="2" t="s">
        <v>410</v>
      </c>
      <c r="B207" s="2" t="s">
        <v>173</v>
      </c>
      <c r="C207" s="3">
        <v>45822.879166666673</v>
      </c>
      <c r="D207" s="2" t="s">
        <v>28</v>
      </c>
      <c r="E207" s="4">
        <v>45946.96</v>
      </c>
      <c r="F207" s="2" t="s">
        <v>14</v>
      </c>
      <c r="G207" s="5">
        <v>24</v>
      </c>
      <c r="H207" s="2" t="s">
        <v>15</v>
      </c>
      <c r="I207" s="2" t="s">
        <v>30</v>
      </c>
      <c r="J207" s="2" t="s">
        <v>49</v>
      </c>
      <c r="K207" s="2" t="s">
        <v>35</v>
      </c>
    </row>
    <row r="208" spans="1:11" x14ac:dyDescent="0.3">
      <c r="A208" s="2" t="s">
        <v>411</v>
      </c>
      <c r="B208" s="2" t="s">
        <v>62</v>
      </c>
      <c r="C208" s="3">
        <v>45740.43472222222</v>
      </c>
      <c r="D208" s="2" t="s">
        <v>28</v>
      </c>
      <c r="E208" s="4">
        <v>18264.68</v>
      </c>
      <c r="F208" s="2" t="s">
        <v>14</v>
      </c>
      <c r="G208" s="5">
        <v>32</v>
      </c>
      <c r="H208" s="2" t="s">
        <v>29</v>
      </c>
      <c r="I208" s="2" t="s">
        <v>25</v>
      </c>
      <c r="J208" s="2" t="s">
        <v>17</v>
      </c>
      <c r="K208" s="2" t="s">
        <v>18</v>
      </c>
    </row>
    <row r="209" spans="1:11" x14ac:dyDescent="0.3">
      <c r="A209" s="2" t="s">
        <v>412</v>
      </c>
      <c r="B209" s="2" t="s">
        <v>248</v>
      </c>
      <c r="C209" s="3">
        <v>46013.637499999997</v>
      </c>
      <c r="D209" s="2" t="s">
        <v>28</v>
      </c>
      <c r="E209" s="4">
        <v>4948.8599999999997</v>
      </c>
      <c r="F209" s="2" t="s">
        <v>14</v>
      </c>
      <c r="G209" s="5">
        <v>35</v>
      </c>
      <c r="H209" s="2" t="s">
        <v>15</v>
      </c>
      <c r="I209" s="2" t="s">
        <v>25</v>
      </c>
      <c r="J209" s="2" t="s">
        <v>17</v>
      </c>
      <c r="K209" s="2" t="s">
        <v>22</v>
      </c>
    </row>
    <row r="210" spans="1:11" x14ac:dyDescent="0.3">
      <c r="A210" s="2" t="s">
        <v>413</v>
      </c>
      <c r="B210" s="2" t="s">
        <v>377</v>
      </c>
      <c r="C210" s="3">
        <v>45997.536111111112</v>
      </c>
      <c r="D210" s="2" t="s">
        <v>13</v>
      </c>
      <c r="E210" s="4">
        <v>564.53</v>
      </c>
      <c r="F210" s="2" t="s">
        <v>14</v>
      </c>
      <c r="G210" s="5">
        <v>39</v>
      </c>
      <c r="H210" s="2" t="s">
        <v>15</v>
      </c>
      <c r="I210" s="2" t="s">
        <v>43</v>
      </c>
      <c r="J210" s="2" t="s">
        <v>17</v>
      </c>
      <c r="K210" s="2" t="s">
        <v>45</v>
      </c>
    </row>
    <row r="211" spans="1:11" x14ac:dyDescent="0.3">
      <c r="A211" s="2" t="s">
        <v>414</v>
      </c>
      <c r="B211" s="2" t="s">
        <v>415</v>
      </c>
      <c r="C211" s="3">
        <v>45939.061805555553</v>
      </c>
      <c r="D211" s="2" t="s">
        <v>28</v>
      </c>
      <c r="E211" s="4">
        <v>54620.9</v>
      </c>
      <c r="F211" s="2" t="s">
        <v>14</v>
      </c>
      <c r="G211" s="5">
        <v>30</v>
      </c>
      <c r="H211" s="2" t="s">
        <v>29</v>
      </c>
      <c r="I211" s="2" t="s">
        <v>21</v>
      </c>
      <c r="J211" s="2" t="s">
        <v>49</v>
      </c>
      <c r="K211" s="2" t="s">
        <v>18</v>
      </c>
    </row>
    <row r="212" spans="1:11" x14ac:dyDescent="0.3">
      <c r="A212" s="2" t="s">
        <v>416</v>
      </c>
      <c r="B212" s="2" t="s">
        <v>417</v>
      </c>
      <c r="C212" s="3">
        <v>45703.427777777782</v>
      </c>
      <c r="D212" s="2" t="s">
        <v>13</v>
      </c>
      <c r="E212" s="4">
        <v>468.59</v>
      </c>
      <c r="F212" s="2" t="s">
        <v>14</v>
      </c>
      <c r="G212" s="5">
        <v>28</v>
      </c>
      <c r="H212" s="2" t="s">
        <v>15</v>
      </c>
      <c r="I212" s="2" t="s">
        <v>21</v>
      </c>
      <c r="J212" s="2" t="s">
        <v>44</v>
      </c>
      <c r="K212" s="2" t="s">
        <v>45</v>
      </c>
    </row>
    <row r="213" spans="1:11" x14ac:dyDescent="0.3">
      <c r="A213" s="2" t="s">
        <v>418</v>
      </c>
      <c r="B213" s="2" t="s">
        <v>284</v>
      </c>
      <c r="C213" s="3">
        <v>45823.15902777778</v>
      </c>
      <c r="D213" s="2" t="s">
        <v>33</v>
      </c>
      <c r="E213" s="4">
        <v>2270.59</v>
      </c>
      <c r="F213" s="2" t="s">
        <v>14</v>
      </c>
      <c r="G213" s="5">
        <v>59</v>
      </c>
      <c r="H213" s="2" t="s">
        <v>15</v>
      </c>
      <c r="I213" s="2" t="s">
        <v>34</v>
      </c>
      <c r="J213" s="2" t="s">
        <v>17</v>
      </c>
      <c r="K213" s="2" t="s">
        <v>18</v>
      </c>
    </row>
    <row r="214" spans="1:11" x14ac:dyDescent="0.3">
      <c r="A214" s="2" t="s">
        <v>419</v>
      </c>
      <c r="B214" s="2" t="s">
        <v>88</v>
      </c>
      <c r="C214" s="3">
        <v>45864.702777777777</v>
      </c>
      <c r="D214" s="2" t="s">
        <v>28</v>
      </c>
      <c r="E214" s="4">
        <v>20017.189999999999</v>
      </c>
      <c r="F214" s="2" t="s">
        <v>14</v>
      </c>
      <c r="G214" s="5">
        <v>25</v>
      </c>
      <c r="H214" s="2" t="s">
        <v>29</v>
      </c>
      <c r="I214" s="2" t="s">
        <v>34</v>
      </c>
      <c r="J214" s="2" t="s">
        <v>49</v>
      </c>
      <c r="K214" s="2" t="s">
        <v>35</v>
      </c>
    </row>
    <row r="215" spans="1:11" x14ac:dyDescent="0.3">
      <c r="A215" s="2" t="s">
        <v>420</v>
      </c>
      <c r="B215" s="2" t="s">
        <v>357</v>
      </c>
      <c r="C215" s="3">
        <v>45658.913194444453</v>
      </c>
      <c r="D215" s="2" t="s">
        <v>28</v>
      </c>
      <c r="E215" s="4">
        <v>45743.59</v>
      </c>
      <c r="F215" s="2" t="s">
        <v>14</v>
      </c>
      <c r="G215" s="5">
        <v>57</v>
      </c>
      <c r="H215" s="2" t="s">
        <v>15</v>
      </c>
      <c r="I215" s="2" t="s">
        <v>16</v>
      </c>
      <c r="J215" s="2" t="s">
        <v>44</v>
      </c>
      <c r="K215" s="2" t="s">
        <v>18</v>
      </c>
    </row>
    <row r="216" spans="1:11" x14ac:dyDescent="0.3">
      <c r="A216" s="2" t="s">
        <v>421</v>
      </c>
      <c r="B216" s="2" t="s">
        <v>221</v>
      </c>
      <c r="C216" s="3">
        <v>45935.601388888892</v>
      </c>
      <c r="D216" s="2" t="s">
        <v>13</v>
      </c>
      <c r="E216" s="4">
        <v>2945.68</v>
      </c>
      <c r="F216" s="2" t="s">
        <v>57</v>
      </c>
      <c r="G216" s="5">
        <v>43</v>
      </c>
      <c r="H216" s="2" t="s">
        <v>15</v>
      </c>
      <c r="I216" s="2" t="s">
        <v>60</v>
      </c>
      <c r="J216" s="2" t="s">
        <v>49</v>
      </c>
      <c r="K216" s="2" t="s">
        <v>35</v>
      </c>
    </row>
    <row r="217" spans="1:11" x14ac:dyDescent="0.3">
      <c r="A217" s="2" t="s">
        <v>422</v>
      </c>
      <c r="B217" s="2" t="s">
        <v>423</v>
      </c>
      <c r="C217" s="3">
        <v>45685.272916666669</v>
      </c>
      <c r="D217" s="2" t="s">
        <v>154</v>
      </c>
      <c r="E217" s="4">
        <v>2000</v>
      </c>
      <c r="F217" s="2" t="s">
        <v>14</v>
      </c>
      <c r="G217" s="5">
        <v>28</v>
      </c>
      <c r="H217" s="2" t="s">
        <v>29</v>
      </c>
      <c r="I217" s="2" t="s">
        <v>34</v>
      </c>
      <c r="J217" s="2" t="s">
        <v>44</v>
      </c>
      <c r="K217" s="2" t="s">
        <v>45</v>
      </c>
    </row>
    <row r="218" spans="1:11" x14ac:dyDescent="0.3">
      <c r="A218" s="2" t="s">
        <v>424</v>
      </c>
      <c r="B218" s="2" t="s">
        <v>111</v>
      </c>
      <c r="C218" s="3">
        <v>45843.824999999997</v>
      </c>
      <c r="D218" s="2" t="s">
        <v>28</v>
      </c>
      <c r="E218" s="4">
        <v>46706.91</v>
      </c>
      <c r="F218" s="2" t="s">
        <v>14</v>
      </c>
      <c r="G218" s="5">
        <v>45</v>
      </c>
      <c r="H218" s="2" t="s">
        <v>15</v>
      </c>
      <c r="I218" s="2" t="s">
        <v>48</v>
      </c>
      <c r="J218" s="2" t="s">
        <v>17</v>
      </c>
      <c r="K218" s="2" t="s">
        <v>45</v>
      </c>
    </row>
    <row r="219" spans="1:11" x14ac:dyDescent="0.3">
      <c r="A219" s="2" t="s">
        <v>425</v>
      </c>
      <c r="B219" s="2" t="s">
        <v>236</v>
      </c>
      <c r="C219" s="3">
        <v>45913.852777777778</v>
      </c>
      <c r="D219" s="2" t="s">
        <v>33</v>
      </c>
      <c r="E219" s="4">
        <v>8787.6200000000008</v>
      </c>
      <c r="F219" s="2" t="s">
        <v>14</v>
      </c>
      <c r="G219" s="5">
        <v>27</v>
      </c>
      <c r="H219" s="2" t="s">
        <v>29</v>
      </c>
      <c r="I219" s="2" t="s">
        <v>34</v>
      </c>
      <c r="J219" s="2" t="s">
        <v>17</v>
      </c>
      <c r="K219" s="2" t="s">
        <v>45</v>
      </c>
    </row>
    <row r="220" spans="1:11" x14ac:dyDescent="0.3">
      <c r="A220" s="2" t="s">
        <v>426</v>
      </c>
      <c r="B220" s="2" t="s">
        <v>427</v>
      </c>
      <c r="C220" s="3">
        <v>45684.261805555558</v>
      </c>
      <c r="D220" s="2" t="s">
        <v>13</v>
      </c>
      <c r="E220" s="4">
        <v>1659.54</v>
      </c>
      <c r="F220" s="2" t="s">
        <v>14</v>
      </c>
      <c r="G220" s="5">
        <v>44</v>
      </c>
      <c r="H220" s="2" t="s">
        <v>29</v>
      </c>
      <c r="I220" s="2" t="s">
        <v>34</v>
      </c>
      <c r="J220" s="2" t="s">
        <v>17</v>
      </c>
      <c r="K220" s="2" t="s">
        <v>45</v>
      </c>
    </row>
    <row r="221" spans="1:11" x14ac:dyDescent="0.3">
      <c r="A221" s="2" t="s">
        <v>428</v>
      </c>
      <c r="B221" s="2" t="s">
        <v>429</v>
      </c>
      <c r="C221" s="3">
        <v>45939.207638888889</v>
      </c>
      <c r="D221" s="2" t="s">
        <v>28</v>
      </c>
      <c r="E221" s="4">
        <v>30714.66</v>
      </c>
      <c r="F221" s="2" t="s">
        <v>57</v>
      </c>
      <c r="G221" s="5">
        <v>31</v>
      </c>
      <c r="H221" s="2" t="s">
        <v>29</v>
      </c>
      <c r="I221" s="2" t="s">
        <v>25</v>
      </c>
      <c r="J221" s="2" t="s">
        <v>49</v>
      </c>
      <c r="K221" s="2" t="s">
        <v>18</v>
      </c>
    </row>
    <row r="222" spans="1:11" x14ac:dyDescent="0.3">
      <c r="A222" s="2" t="s">
        <v>430</v>
      </c>
      <c r="B222" s="2" t="s">
        <v>431</v>
      </c>
      <c r="C222" s="3">
        <v>45805.62222222222</v>
      </c>
      <c r="D222" s="2" t="s">
        <v>13</v>
      </c>
      <c r="E222" s="4">
        <v>219.58</v>
      </c>
      <c r="F222" s="2" t="s">
        <v>57</v>
      </c>
      <c r="G222" s="5">
        <v>51</v>
      </c>
      <c r="H222" s="2" t="s">
        <v>15</v>
      </c>
      <c r="I222" s="2" t="s">
        <v>21</v>
      </c>
      <c r="J222" s="2" t="s">
        <v>49</v>
      </c>
      <c r="K222" s="2" t="s">
        <v>18</v>
      </c>
    </row>
    <row r="223" spans="1:11" x14ac:dyDescent="0.3">
      <c r="A223" s="2" t="s">
        <v>432</v>
      </c>
      <c r="B223" s="2" t="s">
        <v>433</v>
      </c>
      <c r="C223" s="3">
        <v>46015.629861111112</v>
      </c>
      <c r="D223" s="2" t="s">
        <v>13</v>
      </c>
      <c r="E223" s="4">
        <v>4666.51</v>
      </c>
      <c r="F223" s="2" t="s">
        <v>14</v>
      </c>
      <c r="G223" s="5">
        <v>25</v>
      </c>
      <c r="H223" s="2" t="s">
        <v>15</v>
      </c>
      <c r="I223" s="2" t="s">
        <v>34</v>
      </c>
      <c r="J223" s="2" t="s">
        <v>49</v>
      </c>
      <c r="K223" s="2" t="s">
        <v>45</v>
      </c>
    </row>
    <row r="224" spans="1:11" x14ac:dyDescent="0.3">
      <c r="A224" s="2" t="s">
        <v>434</v>
      </c>
      <c r="B224" s="2" t="s">
        <v>435</v>
      </c>
      <c r="C224" s="3">
        <v>45672.859722222223</v>
      </c>
      <c r="D224" s="2" t="s">
        <v>33</v>
      </c>
      <c r="E224" s="4">
        <v>3992.79</v>
      </c>
      <c r="F224" s="2" t="s">
        <v>14</v>
      </c>
      <c r="G224" s="5">
        <v>30</v>
      </c>
      <c r="H224" s="2" t="s">
        <v>15</v>
      </c>
      <c r="I224" s="2" t="s">
        <v>48</v>
      </c>
      <c r="J224" s="2" t="s">
        <v>44</v>
      </c>
      <c r="K224" s="2" t="s">
        <v>45</v>
      </c>
    </row>
    <row r="225" spans="1:11" x14ac:dyDescent="0.3">
      <c r="A225" s="2" t="s">
        <v>436</v>
      </c>
      <c r="B225" s="2" t="s">
        <v>299</v>
      </c>
      <c r="C225" s="3">
        <v>45780.923611111109</v>
      </c>
      <c r="D225" s="2" t="s">
        <v>28</v>
      </c>
      <c r="E225" s="4">
        <v>67011.64</v>
      </c>
      <c r="F225" s="2" t="s">
        <v>14</v>
      </c>
      <c r="G225" s="5">
        <v>27</v>
      </c>
      <c r="H225" s="2" t="s">
        <v>15</v>
      </c>
      <c r="I225" s="2" t="s">
        <v>34</v>
      </c>
      <c r="J225" s="2" t="s">
        <v>49</v>
      </c>
      <c r="K225" s="2" t="s">
        <v>18</v>
      </c>
    </row>
    <row r="226" spans="1:11" x14ac:dyDescent="0.3">
      <c r="A226" s="2" t="s">
        <v>437</v>
      </c>
      <c r="B226" s="2" t="s">
        <v>438</v>
      </c>
      <c r="C226" s="3">
        <v>45817.708333333343</v>
      </c>
      <c r="D226" s="2" t="s">
        <v>28</v>
      </c>
      <c r="E226" s="4">
        <v>37327.1</v>
      </c>
      <c r="F226" s="2" t="s">
        <v>14</v>
      </c>
      <c r="G226" s="5">
        <v>27</v>
      </c>
      <c r="H226" s="2" t="s">
        <v>15</v>
      </c>
      <c r="I226" s="2" t="s">
        <v>34</v>
      </c>
      <c r="J226" s="2" t="s">
        <v>17</v>
      </c>
      <c r="K226" s="2" t="s">
        <v>18</v>
      </c>
    </row>
    <row r="227" spans="1:11" x14ac:dyDescent="0.3">
      <c r="A227" s="2" t="s">
        <v>439</v>
      </c>
      <c r="B227" s="2" t="s">
        <v>440</v>
      </c>
      <c r="C227" s="3">
        <v>45940.545138888891</v>
      </c>
      <c r="D227" s="2" t="s">
        <v>28</v>
      </c>
      <c r="E227" s="4">
        <v>5119.47</v>
      </c>
      <c r="F227" s="2" t="s">
        <v>14</v>
      </c>
      <c r="G227" s="5">
        <v>23</v>
      </c>
      <c r="H227" s="2" t="s">
        <v>29</v>
      </c>
      <c r="I227" s="2" t="s">
        <v>34</v>
      </c>
      <c r="J227" s="2" t="s">
        <v>49</v>
      </c>
      <c r="K227" s="2" t="s">
        <v>35</v>
      </c>
    </row>
    <row r="228" spans="1:11" x14ac:dyDescent="0.3">
      <c r="A228" s="2" t="s">
        <v>441</v>
      </c>
      <c r="B228" s="2" t="s">
        <v>179</v>
      </c>
      <c r="C228" s="3">
        <v>45773.145138888889</v>
      </c>
      <c r="D228" s="2" t="s">
        <v>28</v>
      </c>
      <c r="E228" s="4">
        <v>15309.12</v>
      </c>
      <c r="F228" s="2" t="s">
        <v>14</v>
      </c>
      <c r="G228" s="5">
        <v>38</v>
      </c>
      <c r="H228" s="2" t="s">
        <v>15</v>
      </c>
      <c r="I228" s="2" t="s">
        <v>34</v>
      </c>
      <c r="J228" s="2" t="s">
        <v>17</v>
      </c>
      <c r="K228" s="2" t="s">
        <v>22</v>
      </c>
    </row>
    <row r="229" spans="1:11" x14ac:dyDescent="0.3">
      <c r="A229" s="2" t="s">
        <v>442</v>
      </c>
      <c r="B229" s="2" t="s">
        <v>307</v>
      </c>
      <c r="C229" s="3">
        <v>45718.870138888888</v>
      </c>
      <c r="D229" s="2" t="s">
        <v>28</v>
      </c>
      <c r="E229" s="4">
        <v>72741.070000000007</v>
      </c>
      <c r="F229" s="2" t="s">
        <v>14</v>
      </c>
      <c r="G229" s="5">
        <v>53</v>
      </c>
      <c r="H229" s="2" t="s">
        <v>29</v>
      </c>
      <c r="I229" s="2" t="s">
        <v>34</v>
      </c>
      <c r="J229" s="2" t="s">
        <v>52</v>
      </c>
      <c r="K229" s="2" t="s">
        <v>18</v>
      </c>
    </row>
    <row r="230" spans="1:11" x14ac:dyDescent="0.3">
      <c r="A230" s="2" t="s">
        <v>443</v>
      </c>
      <c r="B230" s="2" t="s">
        <v>250</v>
      </c>
      <c r="C230" s="3">
        <v>45736.665972222218</v>
      </c>
      <c r="D230" s="2" t="s">
        <v>28</v>
      </c>
      <c r="E230" s="4">
        <v>79835.44</v>
      </c>
      <c r="F230" s="2" t="s">
        <v>14</v>
      </c>
      <c r="G230" s="5">
        <v>29</v>
      </c>
      <c r="H230" s="2" t="s">
        <v>15</v>
      </c>
      <c r="I230" s="2" t="s">
        <v>25</v>
      </c>
      <c r="J230" s="2" t="s">
        <v>17</v>
      </c>
      <c r="K230" s="2" t="s">
        <v>18</v>
      </c>
    </row>
    <row r="231" spans="1:11" x14ac:dyDescent="0.3">
      <c r="A231" s="2" t="s">
        <v>444</v>
      </c>
      <c r="B231" s="2" t="s">
        <v>427</v>
      </c>
      <c r="C231" s="3">
        <v>45807.697916666657</v>
      </c>
      <c r="D231" s="2" t="s">
        <v>13</v>
      </c>
      <c r="E231" s="4">
        <v>1493.67</v>
      </c>
      <c r="F231" s="2" t="s">
        <v>14</v>
      </c>
      <c r="G231" s="5">
        <v>44</v>
      </c>
      <c r="H231" s="2" t="s">
        <v>29</v>
      </c>
      <c r="I231" s="2" t="s">
        <v>34</v>
      </c>
      <c r="J231" s="2" t="s">
        <v>17</v>
      </c>
      <c r="K231" s="2" t="s">
        <v>45</v>
      </c>
    </row>
    <row r="232" spans="1:11" x14ac:dyDescent="0.3">
      <c r="A232" s="2" t="s">
        <v>445</v>
      </c>
      <c r="B232" s="2" t="s">
        <v>446</v>
      </c>
      <c r="C232" s="3">
        <v>45797.578472222223</v>
      </c>
      <c r="D232" s="2" t="s">
        <v>13</v>
      </c>
      <c r="E232" s="4">
        <v>3962.99</v>
      </c>
      <c r="F232" s="2" t="s">
        <v>14</v>
      </c>
      <c r="G232" s="5">
        <v>35</v>
      </c>
      <c r="H232" s="2" t="s">
        <v>15</v>
      </c>
      <c r="I232" s="2" t="s">
        <v>16</v>
      </c>
      <c r="J232" s="2" t="s">
        <v>17</v>
      </c>
      <c r="K232" s="2" t="s">
        <v>45</v>
      </c>
    </row>
    <row r="233" spans="1:11" x14ac:dyDescent="0.3">
      <c r="A233" s="2" t="s">
        <v>447</v>
      </c>
      <c r="B233" s="2" t="s">
        <v>236</v>
      </c>
      <c r="C233" s="3">
        <v>45905.635416666657</v>
      </c>
      <c r="D233" s="2" t="s">
        <v>33</v>
      </c>
      <c r="E233" s="4">
        <v>15815.68</v>
      </c>
      <c r="F233" s="2" t="s">
        <v>14</v>
      </c>
      <c r="G233" s="5">
        <v>27</v>
      </c>
      <c r="H233" s="2" t="s">
        <v>29</v>
      </c>
      <c r="I233" s="2" t="s">
        <v>34</v>
      </c>
      <c r="J233" s="2" t="s">
        <v>17</v>
      </c>
      <c r="K233" s="2" t="s">
        <v>45</v>
      </c>
    </row>
    <row r="234" spans="1:11" x14ac:dyDescent="0.3">
      <c r="A234" s="2" t="s">
        <v>448</v>
      </c>
      <c r="B234" s="2" t="s">
        <v>449</v>
      </c>
      <c r="C234" s="3">
        <v>45891.714583333327</v>
      </c>
      <c r="D234" s="2" t="s">
        <v>33</v>
      </c>
      <c r="E234" s="4">
        <v>14417.51</v>
      </c>
      <c r="F234" s="2" t="s">
        <v>14</v>
      </c>
      <c r="G234" s="5">
        <v>44</v>
      </c>
      <c r="H234" s="2" t="s">
        <v>29</v>
      </c>
      <c r="I234" s="2" t="s">
        <v>34</v>
      </c>
      <c r="J234" s="2" t="s">
        <v>52</v>
      </c>
      <c r="K234" s="2" t="s">
        <v>35</v>
      </c>
    </row>
    <row r="235" spans="1:11" x14ac:dyDescent="0.3">
      <c r="A235" s="2" t="s">
        <v>450</v>
      </c>
      <c r="B235" s="2" t="s">
        <v>136</v>
      </c>
      <c r="C235" s="3">
        <v>45854.290277777778</v>
      </c>
      <c r="D235" s="2" t="s">
        <v>13</v>
      </c>
      <c r="E235" s="4">
        <v>806.32</v>
      </c>
      <c r="F235" s="2" t="s">
        <v>14</v>
      </c>
      <c r="G235" s="5">
        <v>59</v>
      </c>
      <c r="H235" s="2" t="s">
        <v>15</v>
      </c>
      <c r="I235" s="2" t="s">
        <v>16</v>
      </c>
      <c r="J235" s="2" t="s">
        <v>17</v>
      </c>
      <c r="K235" s="2" t="s">
        <v>18</v>
      </c>
    </row>
    <row r="236" spans="1:11" x14ac:dyDescent="0.3">
      <c r="A236" s="2" t="s">
        <v>451</v>
      </c>
      <c r="B236" s="2" t="s">
        <v>452</v>
      </c>
      <c r="C236" s="3">
        <v>45964.699305555558</v>
      </c>
      <c r="D236" s="2" t="s">
        <v>38</v>
      </c>
      <c r="E236" s="4">
        <v>2289.58</v>
      </c>
      <c r="F236" s="2" t="s">
        <v>14</v>
      </c>
      <c r="G236" s="5">
        <v>47</v>
      </c>
      <c r="H236" s="2" t="s">
        <v>15</v>
      </c>
      <c r="I236" s="2" t="s">
        <v>34</v>
      </c>
      <c r="J236" s="2" t="s">
        <v>17</v>
      </c>
      <c r="K236" s="2" t="s">
        <v>18</v>
      </c>
    </row>
    <row r="237" spans="1:11" x14ac:dyDescent="0.3">
      <c r="A237" s="2" t="s">
        <v>453</v>
      </c>
      <c r="B237" s="2" t="s">
        <v>454</v>
      </c>
      <c r="C237" s="3">
        <v>45727.095138888893</v>
      </c>
      <c r="D237" s="2" t="s">
        <v>33</v>
      </c>
      <c r="E237" s="4">
        <v>1269.8399999999999</v>
      </c>
      <c r="F237" s="2" t="s">
        <v>14</v>
      </c>
      <c r="G237" s="5">
        <v>35</v>
      </c>
      <c r="H237" s="2" t="s">
        <v>15</v>
      </c>
      <c r="I237" s="2" t="s">
        <v>21</v>
      </c>
      <c r="J237" s="2" t="s">
        <v>17</v>
      </c>
      <c r="K237" s="2" t="s">
        <v>18</v>
      </c>
    </row>
    <row r="238" spans="1:11" x14ac:dyDescent="0.3">
      <c r="A238" s="2" t="s">
        <v>455</v>
      </c>
      <c r="B238" s="2" t="s">
        <v>272</v>
      </c>
      <c r="C238" s="3">
        <v>45870.457638888889</v>
      </c>
      <c r="D238" s="2" t="s">
        <v>13</v>
      </c>
      <c r="E238" s="4">
        <v>2782.39</v>
      </c>
      <c r="F238" s="2" t="s">
        <v>14</v>
      </c>
      <c r="G238" s="5">
        <v>42</v>
      </c>
      <c r="H238" s="2" t="s">
        <v>29</v>
      </c>
      <c r="I238" s="2" t="s">
        <v>60</v>
      </c>
      <c r="J238" s="2" t="s">
        <v>17</v>
      </c>
      <c r="K238" s="2" t="s">
        <v>45</v>
      </c>
    </row>
    <row r="239" spans="1:11" x14ac:dyDescent="0.3">
      <c r="A239" s="2" t="s">
        <v>456</v>
      </c>
      <c r="B239" s="2" t="s">
        <v>309</v>
      </c>
      <c r="C239" s="3">
        <v>45917.369444444441</v>
      </c>
      <c r="D239" s="2" t="s">
        <v>28</v>
      </c>
      <c r="E239" s="4">
        <v>23313.08</v>
      </c>
      <c r="F239" s="2" t="s">
        <v>14</v>
      </c>
      <c r="G239" s="5">
        <v>51</v>
      </c>
      <c r="H239" s="2" t="s">
        <v>29</v>
      </c>
      <c r="I239" s="2" t="s">
        <v>25</v>
      </c>
      <c r="J239" s="2" t="s">
        <v>49</v>
      </c>
      <c r="K239" s="2" t="s">
        <v>35</v>
      </c>
    </row>
    <row r="240" spans="1:11" x14ac:dyDescent="0.3">
      <c r="A240" s="2" t="s">
        <v>457</v>
      </c>
      <c r="B240" s="2" t="s">
        <v>454</v>
      </c>
      <c r="C240" s="3">
        <v>45659.406944444447</v>
      </c>
      <c r="D240" s="2" t="s">
        <v>28</v>
      </c>
      <c r="E240" s="4">
        <v>51426.59</v>
      </c>
      <c r="F240" s="2" t="s">
        <v>14</v>
      </c>
      <c r="G240" s="5">
        <v>35</v>
      </c>
      <c r="H240" s="2" t="s">
        <v>15</v>
      </c>
      <c r="I240" s="2" t="s">
        <v>21</v>
      </c>
      <c r="J240" s="2" t="s">
        <v>17</v>
      </c>
      <c r="K240" s="2" t="s">
        <v>18</v>
      </c>
    </row>
    <row r="241" spans="1:11" x14ac:dyDescent="0.3">
      <c r="A241" s="2" t="s">
        <v>458</v>
      </c>
      <c r="B241" s="2" t="s">
        <v>329</v>
      </c>
      <c r="C241" s="3">
        <v>45810.775694444441</v>
      </c>
      <c r="D241" s="2" t="s">
        <v>13</v>
      </c>
      <c r="E241" s="4">
        <v>3870.46</v>
      </c>
      <c r="F241" s="2" t="s">
        <v>14</v>
      </c>
      <c r="G241" s="5">
        <v>31</v>
      </c>
      <c r="H241" s="2" t="s">
        <v>15</v>
      </c>
      <c r="I241" s="2" t="s">
        <v>34</v>
      </c>
      <c r="J241" s="2" t="s">
        <v>49</v>
      </c>
      <c r="K241" s="2" t="s">
        <v>18</v>
      </c>
    </row>
    <row r="242" spans="1:11" x14ac:dyDescent="0.3">
      <c r="A242" s="2" t="s">
        <v>459</v>
      </c>
      <c r="B242" s="2" t="s">
        <v>232</v>
      </c>
      <c r="C242" s="3">
        <v>45995.663194444453</v>
      </c>
      <c r="D242" s="2" t="s">
        <v>28</v>
      </c>
      <c r="E242" s="4">
        <v>23406.55</v>
      </c>
      <c r="F242" s="2" t="s">
        <v>14</v>
      </c>
      <c r="G242" s="5">
        <v>36</v>
      </c>
      <c r="H242" s="2" t="s">
        <v>15</v>
      </c>
      <c r="I242" s="2" t="s">
        <v>34</v>
      </c>
      <c r="J242" s="2" t="s">
        <v>44</v>
      </c>
      <c r="K242" s="2" t="s">
        <v>45</v>
      </c>
    </row>
    <row r="243" spans="1:11" x14ac:dyDescent="0.3">
      <c r="A243" s="2" t="s">
        <v>460</v>
      </c>
      <c r="B243" s="2" t="s">
        <v>461</v>
      </c>
      <c r="C243" s="3">
        <v>45734.606944444437</v>
      </c>
      <c r="D243" s="2" t="s">
        <v>38</v>
      </c>
      <c r="E243" s="4">
        <v>4915.2299999999996</v>
      </c>
      <c r="F243" s="2" t="s">
        <v>14</v>
      </c>
      <c r="G243" s="5">
        <v>39</v>
      </c>
      <c r="H243" s="2" t="s">
        <v>29</v>
      </c>
      <c r="I243" s="2" t="s">
        <v>60</v>
      </c>
      <c r="J243" s="2" t="s">
        <v>52</v>
      </c>
      <c r="K243" s="2" t="s">
        <v>18</v>
      </c>
    </row>
    <row r="244" spans="1:11" x14ac:dyDescent="0.3">
      <c r="A244" s="2" t="s">
        <v>462</v>
      </c>
      <c r="B244" s="2" t="s">
        <v>327</v>
      </c>
      <c r="C244" s="3">
        <v>45905.472916666673</v>
      </c>
      <c r="D244" s="2" t="s">
        <v>28</v>
      </c>
      <c r="E244" s="4">
        <v>23346.97</v>
      </c>
      <c r="F244" s="2" t="s">
        <v>14</v>
      </c>
      <c r="G244" s="5">
        <v>48</v>
      </c>
      <c r="H244" s="2" t="s">
        <v>15</v>
      </c>
      <c r="I244" s="2" t="s">
        <v>34</v>
      </c>
      <c r="J244" s="2" t="s">
        <v>17</v>
      </c>
      <c r="K244" s="2" t="s">
        <v>18</v>
      </c>
    </row>
    <row r="245" spans="1:11" x14ac:dyDescent="0.3">
      <c r="A245" s="2" t="s">
        <v>463</v>
      </c>
      <c r="B245" s="2" t="s">
        <v>464</v>
      </c>
      <c r="C245" s="3">
        <v>45940.724999999999</v>
      </c>
      <c r="D245" s="2" t="s">
        <v>28</v>
      </c>
      <c r="E245" s="4">
        <v>56891.94</v>
      </c>
      <c r="F245" s="2" t="s">
        <v>14</v>
      </c>
      <c r="G245" s="5">
        <v>35</v>
      </c>
      <c r="H245" s="2" t="s">
        <v>29</v>
      </c>
      <c r="I245" s="2" t="s">
        <v>34</v>
      </c>
      <c r="J245" s="2" t="s">
        <v>44</v>
      </c>
      <c r="K245" s="2" t="s">
        <v>18</v>
      </c>
    </row>
    <row r="246" spans="1:11" x14ac:dyDescent="0.3">
      <c r="A246" s="2" t="s">
        <v>465</v>
      </c>
      <c r="B246" s="2" t="s">
        <v>84</v>
      </c>
      <c r="C246" s="3">
        <v>45891.454861111109</v>
      </c>
      <c r="D246" s="2" t="s">
        <v>28</v>
      </c>
      <c r="E246" s="4">
        <v>18839.78</v>
      </c>
      <c r="F246" s="2" t="s">
        <v>14</v>
      </c>
      <c r="G246" s="5">
        <v>33</v>
      </c>
      <c r="H246" s="2" t="s">
        <v>15</v>
      </c>
      <c r="I246" s="2" t="s">
        <v>34</v>
      </c>
      <c r="J246" s="2" t="s">
        <v>17</v>
      </c>
      <c r="K246" s="2" t="s">
        <v>35</v>
      </c>
    </row>
    <row r="247" spans="1:11" x14ac:dyDescent="0.3">
      <c r="A247" s="2" t="s">
        <v>466</v>
      </c>
      <c r="B247" s="2" t="s">
        <v>67</v>
      </c>
      <c r="C247" s="3">
        <v>45754.927083333343</v>
      </c>
      <c r="D247" s="2" t="s">
        <v>13</v>
      </c>
      <c r="E247" s="4">
        <v>209.13</v>
      </c>
      <c r="F247" s="2" t="s">
        <v>14</v>
      </c>
      <c r="G247" s="5">
        <v>29</v>
      </c>
      <c r="H247" s="2" t="s">
        <v>15</v>
      </c>
      <c r="I247" s="2" t="s">
        <v>34</v>
      </c>
      <c r="J247" s="2" t="s">
        <v>44</v>
      </c>
      <c r="K247" s="2" t="s">
        <v>18</v>
      </c>
    </row>
    <row r="248" spans="1:11" x14ac:dyDescent="0.3">
      <c r="A248" s="2" t="s">
        <v>467</v>
      </c>
      <c r="B248" s="2" t="s">
        <v>468</v>
      </c>
      <c r="C248" s="3">
        <v>45950.509722222218</v>
      </c>
      <c r="D248" s="2" t="s">
        <v>38</v>
      </c>
      <c r="E248" s="4">
        <v>1951.04</v>
      </c>
      <c r="F248" s="2" t="s">
        <v>14</v>
      </c>
      <c r="G248" s="5">
        <v>50</v>
      </c>
      <c r="H248" s="2" t="s">
        <v>29</v>
      </c>
      <c r="I248" s="2" t="s">
        <v>25</v>
      </c>
      <c r="J248" s="2" t="s">
        <v>17</v>
      </c>
      <c r="K248" s="2" t="s">
        <v>18</v>
      </c>
    </row>
    <row r="249" spans="1:11" x14ac:dyDescent="0.3">
      <c r="A249" s="2" t="s">
        <v>469</v>
      </c>
      <c r="B249" s="2" t="s">
        <v>165</v>
      </c>
      <c r="C249" s="3">
        <v>45868.055555555547</v>
      </c>
      <c r="D249" s="2" t="s">
        <v>33</v>
      </c>
      <c r="E249" s="4">
        <v>6449.5</v>
      </c>
      <c r="F249" s="2" t="s">
        <v>14</v>
      </c>
      <c r="G249" s="5">
        <v>31</v>
      </c>
      <c r="H249" s="2" t="s">
        <v>29</v>
      </c>
      <c r="I249" s="2" t="s">
        <v>30</v>
      </c>
      <c r="J249" s="2" t="s">
        <v>52</v>
      </c>
      <c r="K249" s="2" t="s">
        <v>35</v>
      </c>
    </row>
    <row r="250" spans="1:11" x14ac:dyDescent="0.3">
      <c r="A250" s="2" t="s">
        <v>470</v>
      </c>
      <c r="B250" s="2" t="s">
        <v>370</v>
      </c>
      <c r="C250" s="3">
        <v>45900.956944444442</v>
      </c>
      <c r="D250" s="2" t="s">
        <v>33</v>
      </c>
      <c r="E250" s="4">
        <v>4262.88</v>
      </c>
      <c r="F250" s="2" t="s">
        <v>14</v>
      </c>
      <c r="G250" s="5">
        <v>35</v>
      </c>
      <c r="H250" s="2" t="s">
        <v>15</v>
      </c>
      <c r="I250" s="2" t="s">
        <v>34</v>
      </c>
      <c r="J250" s="2" t="s">
        <v>49</v>
      </c>
      <c r="K250" s="2" t="s">
        <v>45</v>
      </c>
    </row>
    <row r="251" spans="1:11" x14ac:dyDescent="0.3">
      <c r="A251" s="2" t="s">
        <v>471</v>
      </c>
      <c r="B251" s="2" t="s">
        <v>169</v>
      </c>
      <c r="C251" s="3">
        <v>45853.529166666667</v>
      </c>
      <c r="D251" s="2" t="s">
        <v>38</v>
      </c>
      <c r="E251" s="4">
        <v>5410.64</v>
      </c>
      <c r="F251" s="2" t="s">
        <v>14</v>
      </c>
      <c r="G251" s="5">
        <v>33</v>
      </c>
      <c r="H251" s="2" t="s">
        <v>29</v>
      </c>
      <c r="I251" s="2" t="s">
        <v>34</v>
      </c>
      <c r="J251" s="2" t="s">
        <v>17</v>
      </c>
      <c r="K251" s="2" t="s">
        <v>18</v>
      </c>
    </row>
    <row r="252" spans="1:11" x14ac:dyDescent="0.3">
      <c r="A252" s="2" t="s">
        <v>472</v>
      </c>
      <c r="B252" s="2" t="s">
        <v>207</v>
      </c>
      <c r="C252" s="3">
        <v>45991.188194444447</v>
      </c>
      <c r="D252" s="2" t="s">
        <v>38</v>
      </c>
      <c r="E252" s="4">
        <v>32940.9</v>
      </c>
      <c r="F252" s="2" t="s">
        <v>57</v>
      </c>
      <c r="G252" s="5">
        <v>33</v>
      </c>
      <c r="H252" s="2" t="s">
        <v>15</v>
      </c>
      <c r="I252" s="2" t="s">
        <v>34</v>
      </c>
      <c r="J252" s="2" t="s">
        <v>49</v>
      </c>
      <c r="K252" s="2" t="s">
        <v>18</v>
      </c>
    </row>
    <row r="253" spans="1:11" x14ac:dyDescent="0.3">
      <c r="A253" s="2" t="s">
        <v>473</v>
      </c>
      <c r="B253" s="2" t="s">
        <v>161</v>
      </c>
      <c r="C253" s="3">
        <v>45676.188888888893</v>
      </c>
      <c r="D253" s="2" t="s">
        <v>28</v>
      </c>
      <c r="E253" s="4">
        <v>71032.56</v>
      </c>
      <c r="F253" s="2" t="s">
        <v>14</v>
      </c>
      <c r="G253" s="5">
        <v>39</v>
      </c>
      <c r="H253" s="2" t="s">
        <v>15</v>
      </c>
      <c r="I253" s="2" t="s">
        <v>34</v>
      </c>
      <c r="J253" s="2" t="s">
        <v>44</v>
      </c>
      <c r="K253" s="2" t="s">
        <v>18</v>
      </c>
    </row>
    <row r="254" spans="1:11" x14ac:dyDescent="0.3">
      <c r="A254" s="2" t="s">
        <v>474</v>
      </c>
      <c r="B254" s="2" t="s">
        <v>217</v>
      </c>
      <c r="C254" s="3">
        <v>45960.454861111109</v>
      </c>
      <c r="D254" s="2" t="s">
        <v>28</v>
      </c>
      <c r="E254" s="4">
        <v>21079.72</v>
      </c>
      <c r="F254" s="2" t="s">
        <v>57</v>
      </c>
      <c r="G254" s="5">
        <v>57</v>
      </c>
      <c r="H254" s="2" t="s">
        <v>15</v>
      </c>
      <c r="I254" s="2" t="s">
        <v>34</v>
      </c>
      <c r="J254" s="2" t="s">
        <v>44</v>
      </c>
      <c r="K254" s="2" t="s">
        <v>18</v>
      </c>
    </row>
    <row r="255" spans="1:11" x14ac:dyDescent="0.3">
      <c r="A255" s="2" t="s">
        <v>475</v>
      </c>
      <c r="B255" s="2" t="s">
        <v>476</v>
      </c>
      <c r="C255" s="3">
        <v>45709.587500000001</v>
      </c>
      <c r="D255" s="2" t="s">
        <v>28</v>
      </c>
      <c r="E255" s="4">
        <v>22688.49</v>
      </c>
      <c r="F255" s="2" t="s">
        <v>14</v>
      </c>
      <c r="G255" s="5">
        <v>27</v>
      </c>
      <c r="H255" s="2" t="s">
        <v>29</v>
      </c>
      <c r="I255" s="2" t="s">
        <v>21</v>
      </c>
      <c r="J255" s="2" t="s">
        <v>17</v>
      </c>
      <c r="K255" s="2" t="s">
        <v>18</v>
      </c>
    </row>
    <row r="256" spans="1:11" x14ac:dyDescent="0.3">
      <c r="A256" s="2" t="s">
        <v>477</v>
      </c>
      <c r="B256" s="2" t="s">
        <v>181</v>
      </c>
      <c r="C256" s="3">
        <v>45927.583333333343</v>
      </c>
      <c r="D256" s="2" t="s">
        <v>28</v>
      </c>
      <c r="E256" s="4">
        <v>54716.07</v>
      </c>
      <c r="F256" s="2" t="s">
        <v>14</v>
      </c>
      <c r="G256" s="5">
        <v>34</v>
      </c>
      <c r="H256" s="2" t="s">
        <v>15</v>
      </c>
      <c r="I256" s="2" t="s">
        <v>48</v>
      </c>
      <c r="J256" s="2" t="s">
        <v>17</v>
      </c>
      <c r="K256" s="2" t="s">
        <v>35</v>
      </c>
    </row>
    <row r="257" spans="1:11" x14ac:dyDescent="0.3">
      <c r="A257" s="2" t="s">
        <v>478</v>
      </c>
      <c r="B257" s="2" t="s">
        <v>431</v>
      </c>
      <c r="C257" s="3">
        <v>45731.579861111109</v>
      </c>
      <c r="D257" s="2" t="s">
        <v>33</v>
      </c>
      <c r="E257" s="4">
        <v>645.41</v>
      </c>
      <c r="F257" s="2" t="s">
        <v>14</v>
      </c>
      <c r="G257" s="5">
        <v>51</v>
      </c>
      <c r="H257" s="2" t="s">
        <v>15</v>
      </c>
      <c r="I257" s="2" t="s">
        <v>21</v>
      </c>
      <c r="J257" s="2" t="s">
        <v>49</v>
      </c>
      <c r="K257" s="2" t="s">
        <v>35</v>
      </c>
    </row>
    <row r="258" spans="1:11" x14ac:dyDescent="0.3">
      <c r="A258" s="2" t="s">
        <v>479</v>
      </c>
      <c r="B258" s="2" t="s">
        <v>268</v>
      </c>
      <c r="C258" s="3">
        <v>45993.169444444437</v>
      </c>
      <c r="D258" s="2" t="s">
        <v>13</v>
      </c>
      <c r="E258" s="4">
        <v>2735.62</v>
      </c>
      <c r="F258" s="2" t="s">
        <v>14</v>
      </c>
      <c r="G258" s="5">
        <v>36</v>
      </c>
      <c r="H258" s="2" t="s">
        <v>29</v>
      </c>
      <c r="I258" s="2" t="s">
        <v>25</v>
      </c>
      <c r="J258" s="2" t="s">
        <v>17</v>
      </c>
      <c r="K258" s="2" t="s">
        <v>18</v>
      </c>
    </row>
    <row r="259" spans="1:11" x14ac:dyDescent="0.3">
      <c r="A259" s="2" t="s">
        <v>480</v>
      </c>
      <c r="B259" s="2" t="s">
        <v>481</v>
      </c>
      <c r="C259" s="3">
        <v>45898.347916666673</v>
      </c>
      <c r="D259" s="2" t="s">
        <v>13</v>
      </c>
      <c r="E259" s="4">
        <v>509.87</v>
      </c>
      <c r="F259" s="2" t="s">
        <v>14</v>
      </c>
      <c r="G259" s="5">
        <v>28</v>
      </c>
      <c r="H259" s="2" t="s">
        <v>15</v>
      </c>
      <c r="I259" s="2" t="s">
        <v>60</v>
      </c>
      <c r="J259" s="2" t="s">
        <v>17</v>
      </c>
      <c r="K259" s="2" t="s">
        <v>45</v>
      </c>
    </row>
    <row r="260" spans="1:11" x14ac:dyDescent="0.3">
      <c r="A260" s="2" t="s">
        <v>482</v>
      </c>
      <c r="B260" s="2" t="s">
        <v>483</v>
      </c>
      <c r="C260" s="3">
        <v>45977.934027777781</v>
      </c>
      <c r="D260" s="2" t="s">
        <v>28</v>
      </c>
      <c r="E260" s="4">
        <v>44260.88</v>
      </c>
      <c r="F260" s="2" t="s">
        <v>14</v>
      </c>
      <c r="G260" s="5">
        <v>26</v>
      </c>
      <c r="H260" s="2" t="s">
        <v>15</v>
      </c>
      <c r="I260" s="2" t="s">
        <v>16</v>
      </c>
      <c r="J260" s="2" t="s">
        <v>52</v>
      </c>
      <c r="K260" s="2" t="s">
        <v>45</v>
      </c>
    </row>
    <row r="261" spans="1:11" x14ac:dyDescent="0.3">
      <c r="A261" s="2" t="s">
        <v>484</v>
      </c>
      <c r="B261" s="2" t="s">
        <v>485</v>
      </c>
      <c r="C261" s="3">
        <v>45990.120833333327</v>
      </c>
      <c r="D261" s="2" t="s">
        <v>28</v>
      </c>
      <c r="E261" s="4">
        <v>8410.09</v>
      </c>
      <c r="F261" s="2" t="s">
        <v>14</v>
      </c>
      <c r="G261" s="5">
        <v>20</v>
      </c>
      <c r="H261" s="2" t="s">
        <v>15</v>
      </c>
      <c r="I261" s="2" t="s">
        <v>60</v>
      </c>
      <c r="J261" s="2" t="s">
        <v>17</v>
      </c>
      <c r="K261" s="2" t="s">
        <v>18</v>
      </c>
    </row>
    <row r="262" spans="1:11" x14ac:dyDescent="0.3">
      <c r="A262" s="2" t="s">
        <v>486</v>
      </c>
      <c r="B262" s="2" t="s">
        <v>435</v>
      </c>
      <c r="C262" s="3">
        <v>45826.912499999999</v>
      </c>
      <c r="D262" s="2" t="s">
        <v>13</v>
      </c>
      <c r="E262" s="4">
        <v>651.21</v>
      </c>
      <c r="F262" s="2" t="s">
        <v>14</v>
      </c>
      <c r="G262" s="5">
        <v>30</v>
      </c>
      <c r="H262" s="2" t="s">
        <v>15</v>
      </c>
      <c r="I262" s="2" t="s">
        <v>48</v>
      </c>
      <c r="J262" s="2" t="s">
        <v>44</v>
      </c>
      <c r="K262" s="2" t="s">
        <v>18</v>
      </c>
    </row>
    <row r="263" spans="1:11" x14ac:dyDescent="0.3">
      <c r="A263" s="2" t="s">
        <v>487</v>
      </c>
      <c r="B263" s="2" t="s">
        <v>130</v>
      </c>
      <c r="C263" s="3">
        <v>45931.513888888891</v>
      </c>
      <c r="D263" s="2" t="s">
        <v>33</v>
      </c>
      <c r="E263" s="4">
        <v>1612.59</v>
      </c>
      <c r="F263" s="2" t="s">
        <v>14</v>
      </c>
      <c r="G263" s="5">
        <v>38</v>
      </c>
      <c r="H263" s="2" t="s">
        <v>29</v>
      </c>
      <c r="I263" s="2" t="s">
        <v>48</v>
      </c>
      <c r="J263" s="2" t="s">
        <v>17</v>
      </c>
      <c r="K263" s="2" t="s">
        <v>18</v>
      </c>
    </row>
    <row r="264" spans="1:11" x14ac:dyDescent="0.3">
      <c r="A264" s="2" t="s">
        <v>488</v>
      </c>
      <c r="B264" s="2" t="s">
        <v>489</v>
      </c>
      <c r="C264" s="3">
        <v>45978.955555555563</v>
      </c>
      <c r="D264" s="2" t="s">
        <v>28</v>
      </c>
      <c r="E264" s="4">
        <v>13107.34</v>
      </c>
      <c r="F264" s="2" t="s">
        <v>14</v>
      </c>
      <c r="G264" s="5">
        <v>28</v>
      </c>
      <c r="H264" s="2" t="s">
        <v>15</v>
      </c>
      <c r="I264" s="2" t="s">
        <v>30</v>
      </c>
      <c r="J264" s="2" t="s">
        <v>17</v>
      </c>
      <c r="K264" s="2" t="s">
        <v>35</v>
      </c>
    </row>
    <row r="265" spans="1:11" x14ac:dyDescent="0.3">
      <c r="A265" s="2" t="s">
        <v>490</v>
      </c>
      <c r="B265" s="2" t="s">
        <v>286</v>
      </c>
      <c r="C265" s="3">
        <v>45907.709722222222</v>
      </c>
      <c r="D265" s="2" t="s">
        <v>28</v>
      </c>
      <c r="E265" s="4">
        <v>6750.67</v>
      </c>
      <c r="F265" s="2" t="s">
        <v>14</v>
      </c>
      <c r="G265" s="5">
        <v>60</v>
      </c>
      <c r="H265" s="2" t="s">
        <v>29</v>
      </c>
      <c r="I265" s="2" t="s">
        <v>21</v>
      </c>
      <c r="J265" s="2" t="s">
        <v>17</v>
      </c>
      <c r="K265" s="2" t="s">
        <v>18</v>
      </c>
    </row>
    <row r="266" spans="1:11" x14ac:dyDescent="0.3">
      <c r="A266" s="2" t="s">
        <v>491</v>
      </c>
      <c r="B266" s="2" t="s">
        <v>492</v>
      </c>
      <c r="C266" s="3">
        <v>45974.09375</v>
      </c>
      <c r="D266" s="2" t="s">
        <v>33</v>
      </c>
      <c r="E266" s="4">
        <v>1004.79</v>
      </c>
      <c r="F266" s="2" t="s">
        <v>14</v>
      </c>
      <c r="G266" s="5">
        <v>41</v>
      </c>
      <c r="H266" s="2" t="s">
        <v>29</v>
      </c>
      <c r="I266" s="2" t="s">
        <v>48</v>
      </c>
      <c r="J266" s="2" t="s">
        <v>17</v>
      </c>
      <c r="K266" s="2" t="s">
        <v>18</v>
      </c>
    </row>
    <row r="267" spans="1:11" x14ac:dyDescent="0.3">
      <c r="A267" s="2" t="s">
        <v>493</v>
      </c>
      <c r="B267" s="2" t="s">
        <v>494</v>
      </c>
      <c r="C267" s="3">
        <v>45981.915277777778</v>
      </c>
      <c r="D267" s="2" t="s">
        <v>28</v>
      </c>
      <c r="E267" s="4">
        <v>106330.44</v>
      </c>
      <c r="F267" s="2" t="s">
        <v>14</v>
      </c>
      <c r="G267" s="5">
        <v>42</v>
      </c>
      <c r="H267" s="2" t="s">
        <v>29</v>
      </c>
      <c r="I267" s="2" t="s">
        <v>34</v>
      </c>
      <c r="J267" s="2" t="s">
        <v>17</v>
      </c>
      <c r="K267" s="2" t="s">
        <v>35</v>
      </c>
    </row>
    <row r="268" spans="1:11" x14ac:dyDescent="0.3">
      <c r="A268" s="2" t="s">
        <v>495</v>
      </c>
      <c r="B268" s="2" t="s">
        <v>270</v>
      </c>
      <c r="C268" s="3">
        <v>45805.324305555558</v>
      </c>
      <c r="D268" s="2" t="s">
        <v>13</v>
      </c>
      <c r="E268" s="4">
        <v>1791.85</v>
      </c>
      <c r="F268" s="2" t="s">
        <v>57</v>
      </c>
      <c r="G268" s="5">
        <v>50</v>
      </c>
      <c r="H268" s="2" t="s">
        <v>29</v>
      </c>
      <c r="I268" s="2" t="s">
        <v>95</v>
      </c>
      <c r="J268" s="2" t="s">
        <v>49</v>
      </c>
      <c r="K268" s="2" t="s">
        <v>35</v>
      </c>
    </row>
    <row r="269" spans="1:11" x14ac:dyDescent="0.3">
      <c r="A269" s="2" t="s">
        <v>496</v>
      </c>
      <c r="B269" s="2" t="s">
        <v>497</v>
      </c>
      <c r="C269" s="3">
        <v>45704.54583333333</v>
      </c>
      <c r="D269" s="2" t="s">
        <v>28</v>
      </c>
      <c r="E269" s="4">
        <v>29981.759999999998</v>
      </c>
      <c r="F269" s="2" t="s">
        <v>14</v>
      </c>
      <c r="G269" s="5">
        <v>34</v>
      </c>
      <c r="H269" s="2" t="s">
        <v>15</v>
      </c>
      <c r="I269" s="2" t="s">
        <v>21</v>
      </c>
      <c r="J269" s="2" t="s">
        <v>17</v>
      </c>
      <c r="K269" s="2" t="s">
        <v>18</v>
      </c>
    </row>
    <row r="270" spans="1:11" x14ac:dyDescent="0.3">
      <c r="A270" s="2" t="s">
        <v>498</v>
      </c>
      <c r="B270" s="2" t="s">
        <v>266</v>
      </c>
      <c r="C270" s="3">
        <v>45982.954861111109</v>
      </c>
      <c r="D270" s="2" t="s">
        <v>28</v>
      </c>
      <c r="E270" s="4">
        <v>59984.69</v>
      </c>
      <c r="F270" s="2" t="s">
        <v>57</v>
      </c>
      <c r="G270" s="5">
        <v>47</v>
      </c>
      <c r="H270" s="2" t="s">
        <v>29</v>
      </c>
      <c r="I270" s="2" t="s">
        <v>95</v>
      </c>
      <c r="J270" s="2" t="s">
        <v>44</v>
      </c>
      <c r="K270" s="2" t="s">
        <v>18</v>
      </c>
    </row>
    <row r="271" spans="1:11" x14ac:dyDescent="0.3">
      <c r="A271" s="2" t="s">
        <v>499</v>
      </c>
      <c r="B271" s="2" t="s">
        <v>500</v>
      </c>
      <c r="C271" s="3">
        <v>45709.590277777781</v>
      </c>
      <c r="D271" s="2" t="s">
        <v>28</v>
      </c>
      <c r="E271" s="4">
        <v>7573.27</v>
      </c>
      <c r="F271" s="2" t="s">
        <v>14</v>
      </c>
      <c r="G271" s="5">
        <v>27</v>
      </c>
      <c r="H271" s="2" t="s">
        <v>15</v>
      </c>
      <c r="I271" s="2" t="s">
        <v>60</v>
      </c>
      <c r="J271" s="2" t="s">
        <v>44</v>
      </c>
      <c r="K271" s="2" t="s">
        <v>18</v>
      </c>
    </row>
    <row r="272" spans="1:11" x14ac:dyDescent="0.3">
      <c r="A272" s="2" t="s">
        <v>501</v>
      </c>
      <c r="B272" s="2" t="s">
        <v>502</v>
      </c>
      <c r="C272" s="3">
        <v>46013.414583333331</v>
      </c>
      <c r="D272" s="2" t="s">
        <v>13</v>
      </c>
      <c r="E272" s="4">
        <v>469.76</v>
      </c>
      <c r="F272" s="2" t="s">
        <v>14</v>
      </c>
      <c r="G272" s="5">
        <v>26</v>
      </c>
      <c r="H272" s="2" t="s">
        <v>29</v>
      </c>
      <c r="I272" s="2" t="s">
        <v>95</v>
      </c>
      <c r="J272" s="2" t="s">
        <v>17</v>
      </c>
      <c r="K272" s="2" t="s">
        <v>18</v>
      </c>
    </row>
    <row r="273" spans="1:11" x14ac:dyDescent="0.3">
      <c r="A273" s="2" t="s">
        <v>503</v>
      </c>
      <c r="B273" s="2" t="s">
        <v>327</v>
      </c>
      <c r="C273" s="3">
        <v>45672.055555555547</v>
      </c>
      <c r="D273" s="2" t="s">
        <v>13</v>
      </c>
      <c r="E273" s="4">
        <v>2944.92</v>
      </c>
      <c r="F273" s="2" t="s">
        <v>14</v>
      </c>
      <c r="G273" s="5">
        <v>48</v>
      </c>
      <c r="H273" s="2" t="s">
        <v>15</v>
      </c>
      <c r="I273" s="2" t="s">
        <v>34</v>
      </c>
      <c r="J273" s="2" t="s">
        <v>17</v>
      </c>
      <c r="K273" s="2" t="s">
        <v>22</v>
      </c>
    </row>
    <row r="274" spans="1:11" x14ac:dyDescent="0.3">
      <c r="A274" s="2" t="s">
        <v>504</v>
      </c>
      <c r="B274" s="2" t="s">
        <v>505</v>
      </c>
      <c r="C274" s="3">
        <v>45686.390277777777</v>
      </c>
      <c r="D274" s="2" t="s">
        <v>33</v>
      </c>
      <c r="E274" s="4">
        <v>15655.52</v>
      </c>
      <c r="F274" s="2" t="s">
        <v>14</v>
      </c>
      <c r="G274" s="5">
        <v>26</v>
      </c>
      <c r="H274" s="2" t="s">
        <v>15</v>
      </c>
      <c r="I274" s="2" t="s">
        <v>34</v>
      </c>
      <c r="J274" s="2" t="s">
        <v>17</v>
      </c>
      <c r="K274" s="2" t="s">
        <v>45</v>
      </c>
    </row>
    <row r="275" spans="1:11" x14ac:dyDescent="0.3">
      <c r="A275" s="2" t="s">
        <v>506</v>
      </c>
      <c r="B275" s="2" t="s">
        <v>221</v>
      </c>
      <c r="C275" s="3">
        <v>45849.54791666667</v>
      </c>
      <c r="D275" s="2" t="s">
        <v>13</v>
      </c>
      <c r="E275" s="4">
        <v>207.04</v>
      </c>
      <c r="F275" s="2" t="s">
        <v>57</v>
      </c>
      <c r="G275" s="5">
        <v>43</v>
      </c>
      <c r="H275" s="2" t="s">
        <v>15</v>
      </c>
      <c r="I275" s="2" t="s">
        <v>60</v>
      </c>
      <c r="J275" s="2" t="s">
        <v>49</v>
      </c>
      <c r="K275" s="2" t="s">
        <v>45</v>
      </c>
    </row>
    <row r="276" spans="1:11" x14ac:dyDescent="0.3">
      <c r="A276" s="2" t="s">
        <v>507</v>
      </c>
      <c r="B276" s="2" t="s">
        <v>130</v>
      </c>
      <c r="C276" s="3">
        <v>45783.68472222222</v>
      </c>
      <c r="D276" s="2" t="s">
        <v>38</v>
      </c>
      <c r="E276" s="4">
        <v>690.49</v>
      </c>
      <c r="F276" s="2" t="s">
        <v>14</v>
      </c>
      <c r="G276" s="5">
        <v>38</v>
      </c>
      <c r="H276" s="2" t="s">
        <v>29</v>
      </c>
      <c r="I276" s="2" t="s">
        <v>48</v>
      </c>
      <c r="J276" s="2" t="s">
        <v>17</v>
      </c>
      <c r="K276" s="2" t="s">
        <v>45</v>
      </c>
    </row>
    <row r="277" spans="1:11" x14ac:dyDescent="0.3">
      <c r="A277" s="2" t="s">
        <v>508</v>
      </c>
      <c r="B277" s="2" t="s">
        <v>509</v>
      </c>
      <c r="C277" s="3">
        <v>45947.909722222219</v>
      </c>
      <c r="D277" s="2" t="s">
        <v>38</v>
      </c>
      <c r="E277" s="4">
        <v>4247.3999999999996</v>
      </c>
      <c r="F277" s="2" t="s">
        <v>14</v>
      </c>
      <c r="G277" s="5">
        <v>29</v>
      </c>
      <c r="H277" s="2" t="s">
        <v>15</v>
      </c>
      <c r="I277" s="2" t="s">
        <v>34</v>
      </c>
      <c r="J277" s="2" t="s">
        <v>49</v>
      </c>
      <c r="K277" s="2" t="s">
        <v>45</v>
      </c>
    </row>
    <row r="278" spans="1:11" x14ac:dyDescent="0.3">
      <c r="A278" s="2" t="s">
        <v>510</v>
      </c>
      <c r="B278" s="2" t="s">
        <v>511</v>
      </c>
      <c r="C278" s="3">
        <v>45750.21597222222</v>
      </c>
      <c r="D278" s="2" t="s">
        <v>28</v>
      </c>
      <c r="E278" s="4">
        <v>19542.169999999998</v>
      </c>
      <c r="F278" s="2" t="s">
        <v>14</v>
      </c>
      <c r="G278" s="5">
        <v>23</v>
      </c>
      <c r="H278" s="2" t="s">
        <v>29</v>
      </c>
      <c r="I278" s="2" t="s">
        <v>16</v>
      </c>
      <c r="J278" s="2" t="s">
        <v>49</v>
      </c>
      <c r="K278" s="2" t="s">
        <v>18</v>
      </c>
    </row>
    <row r="279" spans="1:11" x14ac:dyDescent="0.3">
      <c r="A279" s="2" t="s">
        <v>512</v>
      </c>
      <c r="B279" s="2" t="s">
        <v>513</v>
      </c>
      <c r="C279" s="3">
        <v>45698.829861111109</v>
      </c>
      <c r="D279" s="2" t="s">
        <v>13</v>
      </c>
      <c r="E279" s="4">
        <v>923.52</v>
      </c>
      <c r="F279" s="2" t="s">
        <v>57</v>
      </c>
      <c r="G279" s="5">
        <v>42</v>
      </c>
      <c r="H279" s="2" t="s">
        <v>29</v>
      </c>
      <c r="I279" s="2" t="s">
        <v>95</v>
      </c>
      <c r="J279" s="2" t="s">
        <v>44</v>
      </c>
      <c r="K279" s="2" t="s">
        <v>45</v>
      </c>
    </row>
    <row r="280" spans="1:11" x14ac:dyDescent="0.3">
      <c r="A280" s="2" t="s">
        <v>514</v>
      </c>
      <c r="B280" s="2" t="s">
        <v>393</v>
      </c>
      <c r="C280" s="3">
        <v>45853.821527777778</v>
      </c>
      <c r="D280" s="2" t="s">
        <v>13</v>
      </c>
      <c r="E280" s="4">
        <v>4312.3500000000004</v>
      </c>
      <c r="F280" s="2" t="s">
        <v>14</v>
      </c>
      <c r="G280" s="5">
        <v>52</v>
      </c>
      <c r="H280" s="2" t="s">
        <v>29</v>
      </c>
      <c r="I280" s="2" t="s">
        <v>48</v>
      </c>
      <c r="J280" s="2" t="s">
        <v>49</v>
      </c>
      <c r="K280" s="2" t="s">
        <v>18</v>
      </c>
    </row>
    <row r="281" spans="1:11" x14ac:dyDescent="0.3">
      <c r="A281" s="2" t="s">
        <v>515</v>
      </c>
      <c r="B281" s="2" t="s">
        <v>51</v>
      </c>
      <c r="C281" s="3">
        <v>45781.665277777778</v>
      </c>
      <c r="D281" s="2" t="s">
        <v>13</v>
      </c>
      <c r="E281" s="4">
        <v>900.67</v>
      </c>
      <c r="F281" s="2" t="s">
        <v>14</v>
      </c>
      <c r="G281" s="5">
        <v>30</v>
      </c>
      <c r="H281" s="2" t="s">
        <v>29</v>
      </c>
      <c r="I281" s="2" t="s">
        <v>48</v>
      </c>
      <c r="J281" s="2" t="s">
        <v>52</v>
      </c>
      <c r="K281" s="2" t="s">
        <v>45</v>
      </c>
    </row>
    <row r="282" spans="1:11" x14ac:dyDescent="0.3">
      <c r="A282" s="2" t="s">
        <v>516</v>
      </c>
      <c r="B282" s="2" t="s">
        <v>517</v>
      </c>
      <c r="C282" s="3">
        <v>45956.176388888889</v>
      </c>
      <c r="D282" s="2" t="s">
        <v>154</v>
      </c>
      <c r="E282" s="4">
        <v>10000</v>
      </c>
      <c r="F282" s="2" t="s">
        <v>14</v>
      </c>
      <c r="G282" s="5">
        <v>34</v>
      </c>
      <c r="H282" s="2" t="s">
        <v>15</v>
      </c>
      <c r="I282" s="2" t="s">
        <v>48</v>
      </c>
      <c r="J282" s="2" t="s">
        <v>17</v>
      </c>
      <c r="K282" s="2" t="s">
        <v>45</v>
      </c>
    </row>
    <row r="283" spans="1:11" x14ac:dyDescent="0.3">
      <c r="A283" s="2" t="s">
        <v>518</v>
      </c>
      <c r="B283" s="2" t="s">
        <v>69</v>
      </c>
      <c r="C283" s="3">
        <v>45894.844444444447</v>
      </c>
      <c r="D283" s="2" t="s">
        <v>28</v>
      </c>
      <c r="E283" s="4">
        <v>5370.82</v>
      </c>
      <c r="F283" s="2" t="s">
        <v>14</v>
      </c>
      <c r="G283" s="5">
        <v>42</v>
      </c>
      <c r="H283" s="2" t="s">
        <v>15</v>
      </c>
      <c r="I283" s="2" t="s">
        <v>34</v>
      </c>
      <c r="J283" s="2" t="s">
        <v>44</v>
      </c>
      <c r="K283" s="2" t="s">
        <v>18</v>
      </c>
    </row>
    <row r="284" spans="1:11" x14ac:dyDescent="0.3">
      <c r="A284" s="2" t="s">
        <v>519</v>
      </c>
      <c r="B284" s="2" t="s">
        <v>105</v>
      </c>
      <c r="C284" s="3">
        <v>45893.362500000003</v>
      </c>
      <c r="D284" s="2" t="s">
        <v>28</v>
      </c>
      <c r="E284" s="4">
        <v>1755.85</v>
      </c>
      <c r="F284" s="2" t="s">
        <v>14</v>
      </c>
      <c r="G284" s="5">
        <v>42</v>
      </c>
      <c r="H284" s="2" t="s">
        <v>15</v>
      </c>
      <c r="I284" s="2" t="s">
        <v>34</v>
      </c>
      <c r="J284" s="2" t="s">
        <v>49</v>
      </c>
      <c r="K284" s="2" t="s">
        <v>18</v>
      </c>
    </row>
    <row r="285" spans="1:11" x14ac:dyDescent="0.3">
      <c r="A285" s="2" t="s">
        <v>520</v>
      </c>
      <c r="B285" s="2" t="s">
        <v>521</v>
      </c>
      <c r="C285" s="3">
        <v>45662.622916666667</v>
      </c>
      <c r="D285" s="2" t="s">
        <v>13</v>
      </c>
      <c r="E285" s="4">
        <v>3172.74</v>
      </c>
      <c r="F285" s="2" t="s">
        <v>57</v>
      </c>
      <c r="G285" s="5">
        <v>30</v>
      </c>
      <c r="H285" s="2" t="s">
        <v>29</v>
      </c>
      <c r="I285" s="2" t="s">
        <v>60</v>
      </c>
      <c r="J285" s="2" t="s">
        <v>44</v>
      </c>
      <c r="K285" s="2" t="s">
        <v>18</v>
      </c>
    </row>
    <row r="286" spans="1:11" x14ac:dyDescent="0.3">
      <c r="A286" s="2" t="s">
        <v>522</v>
      </c>
      <c r="B286" s="2" t="s">
        <v>132</v>
      </c>
      <c r="C286" s="3">
        <v>45805.898611111108</v>
      </c>
      <c r="D286" s="2" t="s">
        <v>33</v>
      </c>
      <c r="E286" s="4">
        <v>13421.33</v>
      </c>
      <c r="F286" s="2" t="s">
        <v>14</v>
      </c>
      <c r="G286" s="5">
        <v>20</v>
      </c>
      <c r="H286" s="2" t="s">
        <v>15</v>
      </c>
      <c r="I286" s="2" t="s">
        <v>43</v>
      </c>
      <c r="J286" s="2" t="s">
        <v>17</v>
      </c>
      <c r="K286" s="2" t="s">
        <v>45</v>
      </c>
    </row>
    <row r="287" spans="1:11" x14ac:dyDescent="0.3">
      <c r="A287" s="2" t="s">
        <v>523</v>
      </c>
      <c r="B287" s="2" t="s">
        <v>524</v>
      </c>
      <c r="C287" s="3">
        <v>45738.102777777778</v>
      </c>
      <c r="D287" s="2" t="s">
        <v>13</v>
      </c>
      <c r="E287" s="4">
        <v>1396.08</v>
      </c>
      <c r="F287" s="2" t="s">
        <v>14</v>
      </c>
      <c r="G287" s="5">
        <v>42</v>
      </c>
      <c r="H287" s="2" t="s">
        <v>15</v>
      </c>
      <c r="I287" s="2" t="s">
        <v>34</v>
      </c>
      <c r="J287" s="2" t="s">
        <v>52</v>
      </c>
      <c r="K287" s="2" t="s">
        <v>45</v>
      </c>
    </row>
    <row r="288" spans="1:11" x14ac:dyDescent="0.3">
      <c r="A288" s="2" t="s">
        <v>525</v>
      </c>
      <c r="B288" s="2" t="s">
        <v>194</v>
      </c>
      <c r="C288" s="3">
        <v>45834.763194444437</v>
      </c>
      <c r="D288" s="2" t="s">
        <v>28</v>
      </c>
      <c r="E288" s="4">
        <v>9183.07</v>
      </c>
      <c r="F288" s="2" t="s">
        <v>14</v>
      </c>
      <c r="G288" s="5">
        <v>31</v>
      </c>
      <c r="H288" s="2" t="s">
        <v>29</v>
      </c>
      <c r="I288" s="2" t="s">
        <v>16</v>
      </c>
      <c r="J288" s="2" t="s">
        <v>17</v>
      </c>
      <c r="K288" s="2" t="s">
        <v>18</v>
      </c>
    </row>
    <row r="289" spans="1:11" x14ac:dyDescent="0.3">
      <c r="A289" s="2" t="s">
        <v>526</v>
      </c>
      <c r="B289" s="2" t="s">
        <v>527</v>
      </c>
      <c r="C289" s="3">
        <v>45985.572222222218</v>
      </c>
      <c r="D289" s="2" t="s">
        <v>13</v>
      </c>
      <c r="E289" s="4">
        <v>3200.14</v>
      </c>
      <c r="F289" s="2" t="s">
        <v>14</v>
      </c>
      <c r="G289" s="5">
        <v>31</v>
      </c>
      <c r="H289" s="2" t="s">
        <v>15</v>
      </c>
      <c r="I289" s="2" t="s">
        <v>60</v>
      </c>
      <c r="J289" s="2" t="s">
        <v>17</v>
      </c>
      <c r="K289" s="2" t="s">
        <v>18</v>
      </c>
    </row>
    <row r="290" spans="1:11" x14ac:dyDescent="0.3">
      <c r="A290" s="2" t="s">
        <v>528</v>
      </c>
      <c r="B290" s="2" t="s">
        <v>529</v>
      </c>
      <c r="C290" s="3">
        <v>45786.620833333327</v>
      </c>
      <c r="D290" s="2" t="s">
        <v>33</v>
      </c>
      <c r="E290" s="4">
        <v>8359.36</v>
      </c>
      <c r="F290" s="2" t="s">
        <v>57</v>
      </c>
      <c r="G290" s="5">
        <v>28</v>
      </c>
      <c r="H290" s="2" t="s">
        <v>29</v>
      </c>
      <c r="I290" s="2" t="s">
        <v>34</v>
      </c>
      <c r="J290" s="2" t="s">
        <v>17</v>
      </c>
      <c r="K290" s="2" t="s">
        <v>18</v>
      </c>
    </row>
    <row r="291" spans="1:11" x14ac:dyDescent="0.3">
      <c r="A291" s="2" t="s">
        <v>530</v>
      </c>
      <c r="B291" s="2" t="s">
        <v>293</v>
      </c>
      <c r="C291" s="3">
        <v>45812.26666666667</v>
      </c>
      <c r="D291" s="2" t="s">
        <v>13</v>
      </c>
      <c r="E291" s="4">
        <v>229.84</v>
      </c>
      <c r="F291" s="2" t="s">
        <v>57</v>
      </c>
      <c r="G291" s="5">
        <v>36</v>
      </c>
      <c r="H291" s="2" t="s">
        <v>15</v>
      </c>
      <c r="I291" s="2" t="s">
        <v>34</v>
      </c>
      <c r="J291" s="2" t="s">
        <v>17</v>
      </c>
      <c r="K291" s="2" t="s">
        <v>18</v>
      </c>
    </row>
    <row r="292" spans="1:11" x14ac:dyDescent="0.3">
      <c r="A292" s="2" t="s">
        <v>531</v>
      </c>
      <c r="B292" s="2" t="s">
        <v>532</v>
      </c>
      <c r="C292" s="3">
        <v>45905.135416666657</v>
      </c>
      <c r="D292" s="2" t="s">
        <v>33</v>
      </c>
      <c r="E292" s="4">
        <v>3431.52</v>
      </c>
      <c r="F292" s="2" t="s">
        <v>14</v>
      </c>
      <c r="G292" s="5">
        <v>37</v>
      </c>
      <c r="H292" s="2" t="s">
        <v>15</v>
      </c>
      <c r="I292" s="2" t="s">
        <v>34</v>
      </c>
      <c r="J292" s="2" t="s">
        <v>49</v>
      </c>
      <c r="K292" s="2" t="s">
        <v>22</v>
      </c>
    </row>
    <row r="293" spans="1:11" x14ac:dyDescent="0.3">
      <c r="A293" s="2" t="s">
        <v>533</v>
      </c>
      <c r="B293" s="2" t="s">
        <v>293</v>
      </c>
      <c r="C293" s="3">
        <v>45853.765277777777</v>
      </c>
      <c r="D293" s="2" t="s">
        <v>28</v>
      </c>
      <c r="E293" s="4">
        <v>10180.23</v>
      </c>
      <c r="F293" s="2" t="s">
        <v>14</v>
      </c>
      <c r="G293" s="5">
        <v>36</v>
      </c>
      <c r="H293" s="2" t="s">
        <v>15</v>
      </c>
      <c r="I293" s="2" t="s">
        <v>34</v>
      </c>
      <c r="J293" s="2" t="s">
        <v>17</v>
      </c>
      <c r="K293" s="2" t="s">
        <v>45</v>
      </c>
    </row>
    <row r="294" spans="1:11" x14ac:dyDescent="0.3">
      <c r="A294" s="2" t="s">
        <v>534</v>
      </c>
      <c r="B294" s="2" t="s">
        <v>535</v>
      </c>
      <c r="C294" s="3">
        <v>45952.405555555553</v>
      </c>
      <c r="D294" s="2" t="s">
        <v>33</v>
      </c>
      <c r="E294" s="4">
        <v>5137.4799999999996</v>
      </c>
      <c r="F294" s="2" t="s">
        <v>14</v>
      </c>
      <c r="G294" s="5">
        <v>28</v>
      </c>
      <c r="H294" s="2" t="s">
        <v>15</v>
      </c>
      <c r="I294" s="2" t="s">
        <v>34</v>
      </c>
      <c r="J294" s="2" t="s">
        <v>49</v>
      </c>
      <c r="K294" s="2" t="s">
        <v>18</v>
      </c>
    </row>
    <row r="295" spans="1:11" x14ac:dyDescent="0.3">
      <c r="A295" s="2" t="s">
        <v>536</v>
      </c>
      <c r="B295" s="2" t="s">
        <v>433</v>
      </c>
      <c r="C295" s="3">
        <v>45809.036805555559</v>
      </c>
      <c r="D295" s="2" t="s">
        <v>33</v>
      </c>
      <c r="E295" s="4">
        <v>7367.2</v>
      </c>
      <c r="F295" s="2" t="s">
        <v>14</v>
      </c>
      <c r="G295" s="5">
        <v>25</v>
      </c>
      <c r="H295" s="2" t="s">
        <v>15</v>
      </c>
      <c r="I295" s="2" t="s">
        <v>34</v>
      </c>
      <c r="J295" s="2" t="s">
        <v>49</v>
      </c>
      <c r="K295" s="2" t="s">
        <v>22</v>
      </c>
    </row>
    <row r="296" spans="1:11" x14ac:dyDescent="0.3">
      <c r="A296" s="2" t="s">
        <v>537</v>
      </c>
      <c r="B296" s="2" t="s">
        <v>538</v>
      </c>
      <c r="C296" s="3">
        <v>45995.511805555558</v>
      </c>
      <c r="D296" s="2" t="s">
        <v>28</v>
      </c>
      <c r="E296" s="4">
        <v>23544.97</v>
      </c>
      <c r="F296" s="2" t="s">
        <v>14</v>
      </c>
      <c r="G296" s="5">
        <v>46</v>
      </c>
      <c r="H296" s="2" t="s">
        <v>15</v>
      </c>
      <c r="I296" s="2" t="s">
        <v>43</v>
      </c>
      <c r="J296" s="2" t="s">
        <v>17</v>
      </c>
      <c r="K296" s="2" t="s">
        <v>18</v>
      </c>
    </row>
    <row r="297" spans="1:11" x14ac:dyDescent="0.3">
      <c r="A297" s="2" t="s">
        <v>539</v>
      </c>
      <c r="B297" s="2" t="s">
        <v>51</v>
      </c>
      <c r="C297" s="3">
        <v>45662.788194444453</v>
      </c>
      <c r="D297" s="2" t="s">
        <v>13</v>
      </c>
      <c r="E297" s="4">
        <v>8606.2000000000007</v>
      </c>
      <c r="F297" s="2" t="s">
        <v>14</v>
      </c>
      <c r="G297" s="5">
        <v>30</v>
      </c>
      <c r="H297" s="2" t="s">
        <v>29</v>
      </c>
      <c r="I297" s="2" t="s">
        <v>48</v>
      </c>
      <c r="J297" s="2" t="s">
        <v>52</v>
      </c>
      <c r="K297" s="2" t="s">
        <v>22</v>
      </c>
    </row>
    <row r="298" spans="1:11" x14ac:dyDescent="0.3">
      <c r="A298" s="2" t="s">
        <v>540</v>
      </c>
      <c r="B298" s="2" t="s">
        <v>541</v>
      </c>
      <c r="C298" s="3">
        <v>46009.960416666669</v>
      </c>
      <c r="D298" s="2" t="s">
        <v>28</v>
      </c>
      <c r="E298" s="4">
        <v>62470.239999999998</v>
      </c>
      <c r="F298" s="2" t="s">
        <v>57</v>
      </c>
      <c r="G298" s="5">
        <v>57</v>
      </c>
      <c r="H298" s="2" t="s">
        <v>15</v>
      </c>
      <c r="I298" s="2" t="s">
        <v>34</v>
      </c>
      <c r="J298" s="2" t="s">
        <v>44</v>
      </c>
      <c r="K298" s="2" t="s">
        <v>18</v>
      </c>
    </row>
    <row r="299" spans="1:11" x14ac:dyDescent="0.3">
      <c r="A299" s="2" t="s">
        <v>542</v>
      </c>
      <c r="B299" s="2" t="s">
        <v>543</v>
      </c>
      <c r="C299" s="3">
        <v>45968.979861111111</v>
      </c>
      <c r="D299" s="2" t="s">
        <v>154</v>
      </c>
      <c r="E299" s="4">
        <v>20000</v>
      </c>
      <c r="F299" s="2" t="s">
        <v>14</v>
      </c>
      <c r="G299" s="5">
        <v>41</v>
      </c>
      <c r="H299" s="2" t="s">
        <v>15</v>
      </c>
      <c r="I299" s="2" t="s">
        <v>34</v>
      </c>
      <c r="J299" s="2" t="s">
        <v>44</v>
      </c>
      <c r="K299" s="2" t="s">
        <v>18</v>
      </c>
    </row>
    <row r="300" spans="1:11" x14ac:dyDescent="0.3">
      <c r="A300" s="2" t="s">
        <v>544</v>
      </c>
      <c r="B300" s="2" t="s">
        <v>545</v>
      </c>
      <c r="C300" s="3">
        <v>45804.318055555559</v>
      </c>
      <c r="D300" s="2" t="s">
        <v>28</v>
      </c>
      <c r="E300" s="4">
        <v>89239.2</v>
      </c>
      <c r="F300" s="2" t="s">
        <v>14</v>
      </c>
      <c r="G300" s="5">
        <v>36</v>
      </c>
      <c r="H300" s="2" t="s">
        <v>29</v>
      </c>
      <c r="I300" s="2" t="s">
        <v>21</v>
      </c>
      <c r="J300" s="2" t="s">
        <v>17</v>
      </c>
      <c r="K300" s="2" t="s">
        <v>45</v>
      </c>
    </row>
    <row r="301" spans="1:11" x14ac:dyDescent="0.3">
      <c r="A301" s="2" t="s">
        <v>546</v>
      </c>
      <c r="B301" s="2" t="s">
        <v>547</v>
      </c>
      <c r="C301" s="3">
        <v>45838.319444444453</v>
      </c>
      <c r="D301" s="2" t="s">
        <v>33</v>
      </c>
      <c r="E301" s="4">
        <v>9428.82</v>
      </c>
      <c r="F301" s="2" t="s">
        <v>14</v>
      </c>
      <c r="G301" s="5">
        <v>39</v>
      </c>
      <c r="H301" s="2" t="s">
        <v>29</v>
      </c>
      <c r="I301" s="2" t="s">
        <v>34</v>
      </c>
      <c r="J301" s="2" t="s">
        <v>17</v>
      </c>
      <c r="K301" s="2" t="s">
        <v>45</v>
      </c>
    </row>
    <row r="302" spans="1:11" x14ac:dyDescent="0.3">
      <c r="A302" s="2" t="s">
        <v>548</v>
      </c>
      <c r="B302" s="2" t="s">
        <v>549</v>
      </c>
      <c r="C302" s="3">
        <v>45755.802777777782</v>
      </c>
      <c r="D302" s="2" t="s">
        <v>28</v>
      </c>
      <c r="E302" s="4">
        <v>65332.15</v>
      </c>
      <c r="F302" s="2" t="s">
        <v>14</v>
      </c>
      <c r="G302" s="5">
        <v>53</v>
      </c>
      <c r="H302" s="2" t="s">
        <v>29</v>
      </c>
      <c r="I302" s="2" t="s">
        <v>21</v>
      </c>
      <c r="J302" s="2" t="s">
        <v>17</v>
      </c>
      <c r="K302" s="2" t="s">
        <v>35</v>
      </c>
    </row>
    <row r="303" spans="1:11" x14ac:dyDescent="0.3">
      <c r="A303" s="2" t="s">
        <v>550</v>
      </c>
      <c r="B303" s="2" t="s">
        <v>551</v>
      </c>
      <c r="C303" s="3">
        <v>46005.992361111108</v>
      </c>
      <c r="D303" s="2" t="s">
        <v>33</v>
      </c>
      <c r="E303" s="4">
        <v>4260.07</v>
      </c>
      <c r="F303" s="2" t="s">
        <v>14</v>
      </c>
      <c r="G303" s="5">
        <v>32</v>
      </c>
      <c r="H303" s="2" t="s">
        <v>15</v>
      </c>
      <c r="I303" s="2" t="s">
        <v>34</v>
      </c>
      <c r="J303" s="2" t="s">
        <v>44</v>
      </c>
      <c r="K303" s="2" t="s">
        <v>18</v>
      </c>
    </row>
    <row r="304" spans="1:11" x14ac:dyDescent="0.3">
      <c r="A304" s="2" t="s">
        <v>552</v>
      </c>
      <c r="B304" s="2" t="s">
        <v>461</v>
      </c>
      <c r="C304" s="3">
        <v>45995.911805555559</v>
      </c>
      <c r="D304" s="2" t="s">
        <v>28</v>
      </c>
      <c r="E304" s="4">
        <v>32934.160000000003</v>
      </c>
      <c r="F304" s="2" t="s">
        <v>14</v>
      </c>
      <c r="G304" s="5">
        <v>39</v>
      </c>
      <c r="H304" s="2" t="s">
        <v>29</v>
      </c>
      <c r="I304" s="2" t="s">
        <v>60</v>
      </c>
      <c r="J304" s="2" t="s">
        <v>52</v>
      </c>
      <c r="K304" s="2" t="s">
        <v>18</v>
      </c>
    </row>
    <row r="305" spans="1:11" x14ac:dyDescent="0.3">
      <c r="A305" s="2" t="s">
        <v>553</v>
      </c>
      <c r="B305" s="2" t="s">
        <v>296</v>
      </c>
      <c r="C305" s="3">
        <v>45728.837500000001</v>
      </c>
      <c r="D305" s="2" t="s">
        <v>38</v>
      </c>
      <c r="E305" s="4">
        <v>13654.74</v>
      </c>
      <c r="F305" s="2" t="s">
        <v>122</v>
      </c>
      <c r="G305" s="5">
        <v>31</v>
      </c>
      <c r="H305" s="2" t="s">
        <v>15</v>
      </c>
      <c r="I305" s="2" t="s">
        <v>34</v>
      </c>
      <c r="J305" s="2" t="s">
        <v>52</v>
      </c>
      <c r="K305" s="2" t="s">
        <v>45</v>
      </c>
    </row>
    <row r="306" spans="1:11" x14ac:dyDescent="0.3">
      <c r="A306" s="2" t="s">
        <v>554</v>
      </c>
      <c r="B306" s="2" t="s">
        <v>433</v>
      </c>
      <c r="C306" s="3">
        <v>45979.834722222222</v>
      </c>
      <c r="D306" s="2" t="s">
        <v>28</v>
      </c>
      <c r="E306" s="4">
        <v>2452.42</v>
      </c>
      <c r="F306" s="2" t="s">
        <v>14</v>
      </c>
      <c r="G306" s="5">
        <v>25</v>
      </c>
      <c r="H306" s="2" t="s">
        <v>15</v>
      </c>
      <c r="I306" s="2" t="s">
        <v>34</v>
      </c>
      <c r="J306" s="2" t="s">
        <v>49</v>
      </c>
      <c r="K306" s="2" t="s">
        <v>45</v>
      </c>
    </row>
    <row r="307" spans="1:11" x14ac:dyDescent="0.3">
      <c r="A307" s="2" t="s">
        <v>555</v>
      </c>
      <c r="B307" s="2" t="s">
        <v>270</v>
      </c>
      <c r="C307" s="3">
        <v>45816.584722222222</v>
      </c>
      <c r="D307" s="2" t="s">
        <v>33</v>
      </c>
      <c r="E307" s="4">
        <v>4968.25</v>
      </c>
      <c r="F307" s="2" t="s">
        <v>14</v>
      </c>
      <c r="G307" s="5">
        <v>50</v>
      </c>
      <c r="H307" s="2" t="s">
        <v>29</v>
      </c>
      <c r="I307" s="2" t="s">
        <v>95</v>
      </c>
      <c r="J307" s="2" t="s">
        <v>49</v>
      </c>
      <c r="K307" s="2" t="s">
        <v>18</v>
      </c>
    </row>
    <row r="308" spans="1:11" x14ac:dyDescent="0.3">
      <c r="A308" s="2" t="s">
        <v>556</v>
      </c>
      <c r="B308" s="2" t="s">
        <v>82</v>
      </c>
      <c r="C308" s="3">
        <v>45954.490277777782</v>
      </c>
      <c r="D308" s="2" t="s">
        <v>28</v>
      </c>
      <c r="E308" s="4">
        <v>13230.41</v>
      </c>
      <c r="F308" s="2" t="s">
        <v>14</v>
      </c>
      <c r="G308" s="5">
        <v>20</v>
      </c>
      <c r="H308" s="2" t="s">
        <v>29</v>
      </c>
      <c r="I308" s="2" t="s">
        <v>21</v>
      </c>
      <c r="J308" s="2" t="s">
        <v>17</v>
      </c>
      <c r="K308" s="2" t="s">
        <v>45</v>
      </c>
    </row>
    <row r="309" spans="1:11" x14ac:dyDescent="0.3">
      <c r="A309" s="2" t="s">
        <v>557</v>
      </c>
      <c r="B309" s="2" t="s">
        <v>438</v>
      </c>
      <c r="C309" s="3">
        <v>45725.123611111107</v>
      </c>
      <c r="D309" s="2" t="s">
        <v>28</v>
      </c>
      <c r="E309" s="4">
        <v>15672.96</v>
      </c>
      <c r="F309" s="2" t="s">
        <v>14</v>
      </c>
      <c r="G309" s="5">
        <v>27</v>
      </c>
      <c r="H309" s="2" t="s">
        <v>15</v>
      </c>
      <c r="I309" s="2" t="s">
        <v>34</v>
      </c>
      <c r="J309" s="2" t="s">
        <v>17</v>
      </c>
      <c r="K309" s="2" t="s">
        <v>45</v>
      </c>
    </row>
    <row r="310" spans="1:11" x14ac:dyDescent="0.3">
      <c r="A310" s="2" t="s">
        <v>558</v>
      </c>
      <c r="B310" s="2" t="s">
        <v>406</v>
      </c>
      <c r="C310" s="3">
        <v>45809.449305555558</v>
      </c>
      <c r="D310" s="2" t="s">
        <v>13</v>
      </c>
      <c r="E310" s="4">
        <v>2718.24</v>
      </c>
      <c r="F310" s="2" t="s">
        <v>14</v>
      </c>
      <c r="G310" s="5">
        <v>28</v>
      </c>
      <c r="H310" s="2" t="s">
        <v>15</v>
      </c>
      <c r="I310" s="2" t="s">
        <v>60</v>
      </c>
      <c r="J310" s="2" t="s">
        <v>44</v>
      </c>
      <c r="K310" s="2" t="s">
        <v>22</v>
      </c>
    </row>
    <row r="311" spans="1:11" x14ac:dyDescent="0.3">
      <c r="A311" s="2" t="s">
        <v>559</v>
      </c>
      <c r="B311" s="2" t="s">
        <v>560</v>
      </c>
      <c r="C311" s="3">
        <v>45870.216666666667</v>
      </c>
      <c r="D311" s="2" t="s">
        <v>28</v>
      </c>
      <c r="E311" s="4">
        <v>8368.65</v>
      </c>
      <c r="F311" s="2" t="s">
        <v>14</v>
      </c>
      <c r="G311" s="5">
        <v>23</v>
      </c>
      <c r="H311" s="2" t="s">
        <v>15</v>
      </c>
      <c r="I311" s="2" t="s">
        <v>25</v>
      </c>
      <c r="J311" s="2" t="s">
        <v>17</v>
      </c>
      <c r="K311" s="2" t="s">
        <v>35</v>
      </c>
    </row>
    <row r="312" spans="1:11" x14ac:dyDescent="0.3">
      <c r="A312" s="2" t="s">
        <v>561</v>
      </c>
      <c r="B312" s="2" t="s">
        <v>562</v>
      </c>
      <c r="C312" s="3">
        <v>45725.74722222222</v>
      </c>
      <c r="D312" s="2" t="s">
        <v>28</v>
      </c>
      <c r="E312" s="4">
        <v>41363.42</v>
      </c>
      <c r="F312" s="2" t="s">
        <v>14</v>
      </c>
      <c r="G312" s="5">
        <v>47</v>
      </c>
      <c r="H312" s="2" t="s">
        <v>15</v>
      </c>
      <c r="I312" s="2" t="s">
        <v>34</v>
      </c>
      <c r="J312" s="2" t="s">
        <v>17</v>
      </c>
      <c r="K312" s="2" t="s">
        <v>18</v>
      </c>
    </row>
    <row r="313" spans="1:11" x14ac:dyDescent="0.3">
      <c r="A313" s="2" t="s">
        <v>563</v>
      </c>
      <c r="B313" s="2" t="s">
        <v>564</v>
      </c>
      <c r="C313" s="3">
        <v>45845.688888888893</v>
      </c>
      <c r="D313" s="2" t="s">
        <v>28</v>
      </c>
      <c r="E313" s="4">
        <v>1891.49</v>
      </c>
      <c r="F313" s="2" t="s">
        <v>57</v>
      </c>
      <c r="G313" s="5">
        <v>46</v>
      </c>
      <c r="H313" s="2" t="s">
        <v>15</v>
      </c>
      <c r="I313" s="2" t="s">
        <v>25</v>
      </c>
      <c r="J313" s="2" t="s">
        <v>44</v>
      </c>
      <c r="K313" s="2" t="s">
        <v>45</v>
      </c>
    </row>
    <row r="314" spans="1:11" x14ac:dyDescent="0.3">
      <c r="A314" s="2" t="s">
        <v>565</v>
      </c>
      <c r="B314" s="2" t="s">
        <v>146</v>
      </c>
      <c r="C314" s="3">
        <v>45797.219444444447</v>
      </c>
      <c r="D314" s="2" t="s">
        <v>33</v>
      </c>
      <c r="E314" s="4">
        <v>2161.19</v>
      </c>
      <c r="F314" s="2" t="s">
        <v>14</v>
      </c>
      <c r="G314" s="5">
        <v>24</v>
      </c>
      <c r="H314" s="2" t="s">
        <v>15</v>
      </c>
      <c r="I314" s="2" t="s">
        <v>60</v>
      </c>
      <c r="J314" s="2" t="s">
        <v>17</v>
      </c>
      <c r="K314" s="2" t="s">
        <v>45</v>
      </c>
    </row>
    <row r="315" spans="1:11" x14ac:dyDescent="0.3">
      <c r="A315" s="2" t="s">
        <v>566</v>
      </c>
      <c r="B315" s="2" t="s">
        <v>567</v>
      </c>
      <c r="C315" s="3">
        <v>45904.407638888893</v>
      </c>
      <c r="D315" s="2" t="s">
        <v>28</v>
      </c>
      <c r="E315" s="4">
        <v>23303.52</v>
      </c>
      <c r="F315" s="2" t="s">
        <v>14</v>
      </c>
      <c r="G315" s="5">
        <v>39</v>
      </c>
      <c r="H315" s="2" t="s">
        <v>15</v>
      </c>
      <c r="I315" s="2" t="s">
        <v>48</v>
      </c>
      <c r="J315" s="2" t="s">
        <v>17</v>
      </c>
      <c r="K315" s="2" t="s">
        <v>18</v>
      </c>
    </row>
    <row r="316" spans="1:11" x14ac:dyDescent="0.3">
      <c r="A316" s="2" t="s">
        <v>568</v>
      </c>
      <c r="B316" s="2" t="s">
        <v>380</v>
      </c>
      <c r="C316" s="3">
        <v>45831.145138888889</v>
      </c>
      <c r="D316" s="2" t="s">
        <v>13</v>
      </c>
      <c r="E316" s="4">
        <v>1025.3</v>
      </c>
      <c r="F316" s="2" t="s">
        <v>14</v>
      </c>
      <c r="G316" s="5">
        <v>32</v>
      </c>
      <c r="H316" s="2" t="s">
        <v>29</v>
      </c>
      <c r="I316" s="2" t="s">
        <v>34</v>
      </c>
      <c r="J316" s="2" t="s">
        <v>17</v>
      </c>
      <c r="K316" s="2" t="s">
        <v>45</v>
      </c>
    </row>
    <row r="317" spans="1:11" x14ac:dyDescent="0.3">
      <c r="A317" s="2" t="s">
        <v>569</v>
      </c>
      <c r="B317" s="2" t="s">
        <v>388</v>
      </c>
      <c r="C317" s="3">
        <v>45696.2</v>
      </c>
      <c r="D317" s="2" t="s">
        <v>28</v>
      </c>
      <c r="E317" s="4">
        <v>3341.31</v>
      </c>
      <c r="F317" s="2" t="s">
        <v>14</v>
      </c>
      <c r="G317" s="5">
        <v>31</v>
      </c>
      <c r="H317" s="2" t="s">
        <v>15</v>
      </c>
      <c r="I317" s="2" t="s">
        <v>34</v>
      </c>
      <c r="J317" s="2" t="s">
        <v>17</v>
      </c>
      <c r="K317" s="2" t="s">
        <v>18</v>
      </c>
    </row>
    <row r="318" spans="1:11" x14ac:dyDescent="0.3">
      <c r="A318" s="2" t="s">
        <v>570</v>
      </c>
      <c r="B318" s="2" t="s">
        <v>203</v>
      </c>
      <c r="C318" s="3">
        <v>45773.906944444447</v>
      </c>
      <c r="D318" s="2" t="s">
        <v>28</v>
      </c>
      <c r="E318" s="4">
        <v>24901.95</v>
      </c>
      <c r="F318" s="2" t="s">
        <v>14</v>
      </c>
      <c r="G318" s="5">
        <v>37</v>
      </c>
      <c r="H318" s="2" t="s">
        <v>29</v>
      </c>
      <c r="I318" s="2" t="s">
        <v>48</v>
      </c>
      <c r="J318" s="2" t="s">
        <v>44</v>
      </c>
      <c r="K318" s="2" t="s">
        <v>18</v>
      </c>
    </row>
    <row r="319" spans="1:11" x14ac:dyDescent="0.3">
      <c r="A319" s="2" t="s">
        <v>571</v>
      </c>
      <c r="B319" s="2" t="s">
        <v>572</v>
      </c>
      <c r="C319" s="3">
        <v>46003.537499999999</v>
      </c>
      <c r="D319" s="2" t="s">
        <v>28</v>
      </c>
      <c r="E319" s="4">
        <v>32725.24</v>
      </c>
      <c r="F319" s="2" t="s">
        <v>14</v>
      </c>
      <c r="G319" s="5">
        <v>57</v>
      </c>
      <c r="H319" s="2" t="s">
        <v>15</v>
      </c>
      <c r="I319" s="2" t="s">
        <v>95</v>
      </c>
      <c r="J319" s="2" t="s">
        <v>17</v>
      </c>
      <c r="K319" s="2" t="s">
        <v>45</v>
      </c>
    </row>
    <row r="320" spans="1:11" x14ac:dyDescent="0.3">
      <c r="A320" s="2" t="s">
        <v>573</v>
      </c>
      <c r="B320" s="2" t="s">
        <v>179</v>
      </c>
      <c r="C320" s="3">
        <v>45943.461805555547</v>
      </c>
      <c r="D320" s="2" t="s">
        <v>28</v>
      </c>
      <c r="E320" s="4">
        <v>4220.71</v>
      </c>
      <c r="F320" s="2" t="s">
        <v>14</v>
      </c>
      <c r="G320" s="5">
        <v>38</v>
      </c>
      <c r="H320" s="2" t="s">
        <v>15</v>
      </c>
      <c r="I320" s="2" t="s">
        <v>34</v>
      </c>
      <c r="J320" s="2" t="s">
        <v>17</v>
      </c>
      <c r="K320" s="2" t="s">
        <v>18</v>
      </c>
    </row>
    <row r="321" spans="1:11" x14ac:dyDescent="0.3">
      <c r="A321" s="2" t="s">
        <v>574</v>
      </c>
      <c r="B321" s="2" t="s">
        <v>575</v>
      </c>
      <c r="C321" s="3">
        <v>45860.011111111111</v>
      </c>
      <c r="D321" s="2" t="s">
        <v>13</v>
      </c>
      <c r="E321" s="4">
        <v>1941.26</v>
      </c>
      <c r="F321" s="2" t="s">
        <v>14</v>
      </c>
      <c r="G321" s="5">
        <v>48</v>
      </c>
      <c r="H321" s="2" t="s">
        <v>29</v>
      </c>
      <c r="I321" s="2" t="s">
        <v>34</v>
      </c>
      <c r="J321" s="2" t="s">
        <v>17</v>
      </c>
      <c r="K321" s="2" t="s">
        <v>18</v>
      </c>
    </row>
    <row r="322" spans="1:11" x14ac:dyDescent="0.3">
      <c r="A322" s="2" t="s">
        <v>576</v>
      </c>
      <c r="B322" s="2" t="s">
        <v>315</v>
      </c>
      <c r="C322" s="3">
        <v>45932.145138888889</v>
      </c>
      <c r="D322" s="2" t="s">
        <v>13</v>
      </c>
      <c r="E322" s="4">
        <v>413.37</v>
      </c>
      <c r="F322" s="2" t="s">
        <v>14</v>
      </c>
      <c r="G322" s="5">
        <v>40</v>
      </c>
      <c r="H322" s="2" t="s">
        <v>15</v>
      </c>
      <c r="I322" s="2" t="s">
        <v>34</v>
      </c>
      <c r="J322" s="2" t="s">
        <v>17</v>
      </c>
      <c r="K322" s="2" t="s">
        <v>18</v>
      </c>
    </row>
    <row r="323" spans="1:11" x14ac:dyDescent="0.3">
      <c r="A323" s="2" t="s">
        <v>577</v>
      </c>
      <c r="B323" s="2" t="s">
        <v>327</v>
      </c>
      <c r="C323" s="3">
        <v>45846.907638888893</v>
      </c>
      <c r="D323" s="2" t="s">
        <v>28</v>
      </c>
      <c r="E323" s="4">
        <v>5316.15</v>
      </c>
      <c r="F323" s="2" t="s">
        <v>14</v>
      </c>
      <c r="G323" s="5">
        <v>48</v>
      </c>
      <c r="H323" s="2" t="s">
        <v>15</v>
      </c>
      <c r="I323" s="2" t="s">
        <v>34</v>
      </c>
      <c r="J323" s="2" t="s">
        <v>17</v>
      </c>
      <c r="K323" s="2" t="s">
        <v>45</v>
      </c>
    </row>
    <row r="324" spans="1:11" x14ac:dyDescent="0.3">
      <c r="A324" s="2" t="s">
        <v>578</v>
      </c>
      <c r="B324" s="2" t="s">
        <v>377</v>
      </c>
      <c r="C324" s="3">
        <v>46002.359027777777</v>
      </c>
      <c r="D324" s="2" t="s">
        <v>13</v>
      </c>
      <c r="E324" s="4">
        <v>3654.39</v>
      </c>
      <c r="F324" s="2" t="s">
        <v>14</v>
      </c>
      <c r="G324" s="5">
        <v>39</v>
      </c>
      <c r="H324" s="2" t="s">
        <v>15</v>
      </c>
      <c r="I324" s="2" t="s">
        <v>43</v>
      </c>
      <c r="J324" s="2" t="s">
        <v>17</v>
      </c>
      <c r="K324" s="2" t="s">
        <v>45</v>
      </c>
    </row>
    <row r="325" spans="1:11" x14ac:dyDescent="0.3">
      <c r="A325" s="2" t="s">
        <v>579</v>
      </c>
      <c r="B325" s="2" t="s">
        <v>176</v>
      </c>
      <c r="C325" s="3">
        <v>45853.849305555559</v>
      </c>
      <c r="D325" s="2" t="s">
        <v>28</v>
      </c>
      <c r="E325" s="4">
        <v>6028.56</v>
      </c>
      <c r="F325" s="2" t="s">
        <v>14</v>
      </c>
      <c r="G325" s="5">
        <v>32</v>
      </c>
      <c r="H325" s="2" t="s">
        <v>15</v>
      </c>
      <c r="I325" s="2" t="s">
        <v>34</v>
      </c>
      <c r="J325" s="2" t="s">
        <v>49</v>
      </c>
      <c r="K325" s="2" t="s">
        <v>18</v>
      </c>
    </row>
    <row r="326" spans="1:11" x14ac:dyDescent="0.3">
      <c r="A326" s="2" t="s">
        <v>580</v>
      </c>
      <c r="B326" s="2" t="s">
        <v>581</v>
      </c>
      <c r="C326" s="3">
        <v>45713.884722222218</v>
      </c>
      <c r="D326" s="2" t="s">
        <v>28</v>
      </c>
      <c r="E326" s="4">
        <v>22403.07</v>
      </c>
      <c r="F326" s="2" t="s">
        <v>14</v>
      </c>
      <c r="G326" s="5">
        <v>42</v>
      </c>
      <c r="H326" s="2" t="s">
        <v>15</v>
      </c>
      <c r="I326" s="2" t="s">
        <v>21</v>
      </c>
      <c r="J326" s="2" t="s">
        <v>17</v>
      </c>
      <c r="K326" s="2" t="s">
        <v>18</v>
      </c>
    </row>
    <row r="327" spans="1:11" x14ac:dyDescent="0.3">
      <c r="A327" s="2" t="s">
        <v>582</v>
      </c>
      <c r="B327" s="2" t="s">
        <v>163</v>
      </c>
      <c r="C327" s="3">
        <v>45899.027083333327</v>
      </c>
      <c r="D327" s="2" t="s">
        <v>28</v>
      </c>
      <c r="E327" s="4">
        <v>11453.55</v>
      </c>
      <c r="F327" s="2" t="s">
        <v>14</v>
      </c>
      <c r="G327" s="5">
        <v>31</v>
      </c>
      <c r="H327" s="2" t="s">
        <v>29</v>
      </c>
      <c r="I327" s="2" t="s">
        <v>25</v>
      </c>
      <c r="J327" s="2" t="s">
        <v>49</v>
      </c>
      <c r="K327" s="2" t="s">
        <v>45</v>
      </c>
    </row>
    <row r="328" spans="1:11" x14ac:dyDescent="0.3">
      <c r="A328" s="2" t="s">
        <v>583</v>
      </c>
      <c r="B328" s="2" t="s">
        <v>449</v>
      </c>
      <c r="C328" s="3">
        <v>45945.456944444442</v>
      </c>
      <c r="D328" s="2" t="s">
        <v>28</v>
      </c>
      <c r="E328" s="4">
        <v>39914.5</v>
      </c>
      <c r="F328" s="2" t="s">
        <v>14</v>
      </c>
      <c r="G328" s="5">
        <v>44</v>
      </c>
      <c r="H328" s="2" t="s">
        <v>29</v>
      </c>
      <c r="I328" s="2" t="s">
        <v>34</v>
      </c>
      <c r="J328" s="2" t="s">
        <v>52</v>
      </c>
      <c r="K328" s="2" t="s">
        <v>35</v>
      </c>
    </row>
    <row r="329" spans="1:11" x14ac:dyDescent="0.3">
      <c r="A329" s="2" t="s">
        <v>584</v>
      </c>
      <c r="B329" s="2" t="s">
        <v>585</v>
      </c>
      <c r="C329" s="3">
        <v>45970.320138888892</v>
      </c>
      <c r="D329" s="2" t="s">
        <v>13</v>
      </c>
      <c r="E329" s="4">
        <v>584.23</v>
      </c>
      <c r="F329" s="2" t="s">
        <v>14</v>
      </c>
      <c r="G329" s="5">
        <v>25</v>
      </c>
      <c r="H329" s="2" t="s">
        <v>15</v>
      </c>
      <c r="I329" s="2" t="s">
        <v>95</v>
      </c>
      <c r="J329" s="2" t="s">
        <v>49</v>
      </c>
      <c r="K329" s="2" t="s">
        <v>45</v>
      </c>
    </row>
    <row r="330" spans="1:11" x14ac:dyDescent="0.3">
      <c r="A330" s="2" t="s">
        <v>586</v>
      </c>
      <c r="B330" s="2" t="s">
        <v>587</v>
      </c>
      <c r="C330" s="3">
        <v>45690.869444444441</v>
      </c>
      <c r="D330" s="2" t="s">
        <v>13</v>
      </c>
      <c r="E330" s="4">
        <v>1425.79</v>
      </c>
      <c r="F330" s="2" t="s">
        <v>14</v>
      </c>
      <c r="G330" s="5">
        <v>47</v>
      </c>
      <c r="H330" s="2" t="s">
        <v>29</v>
      </c>
      <c r="I330" s="2" t="s">
        <v>34</v>
      </c>
      <c r="J330" s="2" t="s">
        <v>49</v>
      </c>
      <c r="K330" s="2" t="s">
        <v>18</v>
      </c>
    </row>
    <row r="331" spans="1:11" x14ac:dyDescent="0.3">
      <c r="A331" s="2" t="s">
        <v>588</v>
      </c>
      <c r="B331" s="2" t="s">
        <v>509</v>
      </c>
      <c r="C331" s="3">
        <v>45895.929861111108</v>
      </c>
      <c r="D331" s="2" t="s">
        <v>13</v>
      </c>
      <c r="E331" s="4">
        <v>715.39</v>
      </c>
      <c r="F331" s="2" t="s">
        <v>14</v>
      </c>
      <c r="G331" s="5">
        <v>29</v>
      </c>
      <c r="H331" s="2" t="s">
        <v>15</v>
      </c>
      <c r="I331" s="2" t="s">
        <v>34</v>
      </c>
      <c r="J331" s="2" t="s">
        <v>49</v>
      </c>
      <c r="K331" s="2" t="s">
        <v>22</v>
      </c>
    </row>
    <row r="332" spans="1:11" x14ac:dyDescent="0.3">
      <c r="A332" s="2" t="s">
        <v>589</v>
      </c>
      <c r="B332" s="2" t="s">
        <v>386</v>
      </c>
      <c r="C332" s="3">
        <v>45990.546527777777</v>
      </c>
      <c r="D332" s="2" t="s">
        <v>28</v>
      </c>
      <c r="E332" s="4">
        <v>33681.26</v>
      </c>
      <c r="F332" s="2" t="s">
        <v>14</v>
      </c>
      <c r="G332" s="5">
        <v>26</v>
      </c>
      <c r="H332" s="2" t="s">
        <v>15</v>
      </c>
      <c r="I332" s="2" t="s">
        <v>25</v>
      </c>
      <c r="J332" s="2" t="s">
        <v>17</v>
      </c>
      <c r="K332" s="2" t="s">
        <v>45</v>
      </c>
    </row>
    <row r="333" spans="1:11" x14ac:dyDescent="0.3">
      <c r="A333" s="2" t="s">
        <v>590</v>
      </c>
      <c r="B333" s="2" t="s">
        <v>325</v>
      </c>
      <c r="C333" s="3">
        <v>45729.043055555558</v>
      </c>
      <c r="D333" s="2" t="s">
        <v>28</v>
      </c>
      <c r="E333" s="4">
        <v>27183.01</v>
      </c>
      <c r="F333" s="2" t="s">
        <v>14</v>
      </c>
      <c r="G333" s="5">
        <v>48</v>
      </c>
      <c r="H333" s="2" t="s">
        <v>15</v>
      </c>
      <c r="I333" s="2" t="s">
        <v>34</v>
      </c>
      <c r="J333" s="2" t="s">
        <v>17</v>
      </c>
      <c r="K333" s="2" t="s">
        <v>22</v>
      </c>
    </row>
    <row r="334" spans="1:11" x14ac:dyDescent="0.3">
      <c r="A334" s="2" t="s">
        <v>591</v>
      </c>
      <c r="B334" s="2" t="s">
        <v>429</v>
      </c>
      <c r="C334" s="3">
        <v>45813.629861111112</v>
      </c>
      <c r="D334" s="2" t="s">
        <v>33</v>
      </c>
      <c r="E334" s="4">
        <v>13976.99</v>
      </c>
      <c r="F334" s="2" t="s">
        <v>14</v>
      </c>
      <c r="G334" s="5">
        <v>31</v>
      </c>
      <c r="H334" s="2" t="s">
        <v>29</v>
      </c>
      <c r="I334" s="2" t="s">
        <v>25</v>
      </c>
      <c r="J334" s="2" t="s">
        <v>49</v>
      </c>
      <c r="K334" s="2" t="s">
        <v>35</v>
      </c>
    </row>
    <row r="335" spans="1:11" x14ac:dyDescent="0.3">
      <c r="A335" s="2" t="s">
        <v>592</v>
      </c>
      <c r="B335" s="2" t="s">
        <v>593</v>
      </c>
      <c r="C335" s="3">
        <v>45707.330555555563</v>
      </c>
      <c r="D335" s="2" t="s">
        <v>13</v>
      </c>
      <c r="E335" s="4">
        <v>523.4</v>
      </c>
      <c r="F335" s="2" t="s">
        <v>57</v>
      </c>
      <c r="G335" s="5">
        <v>33</v>
      </c>
      <c r="H335" s="2" t="s">
        <v>15</v>
      </c>
      <c r="I335" s="2" t="s">
        <v>43</v>
      </c>
      <c r="J335" s="2" t="s">
        <v>17</v>
      </c>
      <c r="K335" s="2" t="s">
        <v>45</v>
      </c>
    </row>
    <row r="336" spans="1:11" x14ac:dyDescent="0.3">
      <c r="A336" s="2" t="s">
        <v>594</v>
      </c>
      <c r="B336" s="2" t="s">
        <v>595</v>
      </c>
      <c r="C336" s="3">
        <v>45933.183333333327</v>
      </c>
      <c r="D336" s="2" t="s">
        <v>13</v>
      </c>
      <c r="E336" s="4">
        <v>2800.62</v>
      </c>
      <c r="F336" s="2" t="s">
        <v>14</v>
      </c>
      <c r="G336" s="5">
        <v>33</v>
      </c>
      <c r="H336" s="2" t="s">
        <v>29</v>
      </c>
      <c r="I336" s="2" t="s">
        <v>30</v>
      </c>
      <c r="J336" s="2" t="s">
        <v>52</v>
      </c>
      <c r="K336" s="2" t="s">
        <v>35</v>
      </c>
    </row>
    <row r="337" spans="1:11" x14ac:dyDescent="0.3">
      <c r="A337" s="2" t="s">
        <v>596</v>
      </c>
      <c r="B337" s="2" t="s">
        <v>597</v>
      </c>
      <c r="C337" s="3">
        <v>45890.487500000003</v>
      </c>
      <c r="D337" s="2" t="s">
        <v>28</v>
      </c>
      <c r="E337" s="4">
        <v>146251.88</v>
      </c>
      <c r="F337" s="2" t="s">
        <v>14</v>
      </c>
      <c r="G337" s="5">
        <v>43</v>
      </c>
      <c r="H337" s="2" t="s">
        <v>15</v>
      </c>
      <c r="I337" s="2" t="s">
        <v>48</v>
      </c>
      <c r="J337" s="2" t="s">
        <v>49</v>
      </c>
      <c r="K337" s="2" t="s">
        <v>45</v>
      </c>
    </row>
    <row r="338" spans="1:11" x14ac:dyDescent="0.3">
      <c r="A338" s="2" t="s">
        <v>598</v>
      </c>
      <c r="B338" s="2" t="s">
        <v>348</v>
      </c>
      <c r="C338" s="3">
        <v>46014.726388888892</v>
      </c>
      <c r="D338" s="2" t="s">
        <v>33</v>
      </c>
      <c r="E338" s="4">
        <v>15986.83</v>
      </c>
      <c r="F338" s="2" t="s">
        <v>14</v>
      </c>
      <c r="G338" s="5">
        <v>39</v>
      </c>
      <c r="H338" s="2" t="s">
        <v>29</v>
      </c>
      <c r="I338" s="2" t="s">
        <v>16</v>
      </c>
      <c r="J338" s="2" t="s">
        <v>44</v>
      </c>
      <c r="K338" s="2" t="s">
        <v>45</v>
      </c>
    </row>
    <row r="339" spans="1:11" x14ac:dyDescent="0.3">
      <c r="A339" s="2" t="s">
        <v>599</v>
      </c>
      <c r="B339" s="2" t="s">
        <v>284</v>
      </c>
      <c r="C339" s="3">
        <v>45958.990277777782</v>
      </c>
      <c r="D339" s="2" t="s">
        <v>13</v>
      </c>
      <c r="E339" s="4">
        <v>1731.91</v>
      </c>
      <c r="F339" s="2" t="s">
        <v>14</v>
      </c>
      <c r="G339" s="5">
        <v>59</v>
      </c>
      <c r="H339" s="2" t="s">
        <v>15</v>
      </c>
      <c r="I339" s="2" t="s">
        <v>34</v>
      </c>
      <c r="J339" s="2" t="s">
        <v>17</v>
      </c>
      <c r="K339" s="2" t="s">
        <v>18</v>
      </c>
    </row>
    <row r="340" spans="1:11" x14ac:dyDescent="0.3">
      <c r="A340" s="2" t="s">
        <v>600</v>
      </c>
      <c r="B340" s="2" t="s">
        <v>352</v>
      </c>
      <c r="C340" s="3">
        <v>45737.570138888892</v>
      </c>
      <c r="D340" s="2" t="s">
        <v>28</v>
      </c>
      <c r="E340" s="4">
        <v>6056.1</v>
      </c>
      <c r="F340" s="2" t="s">
        <v>14</v>
      </c>
      <c r="G340" s="5">
        <v>51</v>
      </c>
      <c r="H340" s="2" t="s">
        <v>15</v>
      </c>
      <c r="I340" s="2" t="s">
        <v>21</v>
      </c>
      <c r="J340" s="2" t="s">
        <v>17</v>
      </c>
      <c r="K340" s="2" t="s">
        <v>45</v>
      </c>
    </row>
    <row r="341" spans="1:11" x14ac:dyDescent="0.3">
      <c r="A341" s="2" t="s">
        <v>601</v>
      </c>
      <c r="B341" s="2" t="s">
        <v>246</v>
      </c>
      <c r="C341" s="3">
        <v>45708.652083333327</v>
      </c>
      <c r="D341" s="2" t="s">
        <v>13</v>
      </c>
      <c r="E341" s="4">
        <v>2129.2399999999998</v>
      </c>
      <c r="F341" s="2" t="s">
        <v>14</v>
      </c>
      <c r="G341" s="5">
        <v>30</v>
      </c>
      <c r="H341" s="2" t="s">
        <v>15</v>
      </c>
      <c r="I341" s="2" t="s">
        <v>60</v>
      </c>
      <c r="J341" s="2" t="s">
        <v>49</v>
      </c>
      <c r="K341" s="2" t="s">
        <v>18</v>
      </c>
    </row>
    <row r="342" spans="1:11" x14ac:dyDescent="0.3">
      <c r="A342" s="2" t="s">
        <v>602</v>
      </c>
      <c r="B342" s="2" t="s">
        <v>603</v>
      </c>
      <c r="C342" s="3">
        <v>45866.334722222222</v>
      </c>
      <c r="D342" s="2" t="s">
        <v>13</v>
      </c>
      <c r="E342" s="4">
        <v>848.54</v>
      </c>
      <c r="F342" s="2" t="s">
        <v>14</v>
      </c>
      <c r="G342" s="5">
        <v>49</v>
      </c>
      <c r="H342" s="2" t="s">
        <v>15</v>
      </c>
      <c r="I342" s="2" t="s">
        <v>34</v>
      </c>
      <c r="J342" s="2" t="s">
        <v>17</v>
      </c>
      <c r="K342" s="2" t="s">
        <v>45</v>
      </c>
    </row>
    <row r="343" spans="1:11" x14ac:dyDescent="0.3">
      <c r="A343" s="2" t="s">
        <v>604</v>
      </c>
      <c r="B343" s="2" t="s">
        <v>605</v>
      </c>
      <c r="C343" s="3">
        <v>46011.467361111107</v>
      </c>
      <c r="D343" s="2" t="s">
        <v>28</v>
      </c>
      <c r="E343" s="4">
        <v>23145.33</v>
      </c>
      <c r="F343" s="2" t="s">
        <v>14</v>
      </c>
      <c r="G343" s="5">
        <v>29</v>
      </c>
      <c r="H343" s="2" t="s">
        <v>29</v>
      </c>
      <c r="I343" s="2" t="s">
        <v>60</v>
      </c>
      <c r="J343" s="2" t="s">
        <v>17</v>
      </c>
      <c r="K343" s="2" t="s">
        <v>35</v>
      </c>
    </row>
    <row r="344" spans="1:11" x14ac:dyDescent="0.3">
      <c r="A344" s="2" t="s">
        <v>606</v>
      </c>
      <c r="B344" s="2" t="s">
        <v>607</v>
      </c>
      <c r="C344" s="3">
        <v>45885.59375</v>
      </c>
      <c r="D344" s="2" t="s">
        <v>28</v>
      </c>
      <c r="E344" s="4">
        <v>26101.11</v>
      </c>
      <c r="F344" s="2" t="s">
        <v>14</v>
      </c>
      <c r="G344" s="5">
        <v>20</v>
      </c>
      <c r="H344" s="2" t="s">
        <v>29</v>
      </c>
      <c r="I344" s="2" t="s">
        <v>34</v>
      </c>
      <c r="J344" s="2" t="s">
        <v>52</v>
      </c>
      <c r="K344" s="2" t="s">
        <v>18</v>
      </c>
    </row>
    <row r="345" spans="1:11" x14ac:dyDescent="0.3">
      <c r="A345" s="2" t="s">
        <v>608</v>
      </c>
      <c r="B345" s="2" t="s">
        <v>192</v>
      </c>
      <c r="C345" s="3">
        <v>45843.154861111107</v>
      </c>
      <c r="D345" s="2" t="s">
        <v>28</v>
      </c>
      <c r="E345" s="4">
        <v>15513.79</v>
      </c>
      <c r="F345" s="2" t="s">
        <v>14</v>
      </c>
      <c r="G345" s="5">
        <v>48</v>
      </c>
      <c r="H345" s="2" t="s">
        <v>29</v>
      </c>
      <c r="I345" s="2" t="s">
        <v>60</v>
      </c>
      <c r="J345" s="2" t="s">
        <v>49</v>
      </c>
      <c r="K345" s="2" t="s">
        <v>18</v>
      </c>
    </row>
    <row r="346" spans="1:11" x14ac:dyDescent="0.3">
      <c r="A346" s="2" t="s">
        <v>609</v>
      </c>
      <c r="B346" s="2" t="s">
        <v>489</v>
      </c>
      <c r="C346" s="3">
        <v>45846.747916666667</v>
      </c>
      <c r="D346" s="2" t="s">
        <v>33</v>
      </c>
      <c r="E346" s="4">
        <v>6482</v>
      </c>
      <c r="F346" s="2" t="s">
        <v>14</v>
      </c>
      <c r="G346" s="5">
        <v>28</v>
      </c>
      <c r="H346" s="2" t="s">
        <v>15</v>
      </c>
      <c r="I346" s="2" t="s">
        <v>30</v>
      </c>
      <c r="J346" s="2" t="s">
        <v>17</v>
      </c>
      <c r="K346" s="2" t="s">
        <v>18</v>
      </c>
    </row>
    <row r="347" spans="1:11" x14ac:dyDescent="0.3">
      <c r="A347" s="2" t="s">
        <v>610</v>
      </c>
      <c r="B347" s="2" t="s">
        <v>198</v>
      </c>
      <c r="C347" s="3">
        <v>45988.460416666669</v>
      </c>
      <c r="D347" s="2" t="s">
        <v>13</v>
      </c>
      <c r="E347" s="4">
        <v>2204.64</v>
      </c>
      <c r="F347" s="2" t="s">
        <v>57</v>
      </c>
      <c r="G347" s="5">
        <v>40</v>
      </c>
      <c r="H347" s="2" t="s">
        <v>29</v>
      </c>
      <c r="I347" s="2" t="s">
        <v>34</v>
      </c>
      <c r="J347" s="2" t="s">
        <v>49</v>
      </c>
      <c r="K347" s="2" t="s">
        <v>18</v>
      </c>
    </row>
    <row r="348" spans="1:11" x14ac:dyDescent="0.3">
      <c r="A348" s="2" t="s">
        <v>611</v>
      </c>
      <c r="B348" s="2" t="s">
        <v>71</v>
      </c>
      <c r="C348" s="3">
        <v>45861.341666666667</v>
      </c>
      <c r="D348" s="2" t="s">
        <v>28</v>
      </c>
      <c r="E348" s="4">
        <v>1927.05</v>
      </c>
      <c r="F348" s="2" t="s">
        <v>14</v>
      </c>
      <c r="G348" s="5">
        <v>42</v>
      </c>
      <c r="H348" s="2" t="s">
        <v>15</v>
      </c>
      <c r="I348" s="2" t="s">
        <v>60</v>
      </c>
      <c r="J348" s="2" t="s">
        <v>17</v>
      </c>
      <c r="K348" s="2" t="s">
        <v>18</v>
      </c>
    </row>
    <row r="349" spans="1:11" x14ac:dyDescent="0.3">
      <c r="A349" s="2" t="s">
        <v>612</v>
      </c>
      <c r="B349" s="2" t="s">
        <v>527</v>
      </c>
      <c r="C349" s="3">
        <v>45720.586805555547</v>
      </c>
      <c r="D349" s="2" t="s">
        <v>13</v>
      </c>
      <c r="E349" s="4">
        <v>3985.12</v>
      </c>
      <c r="F349" s="2" t="s">
        <v>57</v>
      </c>
      <c r="G349" s="5">
        <v>31</v>
      </c>
      <c r="H349" s="2" t="s">
        <v>15</v>
      </c>
      <c r="I349" s="2" t="s">
        <v>60</v>
      </c>
      <c r="J349" s="2" t="s">
        <v>17</v>
      </c>
      <c r="K349" s="2" t="s">
        <v>18</v>
      </c>
    </row>
    <row r="350" spans="1:11" x14ac:dyDescent="0.3">
      <c r="A350" s="2" t="s">
        <v>613</v>
      </c>
      <c r="B350" s="2" t="s">
        <v>194</v>
      </c>
      <c r="C350" s="3">
        <v>45997.27847222222</v>
      </c>
      <c r="D350" s="2" t="s">
        <v>154</v>
      </c>
      <c r="E350" s="4">
        <v>40000</v>
      </c>
      <c r="F350" s="2" t="s">
        <v>14</v>
      </c>
      <c r="G350" s="5">
        <v>31</v>
      </c>
      <c r="H350" s="2" t="s">
        <v>29</v>
      </c>
      <c r="I350" s="2" t="s">
        <v>16</v>
      </c>
      <c r="J350" s="2" t="s">
        <v>17</v>
      </c>
      <c r="K350" s="2" t="s">
        <v>18</v>
      </c>
    </row>
    <row r="351" spans="1:11" x14ac:dyDescent="0.3">
      <c r="A351" s="2" t="s">
        <v>614</v>
      </c>
      <c r="B351" s="2" t="s">
        <v>77</v>
      </c>
      <c r="C351" s="3">
        <v>45985.792361111111</v>
      </c>
      <c r="D351" s="2" t="s">
        <v>33</v>
      </c>
      <c r="E351" s="4">
        <v>8126.79</v>
      </c>
      <c r="F351" s="2" t="s">
        <v>57</v>
      </c>
      <c r="G351" s="5">
        <v>34</v>
      </c>
      <c r="H351" s="2" t="s">
        <v>29</v>
      </c>
      <c r="I351" s="2" t="s">
        <v>78</v>
      </c>
      <c r="J351" s="2" t="s">
        <v>17</v>
      </c>
      <c r="K351" s="2" t="s">
        <v>45</v>
      </c>
    </row>
    <row r="352" spans="1:11" x14ac:dyDescent="0.3">
      <c r="A352" s="2" t="s">
        <v>615</v>
      </c>
      <c r="B352" s="2" t="s">
        <v>134</v>
      </c>
      <c r="C352" s="3">
        <v>45683.427083333343</v>
      </c>
      <c r="D352" s="2" t="s">
        <v>38</v>
      </c>
      <c r="E352" s="4">
        <v>1728.22</v>
      </c>
      <c r="F352" s="2" t="s">
        <v>14</v>
      </c>
      <c r="G352" s="5">
        <v>26</v>
      </c>
      <c r="H352" s="2" t="s">
        <v>15</v>
      </c>
      <c r="I352" s="2" t="s">
        <v>25</v>
      </c>
      <c r="J352" s="2" t="s">
        <v>49</v>
      </c>
      <c r="K352" s="2" t="s">
        <v>45</v>
      </c>
    </row>
    <row r="353" spans="1:11" x14ac:dyDescent="0.3">
      <c r="A353" s="2" t="s">
        <v>616</v>
      </c>
      <c r="B353" s="2" t="s">
        <v>617</v>
      </c>
      <c r="C353" s="3">
        <v>45722.759027777778</v>
      </c>
      <c r="D353" s="2" t="s">
        <v>28</v>
      </c>
      <c r="E353" s="4">
        <v>17810.27</v>
      </c>
      <c r="F353" s="2" t="s">
        <v>14</v>
      </c>
      <c r="G353" s="5">
        <v>22</v>
      </c>
      <c r="H353" s="2" t="s">
        <v>15</v>
      </c>
      <c r="I353" s="2" t="s">
        <v>34</v>
      </c>
      <c r="J353" s="2" t="s">
        <v>44</v>
      </c>
      <c r="K353" s="2" t="s">
        <v>35</v>
      </c>
    </row>
    <row r="354" spans="1:11" x14ac:dyDescent="0.3">
      <c r="A354" s="2" t="s">
        <v>618</v>
      </c>
      <c r="B354" s="2" t="s">
        <v>619</v>
      </c>
      <c r="C354" s="3">
        <v>45693.717361111107</v>
      </c>
      <c r="D354" s="2" t="s">
        <v>13</v>
      </c>
      <c r="E354" s="4">
        <v>2987.54</v>
      </c>
      <c r="F354" s="2" t="s">
        <v>14</v>
      </c>
      <c r="G354" s="5">
        <v>51</v>
      </c>
      <c r="H354" s="2" t="s">
        <v>15</v>
      </c>
      <c r="I354" s="2" t="s">
        <v>34</v>
      </c>
      <c r="J354" s="2" t="s">
        <v>17</v>
      </c>
      <c r="K354" s="2" t="s">
        <v>35</v>
      </c>
    </row>
    <row r="355" spans="1:11" x14ac:dyDescent="0.3">
      <c r="A355" s="2" t="s">
        <v>620</v>
      </c>
      <c r="B355" s="2" t="s">
        <v>47</v>
      </c>
      <c r="C355" s="3">
        <v>45958.286111111112</v>
      </c>
      <c r="D355" s="2" t="s">
        <v>28</v>
      </c>
      <c r="E355" s="4">
        <v>26460.84</v>
      </c>
      <c r="F355" s="2" t="s">
        <v>14</v>
      </c>
      <c r="G355" s="5">
        <v>53</v>
      </c>
      <c r="H355" s="2" t="s">
        <v>15</v>
      </c>
      <c r="I355" s="2" t="s">
        <v>48</v>
      </c>
      <c r="J355" s="2" t="s">
        <v>49</v>
      </c>
      <c r="K355" s="2" t="s">
        <v>18</v>
      </c>
    </row>
    <row r="356" spans="1:11" x14ac:dyDescent="0.3">
      <c r="A356" s="2" t="s">
        <v>621</v>
      </c>
      <c r="B356" s="2" t="s">
        <v>77</v>
      </c>
      <c r="C356" s="3">
        <v>45777.450694444437</v>
      </c>
      <c r="D356" s="2" t="s">
        <v>154</v>
      </c>
      <c r="E356" s="4">
        <v>20000</v>
      </c>
      <c r="F356" s="2" t="s">
        <v>14</v>
      </c>
      <c r="G356" s="5">
        <v>34</v>
      </c>
      <c r="H356" s="2" t="s">
        <v>29</v>
      </c>
      <c r="I356" s="2" t="s">
        <v>78</v>
      </c>
      <c r="J356" s="2" t="s">
        <v>17</v>
      </c>
      <c r="K356" s="2" t="s">
        <v>35</v>
      </c>
    </row>
    <row r="357" spans="1:11" x14ac:dyDescent="0.3">
      <c r="A357" s="2" t="s">
        <v>622</v>
      </c>
      <c r="B357" s="2" t="s">
        <v>623</v>
      </c>
      <c r="C357" s="3">
        <v>45733.791666666657</v>
      </c>
      <c r="D357" s="2" t="s">
        <v>28</v>
      </c>
      <c r="E357" s="4">
        <v>35243.24</v>
      </c>
      <c r="F357" s="2" t="s">
        <v>14</v>
      </c>
      <c r="G357" s="5">
        <v>47</v>
      </c>
      <c r="H357" s="2" t="s">
        <v>15</v>
      </c>
      <c r="I357" s="2" t="s">
        <v>48</v>
      </c>
      <c r="J357" s="2" t="s">
        <v>49</v>
      </c>
      <c r="K357" s="2" t="s">
        <v>45</v>
      </c>
    </row>
    <row r="358" spans="1:11" x14ac:dyDescent="0.3">
      <c r="A358" s="2" t="s">
        <v>624</v>
      </c>
      <c r="B358" s="2" t="s">
        <v>406</v>
      </c>
      <c r="C358" s="3">
        <v>45799.172222222223</v>
      </c>
      <c r="D358" s="2" t="s">
        <v>38</v>
      </c>
      <c r="E358" s="4">
        <v>958.91</v>
      </c>
      <c r="F358" s="2" t="s">
        <v>14</v>
      </c>
      <c r="G358" s="5">
        <v>28</v>
      </c>
      <c r="H358" s="2" t="s">
        <v>15</v>
      </c>
      <c r="I358" s="2" t="s">
        <v>60</v>
      </c>
      <c r="J358" s="2" t="s">
        <v>44</v>
      </c>
      <c r="K358" s="2" t="s">
        <v>45</v>
      </c>
    </row>
    <row r="359" spans="1:11" x14ac:dyDescent="0.3">
      <c r="A359" s="2" t="s">
        <v>625</v>
      </c>
      <c r="B359" s="2" t="s">
        <v>128</v>
      </c>
      <c r="C359" s="3">
        <v>45934.368750000001</v>
      </c>
      <c r="D359" s="2" t="s">
        <v>33</v>
      </c>
      <c r="E359" s="4">
        <v>30207.39</v>
      </c>
      <c r="F359" s="2" t="s">
        <v>14</v>
      </c>
      <c r="G359" s="5">
        <v>26</v>
      </c>
      <c r="H359" s="2" t="s">
        <v>15</v>
      </c>
      <c r="I359" s="2" t="s">
        <v>95</v>
      </c>
      <c r="J359" s="2" t="s">
        <v>44</v>
      </c>
      <c r="K359" s="2" t="s">
        <v>18</v>
      </c>
    </row>
    <row r="360" spans="1:11" x14ac:dyDescent="0.3">
      <c r="A360" s="2" t="s">
        <v>626</v>
      </c>
      <c r="B360" s="2" t="s">
        <v>75</v>
      </c>
      <c r="C360" s="3">
        <v>45747.154166666667</v>
      </c>
      <c r="D360" s="2" t="s">
        <v>28</v>
      </c>
      <c r="E360" s="4">
        <v>6932.84</v>
      </c>
      <c r="F360" s="2" t="s">
        <v>14</v>
      </c>
      <c r="G360" s="5">
        <v>31</v>
      </c>
      <c r="H360" s="2" t="s">
        <v>29</v>
      </c>
      <c r="I360" s="2" t="s">
        <v>25</v>
      </c>
      <c r="J360" s="2" t="s">
        <v>17</v>
      </c>
      <c r="K360" s="2" t="s">
        <v>18</v>
      </c>
    </row>
    <row r="361" spans="1:11" x14ac:dyDescent="0.3">
      <c r="A361" s="2" t="s">
        <v>627</v>
      </c>
      <c r="B361" s="2" t="s">
        <v>327</v>
      </c>
      <c r="C361" s="3">
        <v>45671.166666666657</v>
      </c>
      <c r="D361" s="2" t="s">
        <v>28</v>
      </c>
      <c r="E361" s="4">
        <v>21151.18</v>
      </c>
      <c r="F361" s="2" t="s">
        <v>14</v>
      </c>
      <c r="G361" s="5">
        <v>48</v>
      </c>
      <c r="H361" s="2" t="s">
        <v>15</v>
      </c>
      <c r="I361" s="2" t="s">
        <v>34</v>
      </c>
      <c r="J361" s="2" t="s">
        <v>17</v>
      </c>
      <c r="K361" s="2" t="s">
        <v>22</v>
      </c>
    </row>
    <row r="362" spans="1:11" x14ac:dyDescent="0.3">
      <c r="A362" s="2" t="s">
        <v>628</v>
      </c>
      <c r="B362" s="2" t="s">
        <v>629</v>
      </c>
      <c r="C362" s="3">
        <v>45841.317361111112</v>
      </c>
      <c r="D362" s="2" t="s">
        <v>33</v>
      </c>
      <c r="E362" s="4">
        <v>14536.71</v>
      </c>
      <c r="F362" s="2" t="s">
        <v>14</v>
      </c>
      <c r="G362" s="5">
        <v>22</v>
      </c>
      <c r="H362" s="2" t="s">
        <v>15</v>
      </c>
      <c r="I362" s="2" t="s">
        <v>21</v>
      </c>
      <c r="J362" s="2" t="s">
        <v>49</v>
      </c>
      <c r="K362" s="2" t="s">
        <v>35</v>
      </c>
    </row>
    <row r="363" spans="1:11" x14ac:dyDescent="0.3">
      <c r="A363" s="2" t="s">
        <v>630</v>
      </c>
      <c r="B363" s="2" t="s">
        <v>631</v>
      </c>
      <c r="C363" s="3">
        <v>45823.007638888892</v>
      </c>
      <c r="D363" s="2" t="s">
        <v>13</v>
      </c>
      <c r="E363" s="4">
        <v>423.27</v>
      </c>
      <c r="F363" s="2" t="s">
        <v>14</v>
      </c>
      <c r="G363" s="5">
        <v>27</v>
      </c>
      <c r="H363" s="2" t="s">
        <v>29</v>
      </c>
      <c r="I363" s="2" t="s">
        <v>34</v>
      </c>
      <c r="J363" s="2" t="s">
        <v>17</v>
      </c>
      <c r="K363" s="2" t="s">
        <v>45</v>
      </c>
    </row>
    <row r="364" spans="1:11" x14ac:dyDescent="0.3">
      <c r="A364" s="2" t="s">
        <v>632</v>
      </c>
      <c r="B364" s="2" t="s">
        <v>309</v>
      </c>
      <c r="C364" s="3">
        <v>45793.047222222223</v>
      </c>
      <c r="D364" s="2" t="s">
        <v>28</v>
      </c>
      <c r="E364" s="4">
        <v>30015.4</v>
      </c>
      <c r="F364" s="2" t="s">
        <v>14</v>
      </c>
      <c r="G364" s="5">
        <v>51</v>
      </c>
      <c r="H364" s="2" t="s">
        <v>29</v>
      </c>
      <c r="I364" s="2" t="s">
        <v>25</v>
      </c>
      <c r="J364" s="2" t="s">
        <v>49</v>
      </c>
      <c r="K364" s="2" t="s">
        <v>22</v>
      </c>
    </row>
    <row r="365" spans="1:11" x14ac:dyDescent="0.3">
      <c r="A365" s="2" t="s">
        <v>633</v>
      </c>
      <c r="B365" s="2" t="s">
        <v>634</v>
      </c>
      <c r="C365" s="3">
        <v>45873.671527777777</v>
      </c>
      <c r="D365" s="2" t="s">
        <v>38</v>
      </c>
      <c r="E365" s="4">
        <v>3965.42</v>
      </c>
      <c r="F365" s="2" t="s">
        <v>14</v>
      </c>
      <c r="G365" s="5">
        <v>56</v>
      </c>
      <c r="H365" s="2" t="s">
        <v>29</v>
      </c>
      <c r="I365" s="2" t="s">
        <v>25</v>
      </c>
      <c r="J365" s="2" t="s">
        <v>17</v>
      </c>
      <c r="K365" s="2" t="s">
        <v>45</v>
      </c>
    </row>
    <row r="366" spans="1:11" x14ac:dyDescent="0.3">
      <c r="A366" s="2" t="s">
        <v>635</v>
      </c>
      <c r="B366" s="2" t="s">
        <v>380</v>
      </c>
      <c r="C366" s="3">
        <v>45690.644444444442</v>
      </c>
      <c r="D366" s="2" t="s">
        <v>154</v>
      </c>
      <c r="E366" s="4">
        <v>10000</v>
      </c>
      <c r="F366" s="2" t="s">
        <v>14</v>
      </c>
      <c r="G366" s="5">
        <v>32</v>
      </c>
      <c r="H366" s="2" t="s">
        <v>29</v>
      </c>
      <c r="I366" s="2" t="s">
        <v>34</v>
      </c>
      <c r="J366" s="2" t="s">
        <v>17</v>
      </c>
      <c r="K366" s="2" t="s">
        <v>18</v>
      </c>
    </row>
    <row r="367" spans="1:11" x14ac:dyDescent="0.3">
      <c r="A367" s="2" t="s">
        <v>636</v>
      </c>
      <c r="B367" s="2" t="s">
        <v>509</v>
      </c>
      <c r="C367" s="3">
        <v>45843.692361111112</v>
      </c>
      <c r="D367" s="2" t="s">
        <v>28</v>
      </c>
      <c r="E367" s="4">
        <v>20928.650000000001</v>
      </c>
      <c r="F367" s="2" t="s">
        <v>14</v>
      </c>
      <c r="G367" s="5">
        <v>29</v>
      </c>
      <c r="H367" s="2" t="s">
        <v>15</v>
      </c>
      <c r="I367" s="2" t="s">
        <v>34</v>
      </c>
      <c r="J367" s="2" t="s">
        <v>49</v>
      </c>
      <c r="K367" s="2" t="s">
        <v>18</v>
      </c>
    </row>
    <row r="368" spans="1:11" x14ac:dyDescent="0.3">
      <c r="A368" s="2" t="s">
        <v>637</v>
      </c>
      <c r="B368" s="2" t="s">
        <v>73</v>
      </c>
      <c r="C368" s="3">
        <v>45713.605555555558</v>
      </c>
      <c r="D368" s="2" t="s">
        <v>154</v>
      </c>
      <c r="E368" s="4">
        <v>10000</v>
      </c>
      <c r="F368" s="2" t="s">
        <v>14</v>
      </c>
      <c r="G368" s="5">
        <v>33</v>
      </c>
      <c r="H368" s="2" t="s">
        <v>15</v>
      </c>
      <c r="I368" s="2" t="s">
        <v>21</v>
      </c>
      <c r="J368" s="2" t="s">
        <v>49</v>
      </c>
      <c r="K368" s="2" t="s">
        <v>18</v>
      </c>
    </row>
    <row r="369" spans="1:11" x14ac:dyDescent="0.3">
      <c r="A369" s="2" t="s">
        <v>638</v>
      </c>
      <c r="B369" s="2" t="s">
        <v>325</v>
      </c>
      <c r="C369" s="3">
        <v>45771.793055555558</v>
      </c>
      <c r="D369" s="2" t="s">
        <v>33</v>
      </c>
      <c r="E369" s="4">
        <v>7140.58</v>
      </c>
      <c r="F369" s="2" t="s">
        <v>14</v>
      </c>
      <c r="G369" s="5">
        <v>48</v>
      </c>
      <c r="H369" s="2" t="s">
        <v>15</v>
      </c>
      <c r="I369" s="2" t="s">
        <v>34</v>
      </c>
      <c r="J369" s="2" t="s">
        <v>17</v>
      </c>
      <c r="K369" s="2" t="s">
        <v>35</v>
      </c>
    </row>
    <row r="370" spans="1:11" x14ac:dyDescent="0.3">
      <c r="A370" s="2" t="s">
        <v>639</v>
      </c>
      <c r="B370" s="2" t="s">
        <v>88</v>
      </c>
      <c r="C370" s="3">
        <v>45995.679861111108</v>
      </c>
      <c r="D370" s="2" t="s">
        <v>13</v>
      </c>
      <c r="E370" s="4">
        <v>619.79</v>
      </c>
      <c r="F370" s="2" t="s">
        <v>14</v>
      </c>
      <c r="G370" s="5">
        <v>25</v>
      </c>
      <c r="H370" s="2" t="s">
        <v>29</v>
      </c>
      <c r="I370" s="2" t="s">
        <v>34</v>
      </c>
      <c r="J370" s="2" t="s">
        <v>49</v>
      </c>
      <c r="K370" s="2" t="s">
        <v>45</v>
      </c>
    </row>
    <row r="371" spans="1:11" x14ac:dyDescent="0.3">
      <c r="A371" s="2" t="s">
        <v>640</v>
      </c>
      <c r="B371" s="2" t="s">
        <v>171</v>
      </c>
      <c r="C371" s="3">
        <v>45892.834027777782</v>
      </c>
      <c r="D371" s="2" t="s">
        <v>154</v>
      </c>
      <c r="E371" s="4">
        <v>5000</v>
      </c>
      <c r="F371" s="2" t="s">
        <v>14</v>
      </c>
      <c r="G371" s="5">
        <v>51</v>
      </c>
      <c r="H371" s="2" t="s">
        <v>29</v>
      </c>
      <c r="I371" s="2" t="s">
        <v>25</v>
      </c>
      <c r="J371" s="2" t="s">
        <v>17</v>
      </c>
      <c r="K371" s="2" t="s">
        <v>45</v>
      </c>
    </row>
    <row r="372" spans="1:11" x14ac:dyDescent="0.3">
      <c r="A372" s="2" t="s">
        <v>641</v>
      </c>
      <c r="B372" s="2" t="s">
        <v>642</v>
      </c>
      <c r="C372" s="3">
        <v>45689.662499999999</v>
      </c>
      <c r="D372" s="2" t="s">
        <v>154</v>
      </c>
      <c r="E372" s="4">
        <v>5000</v>
      </c>
      <c r="F372" s="2" t="s">
        <v>14</v>
      </c>
      <c r="G372" s="5">
        <v>23</v>
      </c>
      <c r="H372" s="2" t="s">
        <v>29</v>
      </c>
      <c r="I372" s="2" t="s">
        <v>16</v>
      </c>
      <c r="J372" s="2" t="s">
        <v>44</v>
      </c>
      <c r="K372" s="2" t="s">
        <v>35</v>
      </c>
    </row>
    <row r="373" spans="1:11" x14ac:dyDescent="0.3">
      <c r="A373" s="2" t="s">
        <v>643</v>
      </c>
      <c r="B373" s="2" t="s">
        <v>73</v>
      </c>
      <c r="C373" s="3">
        <v>45863.571527777778</v>
      </c>
      <c r="D373" s="2" t="s">
        <v>13</v>
      </c>
      <c r="E373" s="4">
        <v>1291.8499999999999</v>
      </c>
      <c r="F373" s="2" t="s">
        <v>14</v>
      </c>
      <c r="G373" s="5">
        <v>33</v>
      </c>
      <c r="H373" s="2" t="s">
        <v>15</v>
      </c>
      <c r="I373" s="2" t="s">
        <v>21</v>
      </c>
      <c r="J373" s="2" t="s">
        <v>49</v>
      </c>
      <c r="K373" s="2" t="s">
        <v>45</v>
      </c>
    </row>
    <row r="374" spans="1:11" x14ac:dyDescent="0.3">
      <c r="A374" s="2" t="s">
        <v>644</v>
      </c>
      <c r="B374" s="2" t="s">
        <v>207</v>
      </c>
      <c r="C374" s="3">
        <v>45713.65625</v>
      </c>
      <c r="D374" s="2" t="s">
        <v>38</v>
      </c>
      <c r="E374" s="4">
        <v>3212.35</v>
      </c>
      <c r="F374" s="2" t="s">
        <v>14</v>
      </c>
      <c r="G374" s="5">
        <v>33</v>
      </c>
      <c r="H374" s="2" t="s">
        <v>15</v>
      </c>
      <c r="I374" s="2" t="s">
        <v>34</v>
      </c>
      <c r="J374" s="2" t="s">
        <v>49</v>
      </c>
      <c r="K374" s="2" t="s">
        <v>18</v>
      </c>
    </row>
    <row r="375" spans="1:11" x14ac:dyDescent="0.3">
      <c r="A375" s="2" t="s">
        <v>645</v>
      </c>
      <c r="B375" s="2" t="s">
        <v>246</v>
      </c>
      <c r="C375" s="3">
        <v>45885.122916666667</v>
      </c>
      <c r="D375" s="2" t="s">
        <v>13</v>
      </c>
      <c r="E375" s="4">
        <v>3562.31</v>
      </c>
      <c r="F375" s="2" t="s">
        <v>14</v>
      </c>
      <c r="G375" s="5">
        <v>30</v>
      </c>
      <c r="H375" s="2" t="s">
        <v>15</v>
      </c>
      <c r="I375" s="2" t="s">
        <v>60</v>
      </c>
      <c r="J375" s="2" t="s">
        <v>49</v>
      </c>
      <c r="K375" s="2" t="s">
        <v>18</v>
      </c>
    </row>
    <row r="376" spans="1:11" x14ac:dyDescent="0.3">
      <c r="A376" s="2" t="s">
        <v>646</v>
      </c>
      <c r="B376" s="2" t="s">
        <v>593</v>
      </c>
      <c r="C376" s="3">
        <v>45699.443055555559</v>
      </c>
      <c r="D376" s="2" t="s">
        <v>154</v>
      </c>
      <c r="E376" s="4">
        <v>2000</v>
      </c>
      <c r="F376" s="2" t="s">
        <v>57</v>
      </c>
      <c r="G376" s="5">
        <v>33</v>
      </c>
      <c r="H376" s="2" t="s">
        <v>15</v>
      </c>
      <c r="I376" s="2" t="s">
        <v>43</v>
      </c>
      <c r="J376" s="2" t="s">
        <v>17</v>
      </c>
      <c r="K376" s="2" t="s">
        <v>22</v>
      </c>
    </row>
    <row r="377" spans="1:11" x14ac:dyDescent="0.3">
      <c r="A377" s="2" t="s">
        <v>647</v>
      </c>
      <c r="B377" s="2" t="s">
        <v>617</v>
      </c>
      <c r="C377" s="3">
        <v>45733.088888888888</v>
      </c>
      <c r="D377" s="2" t="s">
        <v>28</v>
      </c>
      <c r="E377" s="4">
        <v>12465.56</v>
      </c>
      <c r="F377" s="2" t="s">
        <v>14</v>
      </c>
      <c r="G377" s="5">
        <v>22</v>
      </c>
      <c r="H377" s="2" t="s">
        <v>15</v>
      </c>
      <c r="I377" s="2" t="s">
        <v>34</v>
      </c>
      <c r="J377" s="2" t="s">
        <v>44</v>
      </c>
      <c r="K377" s="2" t="s">
        <v>18</v>
      </c>
    </row>
    <row r="378" spans="1:11" x14ac:dyDescent="0.3">
      <c r="A378" s="2" t="s">
        <v>648</v>
      </c>
      <c r="B378" s="2" t="s">
        <v>649</v>
      </c>
      <c r="C378" s="3">
        <v>45798.819444444453</v>
      </c>
      <c r="D378" s="2" t="s">
        <v>33</v>
      </c>
      <c r="E378" s="4">
        <v>28173.41</v>
      </c>
      <c r="F378" s="2" t="s">
        <v>14</v>
      </c>
      <c r="G378" s="5">
        <v>24</v>
      </c>
      <c r="H378" s="2" t="s">
        <v>29</v>
      </c>
      <c r="I378" s="2" t="s">
        <v>48</v>
      </c>
      <c r="J378" s="2" t="s">
        <v>17</v>
      </c>
      <c r="K378" s="2" t="s">
        <v>18</v>
      </c>
    </row>
    <row r="379" spans="1:11" x14ac:dyDescent="0.3">
      <c r="A379" s="2" t="s">
        <v>650</v>
      </c>
      <c r="B379" s="2" t="s">
        <v>270</v>
      </c>
      <c r="C379" s="3">
        <v>45957.739583333343</v>
      </c>
      <c r="D379" s="2" t="s">
        <v>28</v>
      </c>
      <c r="E379" s="4">
        <v>3682.5</v>
      </c>
      <c r="F379" s="2" t="s">
        <v>14</v>
      </c>
      <c r="G379" s="5">
        <v>50</v>
      </c>
      <c r="H379" s="2" t="s">
        <v>29</v>
      </c>
      <c r="I379" s="2" t="s">
        <v>95</v>
      </c>
      <c r="J379" s="2" t="s">
        <v>49</v>
      </c>
      <c r="K379" s="2" t="s">
        <v>18</v>
      </c>
    </row>
    <row r="380" spans="1:11" x14ac:dyDescent="0.3">
      <c r="A380" s="2" t="s">
        <v>651</v>
      </c>
      <c r="B380" s="2" t="s">
        <v>262</v>
      </c>
      <c r="C380" s="3">
        <v>45824.526388888888</v>
      </c>
      <c r="D380" s="2" t="s">
        <v>28</v>
      </c>
      <c r="E380" s="4">
        <v>5105.43</v>
      </c>
      <c r="F380" s="2" t="s">
        <v>14</v>
      </c>
      <c r="G380" s="5">
        <v>50</v>
      </c>
      <c r="H380" s="2" t="s">
        <v>29</v>
      </c>
      <c r="I380" s="2" t="s">
        <v>60</v>
      </c>
      <c r="J380" s="2" t="s">
        <v>49</v>
      </c>
      <c r="K380" s="2" t="s">
        <v>18</v>
      </c>
    </row>
    <row r="381" spans="1:11" x14ac:dyDescent="0.3">
      <c r="A381" s="2" t="s">
        <v>652</v>
      </c>
      <c r="B381" s="2" t="s">
        <v>115</v>
      </c>
      <c r="C381" s="3">
        <v>45929.395138888889</v>
      </c>
      <c r="D381" s="2" t="s">
        <v>28</v>
      </c>
      <c r="E381" s="4">
        <v>5936.3</v>
      </c>
      <c r="F381" s="2" t="s">
        <v>14</v>
      </c>
      <c r="G381" s="5">
        <v>42</v>
      </c>
      <c r="H381" s="2" t="s">
        <v>29</v>
      </c>
      <c r="I381" s="2" t="s">
        <v>34</v>
      </c>
      <c r="J381" s="2" t="s">
        <v>44</v>
      </c>
      <c r="K381" s="2" t="s">
        <v>22</v>
      </c>
    </row>
    <row r="382" spans="1:11" x14ac:dyDescent="0.3">
      <c r="A382" s="2" t="s">
        <v>653</v>
      </c>
      <c r="B382" s="2" t="s">
        <v>654</v>
      </c>
      <c r="C382" s="3">
        <v>45916.810416666667</v>
      </c>
      <c r="D382" s="2" t="s">
        <v>28</v>
      </c>
      <c r="E382" s="4">
        <v>34963.81</v>
      </c>
      <c r="F382" s="2" t="s">
        <v>57</v>
      </c>
      <c r="G382" s="5">
        <v>55</v>
      </c>
      <c r="H382" s="2" t="s">
        <v>15</v>
      </c>
      <c r="I382" s="2" t="s">
        <v>30</v>
      </c>
      <c r="J382" s="2" t="s">
        <v>44</v>
      </c>
      <c r="K382" s="2" t="s">
        <v>45</v>
      </c>
    </row>
    <row r="383" spans="1:11" x14ac:dyDescent="0.3">
      <c r="A383" s="2" t="s">
        <v>655</v>
      </c>
      <c r="B383" s="2" t="s">
        <v>126</v>
      </c>
      <c r="C383" s="3">
        <v>45708.921527777777</v>
      </c>
      <c r="D383" s="2" t="s">
        <v>28</v>
      </c>
      <c r="E383" s="4">
        <v>67136.5</v>
      </c>
      <c r="F383" s="2" t="s">
        <v>57</v>
      </c>
      <c r="G383" s="5">
        <v>49</v>
      </c>
      <c r="H383" s="2" t="s">
        <v>29</v>
      </c>
      <c r="I383" s="2" t="s">
        <v>16</v>
      </c>
      <c r="J383" s="2" t="s">
        <v>17</v>
      </c>
      <c r="K383" s="2" t="s">
        <v>18</v>
      </c>
    </row>
    <row r="384" spans="1:11" x14ac:dyDescent="0.3">
      <c r="A384" s="2" t="s">
        <v>656</v>
      </c>
      <c r="B384" s="2" t="s">
        <v>181</v>
      </c>
      <c r="C384" s="3">
        <v>45993.87222222222</v>
      </c>
      <c r="D384" s="2" t="s">
        <v>13</v>
      </c>
      <c r="E384" s="4">
        <v>848.57</v>
      </c>
      <c r="F384" s="2" t="s">
        <v>14</v>
      </c>
      <c r="G384" s="5">
        <v>34</v>
      </c>
      <c r="H384" s="2" t="s">
        <v>15</v>
      </c>
      <c r="I384" s="2" t="s">
        <v>48</v>
      </c>
      <c r="J384" s="2" t="s">
        <v>17</v>
      </c>
      <c r="K384" s="2" t="s">
        <v>18</v>
      </c>
    </row>
    <row r="385" spans="1:11" x14ac:dyDescent="0.3">
      <c r="A385" s="2" t="s">
        <v>657</v>
      </c>
      <c r="B385" s="2" t="s">
        <v>183</v>
      </c>
      <c r="C385" s="3">
        <v>45940.996527777781</v>
      </c>
      <c r="D385" s="2" t="s">
        <v>13</v>
      </c>
      <c r="E385" s="4">
        <v>2398.6999999999998</v>
      </c>
      <c r="F385" s="2" t="s">
        <v>14</v>
      </c>
      <c r="G385" s="5">
        <v>19</v>
      </c>
      <c r="H385" s="2" t="s">
        <v>29</v>
      </c>
      <c r="I385" s="2" t="s">
        <v>78</v>
      </c>
      <c r="J385" s="2" t="s">
        <v>44</v>
      </c>
      <c r="K385" s="2" t="s">
        <v>18</v>
      </c>
    </row>
    <row r="386" spans="1:11" x14ac:dyDescent="0.3">
      <c r="A386" s="2" t="s">
        <v>658</v>
      </c>
      <c r="B386" s="2" t="s">
        <v>332</v>
      </c>
      <c r="C386" s="3">
        <v>45768.561111111107</v>
      </c>
      <c r="D386" s="2" t="s">
        <v>33</v>
      </c>
      <c r="E386" s="4">
        <v>8558.66</v>
      </c>
      <c r="F386" s="2" t="s">
        <v>14</v>
      </c>
      <c r="G386" s="5">
        <v>36</v>
      </c>
      <c r="H386" s="2" t="s">
        <v>29</v>
      </c>
      <c r="I386" s="2" t="s">
        <v>25</v>
      </c>
      <c r="J386" s="2" t="s">
        <v>44</v>
      </c>
      <c r="K386" s="2" t="s">
        <v>18</v>
      </c>
    </row>
    <row r="387" spans="1:11" x14ac:dyDescent="0.3">
      <c r="A387" s="2" t="s">
        <v>659</v>
      </c>
      <c r="B387" s="2" t="s">
        <v>660</v>
      </c>
      <c r="C387" s="3">
        <v>45774.556250000001</v>
      </c>
      <c r="D387" s="2" t="s">
        <v>13</v>
      </c>
      <c r="E387" s="4">
        <v>1897.09</v>
      </c>
      <c r="F387" s="2" t="s">
        <v>14</v>
      </c>
      <c r="G387" s="5">
        <v>50</v>
      </c>
      <c r="H387" s="2" t="s">
        <v>15</v>
      </c>
      <c r="I387" s="2" t="s">
        <v>34</v>
      </c>
      <c r="J387" s="2" t="s">
        <v>49</v>
      </c>
      <c r="K387" s="2" t="s">
        <v>18</v>
      </c>
    </row>
    <row r="388" spans="1:11" x14ac:dyDescent="0.3">
      <c r="A388" s="2" t="s">
        <v>661</v>
      </c>
      <c r="B388" s="2" t="s">
        <v>662</v>
      </c>
      <c r="C388" s="3">
        <v>45890.518055555563</v>
      </c>
      <c r="D388" s="2" t="s">
        <v>38</v>
      </c>
      <c r="E388" s="4">
        <v>535.66</v>
      </c>
      <c r="F388" s="2" t="s">
        <v>57</v>
      </c>
      <c r="G388" s="5">
        <v>45</v>
      </c>
      <c r="H388" s="2" t="s">
        <v>15</v>
      </c>
      <c r="I388" s="2" t="s">
        <v>34</v>
      </c>
      <c r="J388" s="2" t="s">
        <v>52</v>
      </c>
      <c r="K388" s="2" t="s">
        <v>18</v>
      </c>
    </row>
    <row r="389" spans="1:11" x14ac:dyDescent="0.3">
      <c r="A389" s="2" t="s">
        <v>663</v>
      </c>
      <c r="B389" s="2" t="s">
        <v>433</v>
      </c>
      <c r="C389" s="3">
        <v>45706.435416666667</v>
      </c>
      <c r="D389" s="2" t="s">
        <v>33</v>
      </c>
      <c r="E389" s="4">
        <v>2197.69</v>
      </c>
      <c r="F389" s="2" t="s">
        <v>14</v>
      </c>
      <c r="G389" s="5">
        <v>25</v>
      </c>
      <c r="H389" s="2" t="s">
        <v>15</v>
      </c>
      <c r="I389" s="2" t="s">
        <v>34</v>
      </c>
      <c r="J389" s="2" t="s">
        <v>49</v>
      </c>
      <c r="K389" s="2" t="s">
        <v>18</v>
      </c>
    </row>
    <row r="390" spans="1:11" x14ac:dyDescent="0.3">
      <c r="A390" s="2" t="s">
        <v>664</v>
      </c>
      <c r="B390" s="2" t="s">
        <v>368</v>
      </c>
      <c r="C390" s="3">
        <v>45818.886111111111</v>
      </c>
      <c r="D390" s="2" t="s">
        <v>28</v>
      </c>
      <c r="E390" s="4">
        <v>50650.93</v>
      </c>
      <c r="F390" s="2" t="s">
        <v>14</v>
      </c>
      <c r="G390" s="5">
        <v>52</v>
      </c>
      <c r="H390" s="2" t="s">
        <v>15</v>
      </c>
      <c r="I390" s="2" t="s">
        <v>34</v>
      </c>
      <c r="J390" s="2" t="s">
        <v>17</v>
      </c>
      <c r="K390" s="2" t="s">
        <v>35</v>
      </c>
    </row>
    <row r="391" spans="1:11" x14ac:dyDescent="0.3">
      <c r="A391" s="2" t="s">
        <v>665</v>
      </c>
      <c r="B391" s="2" t="s">
        <v>527</v>
      </c>
      <c r="C391" s="3">
        <v>45849.196527777778</v>
      </c>
      <c r="D391" s="2" t="s">
        <v>28</v>
      </c>
      <c r="E391" s="4">
        <v>6062.19</v>
      </c>
      <c r="F391" s="2" t="s">
        <v>14</v>
      </c>
      <c r="G391" s="5">
        <v>31</v>
      </c>
      <c r="H391" s="2" t="s">
        <v>15</v>
      </c>
      <c r="I391" s="2" t="s">
        <v>60</v>
      </c>
      <c r="J391" s="2" t="s">
        <v>17</v>
      </c>
      <c r="K391" s="2" t="s">
        <v>18</v>
      </c>
    </row>
    <row r="392" spans="1:11" x14ac:dyDescent="0.3">
      <c r="A392" s="2" t="s">
        <v>666</v>
      </c>
      <c r="B392" s="2" t="s">
        <v>299</v>
      </c>
      <c r="C392" s="3">
        <v>45900.086805555547</v>
      </c>
      <c r="D392" s="2" t="s">
        <v>28</v>
      </c>
      <c r="E392" s="4">
        <v>34462.07</v>
      </c>
      <c r="F392" s="2" t="s">
        <v>14</v>
      </c>
      <c r="G392" s="5">
        <v>27</v>
      </c>
      <c r="H392" s="2" t="s">
        <v>15</v>
      </c>
      <c r="I392" s="2" t="s">
        <v>34</v>
      </c>
      <c r="J392" s="2" t="s">
        <v>49</v>
      </c>
      <c r="K392" s="2" t="s">
        <v>18</v>
      </c>
    </row>
    <row r="393" spans="1:11" x14ac:dyDescent="0.3">
      <c r="A393" s="2" t="s">
        <v>667</v>
      </c>
      <c r="B393" s="2" t="s">
        <v>468</v>
      </c>
      <c r="C393" s="3">
        <v>45701.102083333331</v>
      </c>
      <c r="D393" s="2" t="s">
        <v>154</v>
      </c>
      <c r="E393" s="4">
        <v>5000</v>
      </c>
      <c r="F393" s="2" t="s">
        <v>14</v>
      </c>
      <c r="G393" s="5">
        <v>50</v>
      </c>
      <c r="H393" s="2" t="s">
        <v>29</v>
      </c>
      <c r="I393" s="2" t="s">
        <v>25</v>
      </c>
      <c r="J393" s="2" t="s">
        <v>17</v>
      </c>
      <c r="K393" s="2" t="s">
        <v>45</v>
      </c>
    </row>
    <row r="394" spans="1:11" x14ac:dyDescent="0.3">
      <c r="A394" s="2" t="s">
        <v>668</v>
      </c>
      <c r="B394" s="2" t="s">
        <v>207</v>
      </c>
      <c r="C394" s="3">
        <v>45707.990972222222</v>
      </c>
      <c r="D394" s="2" t="s">
        <v>13</v>
      </c>
      <c r="E394" s="4">
        <v>727.82</v>
      </c>
      <c r="F394" s="2" t="s">
        <v>14</v>
      </c>
      <c r="G394" s="5">
        <v>33</v>
      </c>
      <c r="H394" s="2" t="s">
        <v>15</v>
      </c>
      <c r="I394" s="2" t="s">
        <v>34</v>
      </c>
      <c r="J394" s="2" t="s">
        <v>49</v>
      </c>
      <c r="K394" s="2" t="s">
        <v>35</v>
      </c>
    </row>
    <row r="395" spans="1:11" x14ac:dyDescent="0.3">
      <c r="A395" s="2" t="s">
        <v>669</v>
      </c>
      <c r="B395" s="2" t="s">
        <v>509</v>
      </c>
      <c r="C395" s="3">
        <v>45848.190972222219</v>
      </c>
      <c r="D395" s="2" t="s">
        <v>13</v>
      </c>
      <c r="E395" s="4">
        <v>1971.18</v>
      </c>
      <c r="F395" s="2" t="s">
        <v>14</v>
      </c>
      <c r="G395" s="5">
        <v>29</v>
      </c>
      <c r="H395" s="2" t="s">
        <v>15</v>
      </c>
      <c r="I395" s="2" t="s">
        <v>34</v>
      </c>
      <c r="J395" s="2" t="s">
        <v>49</v>
      </c>
      <c r="K395" s="2" t="s">
        <v>22</v>
      </c>
    </row>
    <row r="396" spans="1:11" x14ac:dyDescent="0.3">
      <c r="A396" s="2" t="s">
        <v>670</v>
      </c>
      <c r="B396" s="2" t="s">
        <v>232</v>
      </c>
      <c r="C396" s="3">
        <v>45688.774305555547</v>
      </c>
      <c r="D396" s="2" t="s">
        <v>28</v>
      </c>
      <c r="E396" s="4">
        <v>57564.160000000003</v>
      </c>
      <c r="F396" s="2" t="s">
        <v>14</v>
      </c>
      <c r="G396" s="5">
        <v>36</v>
      </c>
      <c r="H396" s="2" t="s">
        <v>15</v>
      </c>
      <c r="I396" s="2" t="s">
        <v>34</v>
      </c>
      <c r="J396" s="2" t="s">
        <v>44</v>
      </c>
      <c r="K396" s="2" t="s">
        <v>18</v>
      </c>
    </row>
    <row r="397" spans="1:11" x14ac:dyDescent="0.3">
      <c r="A397" s="2" t="s">
        <v>671</v>
      </c>
      <c r="B397" s="2" t="s">
        <v>502</v>
      </c>
      <c r="C397" s="3">
        <v>45945.445833333331</v>
      </c>
      <c r="D397" s="2" t="s">
        <v>13</v>
      </c>
      <c r="E397" s="4">
        <v>1296.02</v>
      </c>
      <c r="F397" s="2" t="s">
        <v>14</v>
      </c>
      <c r="G397" s="5">
        <v>26</v>
      </c>
      <c r="H397" s="2" t="s">
        <v>29</v>
      </c>
      <c r="I397" s="2" t="s">
        <v>95</v>
      </c>
      <c r="J397" s="2" t="s">
        <v>17</v>
      </c>
      <c r="K397" s="2" t="s">
        <v>18</v>
      </c>
    </row>
    <row r="398" spans="1:11" x14ac:dyDescent="0.3">
      <c r="A398" s="2" t="s">
        <v>672</v>
      </c>
      <c r="B398" s="2" t="s">
        <v>262</v>
      </c>
      <c r="C398" s="3">
        <v>45720.556944444441</v>
      </c>
      <c r="D398" s="2" t="s">
        <v>38</v>
      </c>
      <c r="E398" s="4">
        <v>1954.74</v>
      </c>
      <c r="F398" s="2" t="s">
        <v>14</v>
      </c>
      <c r="G398" s="5">
        <v>50</v>
      </c>
      <c r="H398" s="2" t="s">
        <v>29</v>
      </c>
      <c r="I398" s="2" t="s">
        <v>60</v>
      </c>
      <c r="J398" s="2" t="s">
        <v>49</v>
      </c>
      <c r="K398" s="2" t="s">
        <v>18</v>
      </c>
    </row>
    <row r="399" spans="1:11" x14ac:dyDescent="0.3">
      <c r="A399" s="2" t="s">
        <v>673</v>
      </c>
      <c r="B399" s="2" t="s">
        <v>364</v>
      </c>
      <c r="C399" s="3">
        <v>45998.579861111109</v>
      </c>
      <c r="D399" s="2" t="s">
        <v>28</v>
      </c>
      <c r="E399" s="4">
        <v>73061.17</v>
      </c>
      <c r="F399" s="2" t="s">
        <v>14</v>
      </c>
      <c r="G399" s="5">
        <v>32</v>
      </c>
      <c r="H399" s="2" t="s">
        <v>15</v>
      </c>
      <c r="I399" s="2" t="s">
        <v>34</v>
      </c>
      <c r="J399" s="2" t="s">
        <v>17</v>
      </c>
      <c r="K399" s="2" t="s">
        <v>45</v>
      </c>
    </row>
    <row r="400" spans="1:11" x14ac:dyDescent="0.3">
      <c r="A400" s="2" t="s">
        <v>674</v>
      </c>
      <c r="B400" s="2" t="s">
        <v>545</v>
      </c>
      <c r="C400" s="3">
        <v>45684.401388888888</v>
      </c>
      <c r="D400" s="2" t="s">
        <v>38</v>
      </c>
      <c r="E400" s="4">
        <v>24605.56</v>
      </c>
      <c r="F400" s="2" t="s">
        <v>14</v>
      </c>
      <c r="G400" s="5">
        <v>36</v>
      </c>
      <c r="H400" s="2" t="s">
        <v>29</v>
      </c>
      <c r="I400" s="2" t="s">
        <v>21</v>
      </c>
      <c r="J400" s="2" t="s">
        <v>17</v>
      </c>
      <c r="K400" s="2" t="s">
        <v>35</v>
      </c>
    </row>
    <row r="401" spans="1:11" x14ac:dyDescent="0.3">
      <c r="A401" s="2" t="s">
        <v>675</v>
      </c>
      <c r="B401" s="2" t="s">
        <v>67</v>
      </c>
      <c r="C401" s="3">
        <v>45817.462500000001</v>
      </c>
      <c r="D401" s="2" t="s">
        <v>38</v>
      </c>
      <c r="E401" s="4">
        <v>5324.16</v>
      </c>
      <c r="F401" s="2" t="s">
        <v>14</v>
      </c>
      <c r="G401" s="5">
        <v>29</v>
      </c>
      <c r="H401" s="2" t="s">
        <v>15</v>
      </c>
      <c r="I401" s="2" t="s">
        <v>34</v>
      </c>
      <c r="J401" s="2" t="s">
        <v>44</v>
      </c>
      <c r="K401" s="2" t="s">
        <v>18</v>
      </c>
    </row>
    <row r="402" spans="1:11" x14ac:dyDescent="0.3">
      <c r="A402" s="2" t="s">
        <v>676</v>
      </c>
      <c r="B402" s="2" t="s">
        <v>256</v>
      </c>
      <c r="C402" s="3">
        <v>45953.675694444442</v>
      </c>
      <c r="D402" s="2" t="s">
        <v>13</v>
      </c>
      <c r="E402" s="4">
        <v>559.95000000000005</v>
      </c>
      <c r="F402" s="2" t="s">
        <v>14</v>
      </c>
      <c r="G402" s="5">
        <v>26</v>
      </c>
      <c r="H402" s="2" t="s">
        <v>29</v>
      </c>
      <c r="I402" s="2" t="s">
        <v>78</v>
      </c>
      <c r="J402" s="2" t="s">
        <v>17</v>
      </c>
      <c r="K402" s="2" t="s">
        <v>18</v>
      </c>
    </row>
    <row r="403" spans="1:11" x14ac:dyDescent="0.3">
      <c r="A403" s="2" t="s">
        <v>677</v>
      </c>
      <c r="B403" s="2" t="s">
        <v>417</v>
      </c>
      <c r="C403" s="3">
        <v>45737.895833333343</v>
      </c>
      <c r="D403" s="2" t="s">
        <v>28</v>
      </c>
      <c r="E403" s="4">
        <v>49676.22</v>
      </c>
      <c r="F403" s="2" t="s">
        <v>57</v>
      </c>
      <c r="G403" s="5">
        <v>28</v>
      </c>
      <c r="H403" s="2" t="s">
        <v>15</v>
      </c>
      <c r="I403" s="2" t="s">
        <v>21</v>
      </c>
      <c r="J403" s="2" t="s">
        <v>44</v>
      </c>
      <c r="K403" s="2" t="s">
        <v>35</v>
      </c>
    </row>
    <row r="404" spans="1:11" x14ac:dyDescent="0.3">
      <c r="A404" s="2" t="s">
        <v>678</v>
      </c>
      <c r="B404" s="2" t="s">
        <v>315</v>
      </c>
      <c r="C404" s="3">
        <v>45772.140277777777</v>
      </c>
      <c r="D404" s="2" t="s">
        <v>33</v>
      </c>
      <c r="E404" s="4">
        <v>6196.63</v>
      </c>
      <c r="F404" s="2" t="s">
        <v>57</v>
      </c>
      <c r="G404" s="5">
        <v>40</v>
      </c>
      <c r="H404" s="2" t="s">
        <v>15</v>
      </c>
      <c r="I404" s="2" t="s">
        <v>34</v>
      </c>
      <c r="J404" s="2" t="s">
        <v>17</v>
      </c>
      <c r="K404" s="2" t="s">
        <v>18</v>
      </c>
    </row>
    <row r="405" spans="1:11" x14ac:dyDescent="0.3">
      <c r="A405" s="2" t="s">
        <v>679</v>
      </c>
      <c r="B405" s="2" t="s">
        <v>521</v>
      </c>
      <c r="C405" s="3">
        <v>45942.463194444441</v>
      </c>
      <c r="D405" s="2" t="s">
        <v>38</v>
      </c>
      <c r="E405" s="4">
        <v>9897.76</v>
      </c>
      <c r="F405" s="2" t="s">
        <v>14</v>
      </c>
      <c r="G405" s="5">
        <v>30</v>
      </c>
      <c r="H405" s="2" t="s">
        <v>29</v>
      </c>
      <c r="I405" s="2" t="s">
        <v>60</v>
      </c>
      <c r="J405" s="2" t="s">
        <v>44</v>
      </c>
      <c r="K405" s="2" t="s">
        <v>18</v>
      </c>
    </row>
    <row r="406" spans="1:11" x14ac:dyDescent="0.3">
      <c r="A406" s="2" t="s">
        <v>680</v>
      </c>
      <c r="B406" s="2" t="s">
        <v>167</v>
      </c>
      <c r="C406" s="3">
        <v>45800.759722222218</v>
      </c>
      <c r="D406" s="2" t="s">
        <v>28</v>
      </c>
      <c r="E406" s="4">
        <v>26996.41</v>
      </c>
      <c r="F406" s="2" t="s">
        <v>14</v>
      </c>
      <c r="G406" s="5">
        <v>24</v>
      </c>
      <c r="H406" s="2" t="s">
        <v>29</v>
      </c>
      <c r="I406" s="2" t="s">
        <v>34</v>
      </c>
      <c r="J406" s="2" t="s">
        <v>44</v>
      </c>
      <c r="K406" s="2" t="s">
        <v>18</v>
      </c>
    </row>
    <row r="407" spans="1:11" x14ac:dyDescent="0.3">
      <c r="A407" s="2" t="s">
        <v>681</v>
      </c>
      <c r="B407" s="2" t="s">
        <v>551</v>
      </c>
      <c r="C407" s="3">
        <v>45877.742361111108</v>
      </c>
      <c r="D407" s="2" t="s">
        <v>28</v>
      </c>
      <c r="E407" s="4">
        <v>38536.04</v>
      </c>
      <c r="F407" s="2" t="s">
        <v>14</v>
      </c>
      <c r="G407" s="5">
        <v>32</v>
      </c>
      <c r="H407" s="2" t="s">
        <v>15</v>
      </c>
      <c r="I407" s="2" t="s">
        <v>34</v>
      </c>
      <c r="J407" s="2" t="s">
        <v>44</v>
      </c>
      <c r="K407" s="2" t="s">
        <v>18</v>
      </c>
    </row>
    <row r="408" spans="1:11" x14ac:dyDescent="0.3">
      <c r="A408" s="2" t="s">
        <v>682</v>
      </c>
      <c r="B408" s="2" t="s">
        <v>567</v>
      </c>
      <c r="C408" s="3">
        <v>45976.821527777778</v>
      </c>
      <c r="D408" s="2" t="s">
        <v>28</v>
      </c>
      <c r="E408" s="4">
        <v>25607.86</v>
      </c>
      <c r="F408" s="2" t="s">
        <v>14</v>
      </c>
      <c r="G408" s="5">
        <v>39</v>
      </c>
      <c r="H408" s="2" t="s">
        <v>15</v>
      </c>
      <c r="I408" s="2" t="s">
        <v>48</v>
      </c>
      <c r="J408" s="2" t="s">
        <v>17</v>
      </c>
      <c r="K408" s="2" t="s">
        <v>18</v>
      </c>
    </row>
    <row r="409" spans="1:11" x14ac:dyDescent="0.3">
      <c r="A409" s="2" t="s">
        <v>683</v>
      </c>
      <c r="B409" s="2" t="s">
        <v>572</v>
      </c>
      <c r="C409" s="3">
        <v>45987.709027777782</v>
      </c>
      <c r="D409" s="2" t="s">
        <v>13</v>
      </c>
      <c r="E409" s="4">
        <v>292.62</v>
      </c>
      <c r="F409" s="2" t="s">
        <v>14</v>
      </c>
      <c r="G409" s="5">
        <v>57</v>
      </c>
      <c r="H409" s="2" t="s">
        <v>15</v>
      </c>
      <c r="I409" s="2" t="s">
        <v>95</v>
      </c>
      <c r="J409" s="2" t="s">
        <v>17</v>
      </c>
      <c r="K409" s="2" t="s">
        <v>18</v>
      </c>
    </row>
    <row r="410" spans="1:11" x14ac:dyDescent="0.3">
      <c r="A410" s="2" t="s">
        <v>684</v>
      </c>
      <c r="B410" s="2" t="s">
        <v>258</v>
      </c>
      <c r="C410" s="3">
        <v>45969.911805555559</v>
      </c>
      <c r="D410" s="2" t="s">
        <v>13</v>
      </c>
      <c r="E410" s="4">
        <v>1957.83</v>
      </c>
      <c r="F410" s="2" t="s">
        <v>14</v>
      </c>
      <c r="G410" s="5">
        <v>58</v>
      </c>
      <c r="H410" s="2" t="s">
        <v>29</v>
      </c>
      <c r="I410" s="2" t="s">
        <v>30</v>
      </c>
      <c r="J410" s="2" t="s">
        <v>49</v>
      </c>
      <c r="K410" s="2" t="s">
        <v>35</v>
      </c>
    </row>
    <row r="411" spans="1:11" x14ac:dyDescent="0.3">
      <c r="A411" s="2" t="s">
        <v>685</v>
      </c>
      <c r="B411" s="2" t="s">
        <v>232</v>
      </c>
      <c r="C411" s="3">
        <v>46013.334027777782</v>
      </c>
      <c r="D411" s="2" t="s">
        <v>28</v>
      </c>
      <c r="E411" s="4">
        <v>8321.36</v>
      </c>
      <c r="F411" s="2" t="s">
        <v>14</v>
      </c>
      <c r="G411" s="5">
        <v>36</v>
      </c>
      <c r="H411" s="2" t="s">
        <v>15</v>
      </c>
      <c r="I411" s="2" t="s">
        <v>34</v>
      </c>
      <c r="J411" s="2" t="s">
        <v>44</v>
      </c>
      <c r="K411" s="2" t="s">
        <v>18</v>
      </c>
    </row>
    <row r="412" spans="1:11" x14ac:dyDescent="0.3">
      <c r="A412" s="2" t="s">
        <v>686</v>
      </c>
      <c r="B412" s="2" t="s">
        <v>497</v>
      </c>
      <c r="C412" s="3">
        <v>45750.363888888889</v>
      </c>
      <c r="D412" s="2" t="s">
        <v>154</v>
      </c>
      <c r="E412" s="4">
        <v>10000</v>
      </c>
      <c r="F412" s="2" t="s">
        <v>14</v>
      </c>
      <c r="G412" s="5">
        <v>34</v>
      </c>
      <c r="H412" s="2" t="s">
        <v>15</v>
      </c>
      <c r="I412" s="2" t="s">
        <v>21</v>
      </c>
      <c r="J412" s="2" t="s">
        <v>17</v>
      </c>
      <c r="K412" s="2" t="s">
        <v>18</v>
      </c>
    </row>
    <row r="413" spans="1:11" x14ac:dyDescent="0.3">
      <c r="A413" s="2" t="s">
        <v>687</v>
      </c>
      <c r="B413" s="2" t="s">
        <v>688</v>
      </c>
      <c r="C413" s="3">
        <v>45816.431944444441</v>
      </c>
      <c r="D413" s="2" t="s">
        <v>154</v>
      </c>
      <c r="E413" s="4">
        <v>40000</v>
      </c>
      <c r="F413" s="2" t="s">
        <v>14</v>
      </c>
      <c r="G413" s="5">
        <v>24</v>
      </c>
      <c r="H413" s="2" t="s">
        <v>29</v>
      </c>
      <c r="I413" s="2" t="s">
        <v>34</v>
      </c>
      <c r="J413" s="2" t="s">
        <v>44</v>
      </c>
      <c r="K413" s="2" t="s">
        <v>18</v>
      </c>
    </row>
    <row r="414" spans="1:11" x14ac:dyDescent="0.3">
      <c r="A414" s="2" t="s">
        <v>689</v>
      </c>
      <c r="B414" s="2" t="s">
        <v>690</v>
      </c>
      <c r="C414" s="3">
        <v>45661.246527777781</v>
      </c>
      <c r="D414" s="2" t="s">
        <v>28</v>
      </c>
      <c r="E414" s="4">
        <v>22638.27</v>
      </c>
      <c r="F414" s="2" t="s">
        <v>57</v>
      </c>
      <c r="G414" s="5">
        <v>33</v>
      </c>
      <c r="H414" s="2" t="s">
        <v>15</v>
      </c>
      <c r="I414" s="2" t="s">
        <v>43</v>
      </c>
      <c r="J414" s="2" t="s">
        <v>17</v>
      </c>
      <c r="K414" s="2" t="s">
        <v>18</v>
      </c>
    </row>
    <row r="415" spans="1:11" x14ac:dyDescent="0.3">
      <c r="A415" s="2" t="s">
        <v>691</v>
      </c>
      <c r="B415" s="2" t="s">
        <v>692</v>
      </c>
      <c r="C415" s="3">
        <v>45731.779166666667</v>
      </c>
      <c r="D415" s="2" t="s">
        <v>38</v>
      </c>
      <c r="E415" s="4">
        <v>14368.21</v>
      </c>
      <c r="F415" s="2" t="s">
        <v>14</v>
      </c>
      <c r="G415" s="5">
        <v>41</v>
      </c>
      <c r="H415" s="2" t="s">
        <v>15</v>
      </c>
      <c r="I415" s="2" t="s">
        <v>25</v>
      </c>
      <c r="J415" s="2" t="s">
        <v>17</v>
      </c>
      <c r="K415" s="2" t="s">
        <v>22</v>
      </c>
    </row>
    <row r="416" spans="1:11" x14ac:dyDescent="0.3">
      <c r="A416" s="2" t="s">
        <v>693</v>
      </c>
      <c r="B416" s="2" t="s">
        <v>150</v>
      </c>
      <c r="C416" s="3">
        <v>45863.089583333327</v>
      </c>
      <c r="D416" s="2" t="s">
        <v>38</v>
      </c>
      <c r="E416" s="4">
        <v>1576.99</v>
      </c>
      <c r="F416" s="2" t="s">
        <v>14</v>
      </c>
      <c r="G416" s="5">
        <v>52</v>
      </c>
      <c r="H416" s="2" t="s">
        <v>15</v>
      </c>
      <c r="I416" s="2" t="s">
        <v>34</v>
      </c>
      <c r="J416" s="2" t="s">
        <v>17</v>
      </c>
      <c r="K416" s="2" t="s">
        <v>45</v>
      </c>
    </row>
    <row r="417" spans="1:11" x14ac:dyDescent="0.3">
      <c r="A417" s="2" t="s">
        <v>694</v>
      </c>
      <c r="B417" s="2" t="s">
        <v>535</v>
      </c>
      <c r="C417" s="3">
        <v>45982.003472222219</v>
      </c>
      <c r="D417" s="2" t="s">
        <v>13</v>
      </c>
      <c r="E417" s="4">
        <v>1866.94</v>
      </c>
      <c r="F417" s="2" t="s">
        <v>14</v>
      </c>
      <c r="G417" s="5">
        <v>28</v>
      </c>
      <c r="H417" s="2" t="s">
        <v>15</v>
      </c>
      <c r="I417" s="2" t="s">
        <v>34</v>
      </c>
      <c r="J417" s="2" t="s">
        <v>49</v>
      </c>
      <c r="K417" s="2" t="s">
        <v>35</v>
      </c>
    </row>
    <row r="418" spans="1:11" x14ac:dyDescent="0.3">
      <c r="A418" s="2" t="s">
        <v>695</v>
      </c>
      <c r="B418" s="2" t="s">
        <v>176</v>
      </c>
      <c r="C418" s="3">
        <v>45929.26666666667</v>
      </c>
      <c r="D418" s="2" t="s">
        <v>28</v>
      </c>
      <c r="E418" s="4">
        <v>3178.79</v>
      </c>
      <c r="F418" s="2" t="s">
        <v>14</v>
      </c>
      <c r="G418" s="5">
        <v>32</v>
      </c>
      <c r="H418" s="2" t="s">
        <v>15</v>
      </c>
      <c r="I418" s="2" t="s">
        <v>34</v>
      </c>
      <c r="J418" s="2" t="s">
        <v>49</v>
      </c>
      <c r="K418" s="2" t="s">
        <v>18</v>
      </c>
    </row>
    <row r="419" spans="1:11" x14ac:dyDescent="0.3">
      <c r="A419" s="2" t="s">
        <v>696</v>
      </c>
      <c r="B419" s="2" t="s">
        <v>109</v>
      </c>
      <c r="C419" s="3">
        <v>45872.597916666673</v>
      </c>
      <c r="D419" s="2" t="s">
        <v>28</v>
      </c>
      <c r="E419" s="4">
        <v>5611.66</v>
      </c>
      <c r="F419" s="2" t="s">
        <v>14</v>
      </c>
      <c r="G419" s="5">
        <v>38</v>
      </c>
      <c r="H419" s="2" t="s">
        <v>15</v>
      </c>
      <c r="I419" s="2" t="s">
        <v>21</v>
      </c>
      <c r="J419" s="2" t="s">
        <v>17</v>
      </c>
      <c r="K419" s="2" t="s">
        <v>18</v>
      </c>
    </row>
    <row r="420" spans="1:11" x14ac:dyDescent="0.3">
      <c r="A420" s="2" t="s">
        <v>697</v>
      </c>
      <c r="B420" s="2" t="s">
        <v>489</v>
      </c>
      <c r="C420" s="3">
        <v>45738.47152777778</v>
      </c>
      <c r="D420" s="2" t="s">
        <v>28</v>
      </c>
      <c r="E420" s="4">
        <v>29598.3</v>
      </c>
      <c r="F420" s="2" t="s">
        <v>14</v>
      </c>
      <c r="G420" s="5">
        <v>28</v>
      </c>
      <c r="H420" s="2" t="s">
        <v>15</v>
      </c>
      <c r="I420" s="2" t="s">
        <v>30</v>
      </c>
      <c r="J420" s="2" t="s">
        <v>17</v>
      </c>
      <c r="K420" s="2" t="s">
        <v>45</v>
      </c>
    </row>
    <row r="421" spans="1:11" x14ac:dyDescent="0.3">
      <c r="A421" s="2" t="s">
        <v>698</v>
      </c>
      <c r="B421" s="2" t="s">
        <v>572</v>
      </c>
      <c r="C421" s="3">
        <v>45824.776388888888</v>
      </c>
      <c r="D421" s="2" t="s">
        <v>154</v>
      </c>
      <c r="E421" s="4">
        <v>40000</v>
      </c>
      <c r="F421" s="2" t="s">
        <v>14</v>
      </c>
      <c r="G421" s="5">
        <v>57</v>
      </c>
      <c r="H421" s="2" t="s">
        <v>15</v>
      </c>
      <c r="I421" s="2" t="s">
        <v>95</v>
      </c>
      <c r="J421" s="2" t="s">
        <v>17</v>
      </c>
      <c r="K421" s="2" t="s">
        <v>35</v>
      </c>
    </row>
    <row r="422" spans="1:11" x14ac:dyDescent="0.3">
      <c r="A422" s="2" t="s">
        <v>699</v>
      </c>
      <c r="B422" s="2" t="s">
        <v>415</v>
      </c>
      <c r="C422" s="3">
        <v>45701.04791666667</v>
      </c>
      <c r="D422" s="2" t="s">
        <v>33</v>
      </c>
      <c r="E422" s="4">
        <v>1627.29</v>
      </c>
      <c r="F422" s="2" t="s">
        <v>14</v>
      </c>
      <c r="G422" s="5">
        <v>30</v>
      </c>
      <c r="H422" s="2" t="s">
        <v>29</v>
      </c>
      <c r="I422" s="2" t="s">
        <v>21</v>
      </c>
      <c r="J422" s="2" t="s">
        <v>49</v>
      </c>
      <c r="K422" s="2" t="s">
        <v>18</v>
      </c>
    </row>
    <row r="423" spans="1:11" x14ac:dyDescent="0.3">
      <c r="A423" s="2" t="s">
        <v>700</v>
      </c>
      <c r="B423" s="2" t="s">
        <v>535</v>
      </c>
      <c r="C423" s="3">
        <v>45738.793749999997</v>
      </c>
      <c r="D423" s="2" t="s">
        <v>38</v>
      </c>
      <c r="E423" s="4">
        <v>10929.55</v>
      </c>
      <c r="F423" s="2" t="s">
        <v>14</v>
      </c>
      <c r="G423" s="5">
        <v>28</v>
      </c>
      <c r="H423" s="2" t="s">
        <v>15</v>
      </c>
      <c r="I423" s="2" t="s">
        <v>34</v>
      </c>
      <c r="J423" s="2" t="s">
        <v>49</v>
      </c>
      <c r="K423" s="2" t="s">
        <v>18</v>
      </c>
    </row>
    <row r="424" spans="1:11" x14ac:dyDescent="0.3">
      <c r="A424" s="2" t="s">
        <v>701</v>
      </c>
      <c r="B424" s="2" t="s">
        <v>277</v>
      </c>
      <c r="C424" s="3">
        <v>46003.095138888893</v>
      </c>
      <c r="D424" s="2" t="s">
        <v>28</v>
      </c>
      <c r="E424" s="4">
        <v>5346.92</v>
      </c>
      <c r="F424" s="2" t="s">
        <v>14</v>
      </c>
      <c r="G424" s="5">
        <v>50</v>
      </c>
      <c r="H424" s="2" t="s">
        <v>15</v>
      </c>
      <c r="I424" s="2" t="s">
        <v>21</v>
      </c>
      <c r="J424" s="2" t="s">
        <v>44</v>
      </c>
      <c r="K424" s="2" t="s">
        <v>18</v>
      </c>
    </row>
    <row r="425" spans="1:11" x14ac:dyDescent="0.3">
      <c r="A425" s="2" t="s">
        <v>702</v>
      </c>
      <c r="B425" s="2" t="s">
        <v>386</v>
      </c>
      <c r="C425" s="3">
        <v>45884.893750000003</v>
      </c>
      <c r="D425" s="2" t="s">
        <v>28</v>
      </c>
      <c r="E425" s="4">
        <v>9405.49</v>
      </c>
      <c r="F425" s="2" t="s">
        <v>14</v>
      </c>
      <c r="G425" s="5">
        <v>26</v>
      </c>
      <c r="H425" s="2" t="s">
        <v>15</v>
      </c>
      <c r="I425" s="2" t="s">
        <v>25</v>
      </c>
      <c r="J425" s="2" t="s">
        <v>17</v>
      </c>
      <c r="K425" s="2" t="s">
        <v>18</v>
      </c>
    </row>
    <row r="426" spans="1:11" x14ac:dyDescent="0.3">
      <c r="A426" s="2" t="s">
        <v>703</v>
      </c>
      <c r="B426" s="2" t="s">
        <v>165</v>
      </c>
      <c r="C426" s="3">
        <v>45906.811111111107</v>
      </c>
      <c r="D426" s="2" t="s">
        <v>38</v>
      </c>
      <c r="E426" s="4">
        <v>740.02</v>
      </c>
      <c r="F426" s="2" t="s">
        <v>14</v>
      </c>
      <c r="G426" s="5">
        <v>31</v>
      </c>
      <c r="H426" s="2" t="s">
        <v>29</v>
      </c>
      <c r="I426" s="2" t="s">
        <v>30</v>
      </c>
      <c r="J426" s="2" t="s">
        <v>52</v>
      </c>
      <c r="K426" s="2" t="s">
        <v>18</v>
      </c>
    </row>
    <row r="427" spans="1:11" x14ac:dyDescent="0.3">
      <c r="A427" s="2" t="s">
        <v>704</v>
      </c>
      <c r="B427" s="2" t="s">
        <v>105</v>
      </c>
      <c r="C427" s="3">
        <v>45870.342361111107</v>
      </c>
      <c r="D427" s="2" t="s">
        <v>13</v>
      </c>
      <c r="E427" s="4">
        <v>683.71</v>
      </c>
      <c r="F427" s="2" t="s">
        <v>14</v>
      </c>
      <c r="G427" s="5">
        <v>42</v>
      </c>
      <c r="H427" s="2" t="s">
        <v>15</v>
      </c>
      <c r="I427" s="2" t="s">
        <v>34</v>
      </c>
      <c r="J427" s="2" t="s">
        <v>49</v>
      </c>
      <c r="K427" s="2" t="s">
        <v>18</v>
      </c>
    </row>
    <row r="428" spans="1:11" x14ac:dyDescent="0.3">
      <c r="A428" s="2" t="s">
        <v>705</v>
      </c>
      <c r="B428" s="2" t="s">
        <v>156</v>
      </c>
      <c r="C428" s="3">
        <v>45920.140277777777</v>
      </c>
      <c r="D428" s="2" t="s">
        <v>38</v>
      </c>
      <c r="E428" s="4">
        <v>2209.2399999999998</v>
      </c>
      <c r="F428" s="2" t="s">
        <v>14</v>
      </c>
      <c r="G428" s="5">
        <v>22</v>
      </c>
      <c r="H428" s="2" t="s">
        <v>29</v>
      </c>
      <c r="I428" s="2" t="s">
        <v>34</v>
      </c>
      <c r="J428" s="2" t="s">
        <v>52</v>
      </c>
      <c r="K428" s="2" t="s">
        <v>22</v>
      </c>
    </row>
    <row r="429" spans="1:11" x14ac:dyDescent="0.3">
      <c r="A429" s="2" t="s">
        <v>706</v>
      </c>
      <c r="B429" s="2" t="s">
        <v>707</v>
      </c>
      <c r="C429" s="3">
        <v>45878.137499999997</v>
      </c>
      <c r="D429" s="2" t="s">
        <v>13</v>
      </c>
      <c r="E429" s="4">
        <v>657.5</v>
      </c>
      <c r="F429" s="2" t="s">
        <v>14</v>
      </c>
      <c r="G429" s="5">
        <v>35</v>
      </c>
      <c r="H429" s="2" t="s">
        <v>15</v>
      </c>
      <c r="I429" s="2" t="s">
        <v>25</v>
      </c>
      <c r="J429" s="2" t="s">
        <v>17</v>
      </c>
      <c r="K429" s="2" t="s">
        <v>18</v>
      </c>
    </row>
    <row r="430" spans="1:11" x14ac:dyDescent="0.3">
      <c r="A430" s="2" t="s">
        <v>708</v>
      </c>
      <c r="B430" s="2" t="s">
        <v>709</v>
      </c>
      <c r="C430" s="3">
        <v>46005.900694444441</v>
      </c>
      <c r="D430" s="2" t="s">
        <v>28</v>
      </c>
      <c r="E430" s="4">
        <v>9718.7000000000007</v>
      </c>
      <c r="F430" s="2" t="s">
        <v>14</v>
      </c>
      <c r="G430" s="5">
        <v>44</v>
      </c>
      <c r="H430" s="2" t="s">
        <v>15</v>
      </c>
      <c r="I430" s="2" t="s">
        <v>34</v>
      </c>
      <c r="J430" s="2" t="s">
        <v>44</v>
      </c>
      <c r="K430" s="2" t="s">
        <v>18</v>
      </c>
    </row>
    <row r="431" spans="1:11" x14ac:dyDescent="0.3">
      <c r="A431" s="2" t="s">
        <v>710</v>
      </c>
      <c r="B431" s="2" t="s">
        <v>452</v>
      </c>
      <c r="C431" s="3">
        <v>45907.695833333331</v>
      </c>
      <c r="D431" s="2" t="s">
        <v>33</v>
      </c>
      <c r="E431" s="4">
        <v>1360.92</v>
      </c>
      <c r="F431" s="2" t="s">
        <v>14</v>
      </c>
      <c r="G431" s="5">
        <v>47</v>
      </c>
      <c r="H431" s="2" t="s">
        <v>15</v>
      </c>
      <c r="I431" s="2" t="s">
        <v>34</v>
      </c>
      <c r="J431" s="2" t="s">
        <v>17</v>
      </c>
      <c r="K431" s="2" t="s">
        <v>22</v>
      </c>
    </row>
    <row r="432" spans="1:11" x14ac:dyDescent="0.3">
      <c r="A432" s="2" t="s">
        <v>711</v>
      </c>
      <c r="B432" s="2" t="s">
        <v>454</v>
      </c>
      <c r="C432" s="3">
        <v>45815.051388888889</v>
      </c>
      <c r="D432" s="2" t="s">
        <v>28</v>
      </c>
      <c r="E432" s="4">
        <v>7208.68</v>
      </c>
      <c r="F432" s="2" t="s">
        <v>14</v>
      </c>
      <c r="G432" s="5">
        <v>35</v>
      </c>
      <c r="H432" s="2" t="s">
        <v>15</v>
      </c>
      <c r="I432" s="2" t="s">
        <v>21</v>
      </c>
      <c r="J432" s="2" t="s">
        <v>17</v>
      </c>
      <c r="K432" s="2" t="s">
        <v>45</v>
      </c>
    </row>
    <row r="433" spans="1:11" x14ac:dyDescent="0.3">
      <c r="A433" s="2" t="s">
        <v>712</v>
      </c>
      <c r="B433" s="2" t="s">
        <v>198</v>
      </c>
      <c r="C433" s="3">
        <v>45860.793749999997</v>
      </c>
      <c r="D433" s="2" t="s">
        <v>28</v>
      </c>
      <c r="E433" s="4">
        <v>60259.360000000001</v>
      </c>
      <c r="F433" s="2" t="s">
        <v>14</v>
      </c>
      <c r="G433" s="5">
        <v>40</v>
      </c>
      <c r="H433" s="2" t="s">
        <v>29</v>
      </c>
      <c r="I433" s="2" t="s">
        <v>34</v>
      </c>
      <c r="J433" s="2" t="s">
        <v>49</v>
      </c>
      <c r="K433" s="2" t="s">
        <v>35</v>
      </c>
    </row>
    <row r="434" spans="1:11" x14ac:dyDescent="0.3">
      <c r="A434" s="2" t="s">
        <v>713</v>
      </c>
      <c r="B434" s="2" t="s">
        <v>183</v>
      </c>
      <c r="C434" s="3">
        <v>45661.263194444437</v>
      </c>
      <c r="D434" s="2" t="s">
        <v>28</v>
      </c>
      <c r="E434" s="4">
        <v>15782.87</v>
      </c>
      <c r="F434" s="2" t="s">
        <v>14</v>
      </c>
      <c r="G434" s="5">
        <v>19</v>
      </c>
      <c r="H434" s="2" t="s">
        <v>29</v>
      </c>
      <c r="I434" s="2" t="s">
        <v>78</v>
      </c>
      <c r="J434" s="2" t="s">
        <v>44</v>
      </c>
      <c r="K434" s="2" t="s">
        <v>18</v>
      </c>
    </row>
    <row r="435" spans="1:11" x14ac:dyDescent="0.3">
      <c r="A435" s="2" t="s">
        <v>714</v>
      </c>
      <c r="B435" s="2" t="s">
        <v>603</v>
      </c>
      <c r="C435" s="3">
        <v>45766.2</v>
      </c>
      <c r="D435" s="2" t="s">
        <v>28</v>
      </c>
      <c r="E435" s="4">
        <v>38766.01</v>
      </c>
      <c r="F435" s="2" t="s">
        <v>14</v>
      </c>
      <c r="G435" s="5">
        <v>49</v>
      </c>
      <c r="H435" s="2" t="s">
        <v>15</v>
      </c>
      <c r="I435" s="2" t="s">
        <v>34</v>
      </c>
      <c r="J435" s="2" t="s">
        <v>17</v>
      </c>
      <c r="K435" s="2" t="s">
        <v>18</v>
      </c>
    </row>
    <row r="436" spans="1:11" x14ac:dyDescent="0.3">
      <c r="A436" s="2" t="s">
        <v>715</v>
      </c>
      <c r="B436" s="2" t="s">
        <v>716</v>
      </c>
      <c r="C436" s="3">
        <v>45788.388888888891</v>
      </c>
      <c r="D436" s="2" t="s">
        <v>13</v>
      </c>
      <c r="E436" s="4">
        <v>1466.77</v>
      </c>
      <c r="F436" s="2" t="s">
        <v>14</v>
      </c>
      <c r="G436" s="5">
        <v>33</v>
      </c>
      <c r="H436" s="2" t="s">
        <v>15</v>
      </c>
      <c r="I436" s="2" t="s">
        <v>34</v>
      </c>
      <c r="J436" s="2" t="s">
        <v>49</v>
      </c>
      <c r="K436" s="2" t="s">
        <v>18</v>
      </c>
    </row>
    <row r="437" spans="1:11" x14ac:dyDescent="0.3">
      <c r="A437" s="2" t="s">
        <v>717</v>
      </c>
      <c r="B437" s="2" t="s">
        <v>718</v>
      </c>
      <c r="C437" s="3">
        <v>45719.021527777782</v>
      </c>
      <c r="D437" s="2" t="s">
        <v>13</v>
      </c>
      <c r="E437" s="4">
        <v>3864</v>
      </c>
      <c r="F437" s="2" t="s">
        <v>14</v>
      </c>
      <c r="G437" s="5">
        <v>23</v>
      </c>
      <c r="H437" s="2" t="s">
        <v>29</v>
      </c>
      <c r="I437" s="2" t="s">
        <v>34</v>
      </c>
      <c r="J437" s="2" t="s">
        <v>17</v>
      </c>
      <c r="K437" s="2" t="s">
        <v>18</v>
      </c>
    </row>
    <row r="438" spans="1:11" x14ac:dyDescent="0.3">
      <c r="A438" s="2" t="s">
        <v>719</v>
      </c>
      <c r="B438" s="2" t="s">
        <v>248</v>
      </c>
      <c r="C438" s="3">
        <v>45878.213888888888</v>
      </c>
      <c r="D438" s="2" t="s">
        <v>13</v>
      </c>
      <c r="E438" s="4">
        <v>642.51</v>
      </c>
      <c r="F438" s="2" t="s">
        <v>14</v>
      </c>
      <c r="G438" s="5">
        <v>35</v>
      </c>
      <c r="H438" s="2" t="s">
        <v>15</v>
      </c>
      <c r="I438" s="2" t="s">
        <v>25</v>
      </c>
      <c r="J438" s="2" t="s">
        <v>17</v>
      </c>
      <c r="K438" s="2" t="s">
        <v>45</v>
      </c>
    </row>
    <row r="439" spans="1:11" x14ac:dyDescent="0.3">
      <c r="A439" s="2" t="s">
        <v>720</v>
      </c>
      <c r="B439" s="2" t="s">
        <v>549</v>
      </c>
      <c r="C439" s="3">
        <v>45852.739583333343</v>
      </c>
      <c r="D439" s="2" t="s">
        <v>28</v>
      </c>
      <c r="E439" s="4">
        <v>43246.19</v>
      </c>
      <c r="F439" s="2" t="s">
        <v>14</v>
      </c>
      <c r="G439" s="5">
        <v>53</v>
      </c>
      <c r="H439" s="2" t="s">
        <v>29</v>
      </c>
      <c r="I439" s="2" t="s">
        <v>21</v>
      </c>
      <c r="J439" s="2" t="s">
        <v>17</v>
      </c>
      <c r="K439" s="2" t="s">
        <v>22</v>
      </c>
    </row>
    <row r="440" spans="1:11" x14ac:dyDescent="0.3">
      <c r="A440" s="2" t="s">
        <v>721</v>
      </c>
      <c r="B440" s="2" t="s">
        <v>722</v>
      </c>
      <c r="C440" s="3">
        <v>45775.690972222219</v>
      </c>
      <c r="D440" s="2" t="s">
        <v>28</v>
      </c>
      <c r="E440" s="4">
        <v>21151.759999999998</v>
      </c>
      <c r="F440" s="2" t="s">
        <v>14</v>
      </c>
      <c r="G440" s="5">
        <v>42</v>
      </c>
      <c r="H440" s="2" t="s">
        <v>29</v>
      </c>
      <c r="I440" s="2" t="s">
        <v>25</v>
      </c>
      <c r="J440" s="2" t="s">
        <v>44</v>
      </c>
      <c r="K440" s="2" t="s">
        <v>18</v>
      </c>
    </row>
    <row r="441" spans="1:11" x14ac:dyDescent="0.3">
      <c r="A441" s="2" t="s">
        <v>723</v>
      </c>
      <c r="B441" s="2" t="s">
        <v>724</v>
      </c>
      <c r="C441" s="3">
        <v>46000.461111111108</v>
      </c>
      <c r="D441" s="2" t="s">
        <v>28</v>
      </c>
      <c r="E441" s="4">
        <v>7132.49</v>
      </c>
      <c r="F441" s="2" t="s">
        <v>14</v>
      </c>
      <c r="G441" s="5">
        <v>21</v>
      </c>
      <c r="H441" s="2" t="s">
        <v>29</v>
      </c>
      <c r="I441" s="2" t="s">
        <v>25</v>
      </c>
      <c r="J441" s="2" t="s">
        <v>17</v>
      </c>
      <c r="K441" s="2" t="s">
        <v>45</v>
      </c>
    </row>
    <row r="442" spans="1:11" x14ac:dyDescent="0.3">
      <c r="A442" s="2" t="s">
        <v>725</v>
      </c>
      <c r="B442" s="2" t="s">
        <v>585</v>
      </c>
      <c r="C442" s="3">
        <v>45861.959722222222</v>
      </c>
      <c r="D442" s="2" t="s">
        <v>154</v>
      </c>
      <c r="E442" s="4">
        <v>10000</v>
      </c>
      <c r="F442" s="2" t="s">
        <v>14</v>
      </c>
      <c r="G442" s="5">
        <v>25</v>
      </c>
      <c r="H442" s="2" t="s">
        <v>15</v>
      </c>
      <c r="I442" s="2" t="s">
        <v>95</v>
      </c>
      <c r="J442" s="2" t="s">
        <v>49</v>
      </c>
      <c r="K442" s="2" t="s">
        <v>45</v>
      </c>
    </row>
    <row r="443" spans="1:11" x14ac:dyDescent="0.3">
      <c r="A443" s="2" t="s">
        <v>726</v>
      </c>
      <c r="B443" s="2" t="s">
        <v>581</v>
      </c>
      <c r="C443" s="3">
        <v>45881.020138888889</v>
      </c>
      <c r="D443" s="2" t="s">
        <v>38</v>
      </c>
      <c r="E443" s="4">
        <v>1633.59</v>
      </c>
      <c r="F443" s="2" t="s">
        <v>14</v>
      </c>
      <c r="G443" s="5">
        <v>42</v>
      </c>
      <c r="H443" s="2" t="s">
        <v>15</v>
      </c>
      <c r="I443" s="2" t="s">
        <v>21</v>
      </c>
      <c r="J443" s="2" t="s">
        <v>17</v>
      </c>
      <c r="K443" s="2" t="s">
        <v>45</v>
      </c>
    </row>
    <row r="444" spans="1:11" x14ac:dyDescent="0.3">
      <c r="A444" s="2" t="s">
        <v>727</v>
      </c>
      <c r="B444" s="2" t="s">
        <v>296</v>
      </c>
      <c r="C444" s="3">
        <v>45697.441666666673</v>
      </c>
      <c r="D444" s="2" t="s">
        <v>13</v>
      </c>
      <c r="E444" s="4">
        <v>1954.73</v>
      </c>
      <c r="F444" s="2" t="s">
        <v>14</v>
      </c>
      <c r="G444" s="5">
        <v>31</v>
      </c>
      <c r="H444" s="2" t="s">
        <v>15</v>
      </c>
      <c r="I444" s="2" t="s">
        <v>34</v>
      </c>
      <c r="J444" s="2" t="s">
        <v>52</v>
      </c>
      <c r="K444" s="2" t="s">
        <v>18</v>
      </c>
    </row>
    <row r="445" spans="1:11" x14ac:dyDescent="0.3">
      <c r="A445" s="2" t="s">
        <v>728</v>
      </c>
      <c r="B445" s="2" t="s">
        <v>258</v>
      </c>
      <c r="C445" s="3">
        <v>45877.767361111109</v>
      </c>
      <c r="D445" s="2" t="s">
        <v>13</v>
      </c>
      <c r="E445" s="4">
        <v>1143.6199999999999</v>
      </c>
      <c r="F445" s="2" t="s">
        <v>14</v>
      </c>
      <c r="G445" s="5">
        <v>58</v>
      </c>
      <c r="H445" s="2" t="s">
        <v>29</v>
      </c>
      <c r="I445" s="2" t="s">
        <v>30</v>
      </c>
      <c r="J445" s="2" t="s">
        <v>49</v>
      </c>
      <c r="K445" s="2" t="s">
        <v>18</v>
      </c>
    </row>
    <row r="446" spans="1:11" x14ac:dyDescent="0.3">
      <c r="A446" s="2" t="s">
        <v>729</v>
      </c>
      <c r="B446" s="2" t="s">
        <v>730</v>
      </c>
      <c r="C446" s="3">
        <v>46021.851388888892</v>
      </c>
      <c r="D446" s="2" t="s">
        <v>33</v>
      </c>
      <c r="E446" s="4">
        <v>22502.94</v>
      </c>
      <c r="F446" s="2" t="s">
        <v>14</v>
      </c>
      <c r="G446" s="5">
        <v>40</v>
      </c>
      <c r="H446" s="2" t="s">
        <v>15</v>
      </c>
      <c r="I446" s="2" t="s">
        <v>34</v>
      </c>
      <c r="J446" s="2" t="s">
        <v>17</v>
      </c>
      <c r="K446" s="2" t="s">
        <v>22</v>
      </c>
    </row>
    <row r="447" spans="1:11" x14ac:dyDescent="0.3">
      <c r="A447" s="2" t="s">
        <v>731</v>
      </c>
      <c r="B447" s="2" t="s">
        <v>732</v>
      </c>
      <c r="C447" s="3">
        <v>45806.142361111109</v>
      </c>
      <c r="D447" s="2" t="s">
        <v>13</v>
      </c>
      <c r="E447" s="4">
        <v>332.79</v>
      </c>
      <c r="F447" s="2" t="s">
        <v>14</v>
      </c>
      <c r="G447" s="5">
        <v>36</v>
      </c>
      <c r="H447" s="2" t="s">
        <v>29</v>
      </c>
      <c r="I447" s="2" t="s">
        <v>43</v>
      </c>
      <c r="J447" s="2" t="s">
        <v>49</v>
      </c>
      <c r="K447" s="2" t="s">
        <v>35</v>
      </c>
    </row>
    <row r="448" spans="1:11" x14ac:dyDescent="0.3">
      <c r="A448" s="2" t="s">
        <v>733</v>
      </c>
      <c r="B448" s="2" t="s">
        <v>734</v>
      </c>
      <c r="C448" s="3">
        <v>45668.423611111109</v>
      </c>
      <c r="D448" s="2" t="s">
        <v>33</v>
      </c>
      <c r="E448" s="4">
        <v>22160.19</v>
      </c>
      <c r="F448" s="2" t="s">
        <v>14</v>
      </c>
      <c r="G448" s="5">
        <v>45</v>
      </c>
      <c r="H448" s="2" t="s">
        <v>15</v>
      </c>
      <c r="I448" s="2" t="s">
        <v>95</v>
      </c>
      <c r="J448" s="2" t="s">
        <v>44</v>
      </c>
      <c r="K448" s="2" t="s">
        <v>35</v>
      </c>
    </row>
    <row r="449" spans="1:11" x14ac:dyDescent="0.3">
      <c r="A449" s="2" t="s">
        <v>735</v>
      </c>
      <c r="B449" s="2" t="s">
        <v>201</v>
      </c>
      <c r="C449" s="3">
        <v>45974.620138888888</v>
      </c>
      <c r="D449" s="2" t="s">
        <v>28</v>
      </c>
      <c r="E449" s="4">
        <v>9854.3700000000008</v>
      </c>
      <c r="F449" s="2" t="s">
        <v>14</v>
      </c>
      <c r="G449" s="5">
        <v>38</v>
      </c>
      <c r="H449" s="2" t="s">
        <v>29</v>
      </c>
      <c r="I449" s="2" t="s">
        <v>34</v>
      </c>
      <c r="J449" s="2" t="s">
        <v>44</v>
      </c>
      <c r="K449" s="2" t="s">
        <v>18</v>
      </c>
    </row>
    <row r="450" spans="1:11" x14ac:dyDescent="0.3">
      <c r="A450" s="2" t="s">
        <v>736</v>
      </c>
      <c r="B450" s="2" t="s">
        <v>130</v>
      </c>
      <c r="C450" s="3">
        <v>46011.461805555547</v>
      </c>
      <c r="D450" s="2" t="s">
        <v>28</v>
      </c>
      <c r="E450" s="4">
        <v>2511.4299999999998</v>
      </c>
      <c r="F450" s="2" t="s">
        <v>14</v>
      </c>
      <c r="G450" s="5">
        <v>38</v>
      </c>
      <c r="H450" s="2" t="s">
        <v>29</v>
      </c>
      <c r="I450" s="2" t="s">
        <v>48</v>
      </c>
      <c r="J450" s="2" t="s">
        <v>17</v>
      </c>
      <c r="K450" s="2" t="s">
        <v>45</v>
      </c>
    </row>
    <row r="451" spans="1:11" x14ac:dyDescent="0.3">
      <c r="A451" s="2" t="s">
        <v>737</v>
      </c>
      <c r="B451" s="2" t="s">
        <v>575</v>
      </c>
      <c r="C451" s="3">
        <v>45881.135416666657</v>
      </c>
      <c r="D451" s="2" t="s">
        <v>13</v>
      </c>
      <c r="E451" s="4">
        <v>1090.22</v>
      </c>
      <c r="F451" s="2" t="s">
        <v>14</v>
      </c>
      <c r="G451" s="5">
        <v>48</v>
      </c>
      <c r="H451" s="2" t="s">
        <v>29</v>
      </c>
      <c r="I451" s="2" t="s">
        <v>34</v>
      </c>
      <c r="J451" s="2" t="s">
        <v>17</v>
      </c>
      <c r="K451" s="2" t="s">
        <v>22</v>
      </c>
    </row>
    <row r="452" spans="1:11" x14ac:dyDescent="0.3">
      <c r="A452" s="2" t="s">
        <v>738</v>
      </c>
      <c r="B452" s="2" t="s">
        <v>140</v>
      </c>
      <c r="C452" s="3">
        <v>45881.767361111109</v>
      </c>
      <c r="D452" s="2" t="s">
        <v>28</v>
      </c>
      <c r="E452" s="4">
        <v>22023.72</v>
      </c>
      <c r="F452" s="2" t="s">
        <v>14</v>
      </c>
      <c r="G452" s="5">
        <v>49</v>
      </c>
      <c r="H452" s="2" t="s">
        <v>15</v>
      </c>
      <c r="I452" s="2" t="s">
        <v>21</v>
      </c>
      <c r="J452" s="2" t="s">
        <v>44</v>
      </c>
      <c r="K452" s="2" t="s">
        <v>22</v>
      </c>
    </row>
    <row r="453" spans="1:11" x14ac:dyDescent="0.3">
      <c r="A453" s="2" t="s">
        <v>739</v>
      </c>
      <c r="B453" s="2" t="s">
        <v>740</v>
      </c>
      <c r="C453" s="3">
        <v>45926.100694444453</v>
      </c>
      <c r="D453" s="2" t="s">
        <v>154</v>
      </c>
      <c r="E453" s="4">
        <v>10000</v>
      </c>
      <c r="F453" s="2" t="s">
        <v>14</v>
      </c>
      <c r="G453" s="5">
        <v>44</v>
      </c>
      <c r="H453" s="2" t="s">
        <v>29</v>
      </c>
      <c r="I453" s="2" t="s">
        <v>95</v>
      </c>
      <c r="J453" s="2" t="s">
        <v>44</v>
      </c>
      <c r="K453" s="2" t="s">
        <v>18</v>
      </c>
    </row>
    <row r="454" spans="1:11" x14ac:dyDescent="0.3">
      <c r="A454" s="2" t="s">
        <v>741</v>
      </c>
      <c r="B454" s="2" t="s">
        <v>382</v>
      </c>
      <c r="C454" s="3">
        <v>45816.972916666673</v>
      </c>
      <c r="D454" s="2" t="s">
        <v>28</v>
      </c>
      <c r="E454" s="4">
        <v>4724.6000000000004</v>
      </c>
      <c r="F454" s="2" t="s">
        <v>14</v>
      </c>
      <c r="G454" s="5">
        <v>27</v>
      </c>
      <c r="H454" s="2" t="s">
        <v>15</v>
      </c>
      <c r="I454" s="2" t="s">
        <v>43</v>
      </c>
      <c r="J454" s="2" t="s">
        <v>49</v>
      </c>
      <c r="K454" s="2" t="s">
        <v>18</v>
      </c>
    </row>
    <row r="455" spans="1:11" x14ac:dyDescent="0.3">
      <c r="A455" s="2" t="s">
        <v>742</v>
      </c>
      <c r="B455" s="2" t="s">
        <v>743</v>
      </c>
      <c r="C455" s="3">
        <v>45771.450694444437</v>
      </c>
      <c r="D455" s="2" t="s">
        <v>154</v>
      </c>
      <c r="E455" s="4">
        <v>10000</v>
      </c>
      <c r="F455" s="2" t="s">
        <v>14</v>
      </c>
      <c r="G455" s="5">
        <v>38</v>
      </c>
      <c r="H455" s="2" t="s">
        <v>29</v>
      </c>
      <c r="I455" s="2" t="s">
        <v>95</v>
      </c>
      <c r="J455" s="2" t="s">
        <v>17</v>
      </c>
      <c r="K455" s="2" t="s">
        <v>45</v>
      </c>
    </row>
    <row r="456" spans="1:11" x14ac:dyDescent="0.3">
      <c r="A456" s="2" t="s">
        <v>744</v>
      </c>
      <c r="B456" s="2" t="s">
        <v>366</v>
      </c>
      <c r="C456" s="3">
        <v>45744.105555555558</v>
      </c>
      <c r="D456" s="2" t="s">
        <v>28</v>
      </c>
      <c r="E456" s="4">
        <v>2297.7199999999998</v>
      </c>
      <c r="F456" s="2" t="s">
        <v>14</v>
      </c>
      <c r="G456" s="5">
        <v>28</v>
      </c>
      <c r="H456" s="2" t="s">
        <v>15</v>
      </c>
      <c r="I456" s="2" t="s">
        <v>34</v>
      </c>
      <c r="J456" s="2" t="s">
        <v>49</v>
      </c>
      <c r="K456" s="2" t="s">
        <v>45</v>
      </c>
    </row>
    <row r="457" spans="1:11" x14ac:dyDescent="0.3">
      <c r="A457" s="2" t="s">
        <v>745</v>
      </c>
      <c r="B457" s="2" t="s">
        <v>746</v>
      </c>
      <c r="C457" s="3">
        <v>45982.147916666669</v>
      </c>
      <c r="D457" s="2" t="s">
        <v>28</v>
      </c>
      <c r="E457" s="4">
        <v>4547.13</v>
      </c>
      <c r="F457" s="2" t="s">
        <v>14</v>
      </c>
      <c r="G457" s="5">
        <v>44</v>
      </c>
      <c r="H457" s="2" t="s">
        <v>15</v>
      </c>
      <c r="I457" s="2" t="s">
        <v>21</v>
      </c>
      <c r="J457" s="2" t="s">
        <v>17</v>
      </c>
      <c r="K457" s="2" t="s">
        <v>45</v>
      </c>
    </row>
    <row r="458" spans="1:11" x14ac:dyDescent="0.3">
      <c r="A458" s="2" t="s">
        <v>747</v>
      </c>
      <c r="B458" s="2" t="s">
        <v>468</v>
      </c>
      <c r="C458" s="3">
        <v>45919.289583333331</v>
      </c>
      <c r="D458" s="2" t="s">
        <v>13</v>
      </c>
      <c r="E458" s="4">
        <v>1874.64</v>
      </c>
      <c r="F458" s="2" t="s">
        <v>14</v>
      </c>
      <c r="G458" s="5">
        <v>50</v>
      </c>
      <c r="H458" s="2" t="s">
        <v>29</v>
      </c>
      <c r="I458" s="2" t="s">
        <v>25</v>
      </c>
      <c r="J458" s="2" t="s">
        <v>17</v>
      </c>
      <c r="K458" s="2" t="s">
        <v>35</v>
      </c>
    </row>
    <row r="459" spans="1:11" x14ac:dyDescent="0.3">
      <c r="A459" s="2" t="s">
        <v>748</v>
      </c>
      <c r="B459" s="2" t="s">
        <v>213</v>
      </c>
      <c r="C459" s="3">
        <v>45836.490277777782</v>
      </c>
      <c r="D459" s="2" t="s">
        <v>13</v>
      </c>
      <c r="E459" s="4">
        <v>1795.67</v>
      </c>
      <c r="F459" s="2" t="s">
        <v>14</v>
      </c>
      <c r="G459" s="5">
        <v>50</v>
      </c>
      <c r="H459" s="2" t="s">
        <v>29</v>
      </c>
      <c r="I459" s="2" t="s">
        <v>25</v>
      </c>
      <c r="J459" s="2" t="s">
        <v>49</v>
      </c>
      <c r="K459" s="2" t="s">
        <v>18</v>
      </c>
    </row>
    <row r="460" spans="1:11" x14ac:dyDescent="0.3">
      <c r="A460" s="2" t="s">
        <v>749</v>
      </c>
      <c r="B460" s="2" t="s">
        <v>393</v>
      </c>
      <c r="C460" s="3">
        <v>45988.177083333343</v>
      </c>
      <c r="D460" s="2" t="s">
        <v>33</v>
      </c>
      <c r="E460" s="4">
        <v>7974.26</v>
      </c>
      <c r="F460" s="2" t="s">
        <v>14</v>
      </c>
      <c r="G460" s="5">
        <v>52</v>
      </c>
      <c r="H460" s="2" t="s">
        <v>29</v>
      </c>
      <c r="I460" s="2" t="s">
        <v>48</v>
      </c>
      <c r="J460" s="2" t="s">
        <v>49</v>
      </c>
      <c r="K460" s="2" t="s">
        <v>22</v>
      </c>
    </row>
    <row r="461" spans="1:11" x14ac:dyDescent="0.3">
      <c r="A461" s="2" t="s">
        <v>750</v>
      </c>
      <c r="B461" s="2" t="s">
        <v>327</v>
      </c>
      <c r="C461" s="3">
        <v>45710.177777777782</v>
      </c>
      <c r="D461" s="2" t="s">
        <v>28</v>
      </c>
      <c r="E461" s="4">
        <v>15435.78</v>
      </c>
      <c r="F461" s="2" t="s">
        <v>14</v>
      </c>
      <c r="G461" s="5">
        <v>48</v>
      </c>
      <c r="H461" s="2" t="s">
        <v>15</v>
      </c>
      <c r="I461" s="2" t="s">
        <v>34</v>
      </c>
      <c r="J461" s="2" t="s">
        <v>17</v>
      </c>
      <c r="K461" s="2" t="s">
        <v>45</v>
      </c>
    </row>
    <row r="462" spans="1:11" x14ac:dyDescent="0.3">
      <c r="A462" s="2" t="s">
        <v>751</v>
      </c>
      <c r="B462" s="2" t="s">
        <v>752</v>
      </c>
      <c r="C462" s="3">
        <v>45759.234722222223</v>
      </c>
      <c r="D462" s="2" t="s">
        <v>28</v>
      </c>
      <c r="E462" s="4">
        <v>21555.67</v>
      </c>
      <c r="F462" s="2" t="s">
        <v>14</v>
      </c>
      <c r="G462" s="5">
        <v>20</v>
      </c>
      <c r="H462" s="2" t="s">
        <v>15</v>
      </c>
      <c r="I462" s="2" t="s">
        <v>48</v>
      </c>
      <c r="J462" s="2" t="s">
        <v>17</v>
      </c>
      <c r="K462" s="2" t="s">
        <v>22</v>
      </c>
    </row>
    <row r="463" spans="1:11" x14ac:dyDescent="0.3">
      <c r="A463" s="2" t="s">
        <v>753</v>
      </c>
      <c r="B463" s="2" t="s">
        <v>415</v>
      </c>
      <c r="C463" s="3">
        <v>45736.836111111108</v>
      </c>
      <c r="D463" s="2" t="s">
        <v>28</v>
      </c>
      <c r="E463" s="4">
        <v>11634.35</v>
      </c>
      <c r="F463" s="2" t="s">
        <v>14</v>
      </c>
      <c r="G463" s="5">
        <v>30</v>
      </c>
      <c r="H463" s="2" t="s">
        <v>29</v>
      </c>
      <c r="I463" s="2" t="s">
        <v>21</v>
      </c>
      <c r="J463" s="2" t="s">
        <v>49</v>
      </c>
      <c r="K463" s="2" t="s">
        <v>35</v>
      </c>
    </row>
    <row r="464" spans="1:11" x14ac:dyDescent="0.3">
      <c r="A464" s="2" t="s">
        <v>754</v>
      </c>
      <c r="B464" s="2" t="s">
        <v>730</v>
      </c>
      <c r="C464" s="3">
        <v>45748.854861111111</v>
      </c>
      <c r="D464" s="2" t="s">
        <v>13</v>
      </c>
      <c r="E464" s="4">
        <v>3806.63</v>
      </c>
      <c r="F464" s="2" t="s">
        <v>14</v>
      </c>
      <c r="G464" s="5">
        <v>40</v>
      </c>
      <c r="H464" s="2" t="s">
        <v>15</v>
      </c>
      <c r="I464" s="2" t="s">
        <v>34</v>
      </c>
      <c r="J464" s="2" t="s">
        <v>17</v>
      </c>
      <c r="K464" s="2" t="s">
        <v>18</v>
      </c>
    </row>
    <row r="465" spans="1:11" x14ac:dyDescent="0.3">
      <c r="A465" s="2" t="s">
        <v>755</v>
      </c>
      <c r="B465" s="2" t="s">
        <v>756</v>
      </c>
      <c r="C465" s="3">
        <v>45895.783333333333</v>
      </c>
      <c r="D465" s="2" t="s">
        <v>13</v>
      </c>
      <c r="E465" s="4">
        <v>588.45000000000005</v>
      </c>
      <c r="F465" s="2" t="s">
        <v>14</v>
      </c>
      <c r="G465" s="5">
        <v>40</v>
      </c>
      <c r="H465" s="2" t="s">
        <v>15</v>
      </c>
      <c r="I465" s="2" t="s">
        <v>16</v>
      </c>
      <c r="J465" s="2" t="s">
        <v>17</v>
      </c>
      <c r="K465" s="2" t="s">
        <v>45</v>
      </c>
    </row>
    <row r="466" spans="1:11" x14ac:dyDescent="0.3">
      <c r="A466" s="2" t="s">
        <v>757</v>
      </c>
      <c r="B466" s="2" t="s">
        <v>109</v>
      </c>
      <c r="C466" s="3">
        <v>45954.613194444442</v>
      </c>
      <c r="D466" s="2" t="s">
        <v>38</v>
      </c>
      <c r="E466" s="4">
        <v>11297.12</v>
      </c>
      <c r="F466" s="2" t="s">
        <v>14</v>
      </c>
      <c r="G466" s="5">
        <v>38</v>
      </c>
      <c r="H466" s="2" t="s">
        <v>15</v>
      </c>
      <c r="I466" s="2" t="s">
        <v>21</v>
      </c>
      <c r="J466" s="2" t="s">
        <v>17</v>
      </c>
      <c r="K466" s="2" t="s">
        <v>18</v>
      </c>
    </row>
    <row r="467" spans="1:11" x14ac:dyDescent="0.3">
      <c r="A467" s="2" t="s">
        <v>758</v>
      </c>
      <c r="B467" s="2" t="s">
        <v>759</v>
      </c>
      <c r="C467" s="3">
        <v>45947.861111111109</v>
      </c>
      <c r="D467" s="2" t="s">
        <v>28</v>
      </c>
      <c r="E467" s="4">
        <v>5144.91</v>
      </c>
      <c r="F467" s="2" t="s">
        <v>14</v>
      </c>
      <c r="G467" s="5">
        <v>28</v>
      </c>
      <c r="H467" s="2" t="s">
        <v>29</v>
      </c>
      <c r="I467" s="2" t="s">
        <v>60</v>
      </c>
      <c r="J467" s="2" t="s">
        <v>17</v>
      </c>
      <c r="K467" s="2" t="s">
        <v>18</v>
      </c>
    </row>
    <row r="468" spans="1:11" x14ac:dyDescent="0.3">
      <c r="A468" s="2" t="s">
        <v>760</v>
      </c>
      <c r="B468" s="2" t="s">
        <v>207</v>
      </c>
      <c r="C468" s="3">
        <v>45977.454861111109</v>
      </c>
      <c r="D468" s="2" t="s">
        <v>28</v>
      </c>
      <c r="E468" s="4">
        <v>3359.54</v>
      </c>
      <c r="F468" s="2" t="s">
        <v>14</v>
      </c>
      <c r="G468" s="5">
        <v>33</v>
      </c>
      <c r="H468" s="2" t="s">
        <v>15</v>
      </c>
      <c r="I468" s="2" t="s">
        <v>34</v>
      </c>
      <c r="J468" s="2" t="s">
        <v>49</v>
      </c>
      <c r="K468" s="2" t="s">
        <v>35</v>
      </c>
    </row>
    <row r="469" spans="1:11" x14ac:dyDescent="0.3">
      <c r="A469" s="2" t="s">
        <v>761</v>
      </c>
      <c r="B469" s="2" t="s">
        <v>158</v>
      </c>
      <c r="C469" s="3">
        <v>45979.42291666667</v>
      </c>
      <c r="D469" s="2" t="s">
        <v>28</v>
      </c>
      <c r="E469" s="4">
        <v>6050.27</v>
      </c>
      <c r="F469" s="2" t="s">
        <v>14</v>
      </c>
      <c r="G469" s="5">
        <v>30</v>
      </c>
      <c r="H469" s="2" t="s">
        <v>29</v>
      </c>
      <c r="I469" s="2" t="s">
        <v>34</v>
      </c>
      <c r="J469" s="2" t="s">
        <v>44</v>
      </c>
      <c r="K469" s="2" t="s">
        <v>18</v>
      </c>
    </row>
    <row r="470" spans="1:11" x14ac:dyDescent="0.3">
      <c r="A470" s="2" t="s">
        <v>762</v>
      </c>
      <c r="B470" s="2" t="s">
        <v>40</v>
      </c>
      <c r="C470" s="3">
        <v>45883.104166666657</v>
      </c>
      <c r="D470" s="2" t="s">
        <v>13</v>
      </c>
      <c r="E470" s="4">
        <v>2234.66</v>
      </c>
      <c r="F470" s="2" t="s">
        <v>14</v>
      </c>
      <c r="G470" s="5">
        <v>36</v>
      </c>
      <c r="H470" s="2" t="s">
        <v>29</v>
      </c>
      <c r="I470" s="2" t="s">
        <v>34</v>
      </c>
      <c r="J470" s="2" t="s">
        <v>17</v>
      </c>
      <c r="K470" s="2" t="s">
        <v>18</v>
      </c>
    </row>
    <row r="471" spans="1:11" x14ac:dyDescent="0.3">
      <c r="A471" s="2" t="s">
        <v>763</v>
      </c>
      <c r="B471" s="2" t="s">
        <v>688</v>
      </c>
      <c r="C471" s="3">
        <v>45884.84652777778</v>
      </c>
      <c r="D471" s="2" t="s">
        <v>38</v>
      </c>
      <c r="E471" s="4">
        <v>4918.75</v>
      </c>
      <c r="F471" s="2" t="s">
        <v>14</v>
      </c>
      <c r="G471" s="5">
        <v>24</v>
      </c>
      <c r="H471" s="2" t="s">
        <v>29</v>
      </c>
      <c r="I471" s="2" t="s">
        <v>34</v>
      </c>
      <c r="J471" s="2" t="s">
        <v>44</v>
      </c>
      <c r="K471" s="2" t="s">
        <v>18</v>
      </c>
    </row>
    <row r="472" spans="1:11" x14ac:dyDescent="0.3">
      <c r="A472" s="2" t="s">
        <v>764</v>
      </c>
      <c r="B472" s="2" t="s">
        <v>765</v>
      </c>
      <c r="C472" s="3">
        <v>45798.752083333333</v>
      </c>
      <c r="D472" s="2" t="s">
        <v>38</v>
      </c>
      <c r="E472" s="4">
        <v>3097.54</v>
      </c>
      <c r="F472" s="2" t="s">
        <v>14</v>
      </c>
      <c r="G472" s="5">
        <v>30</v>
      </c>
      <c r="H472" s="2" t="s">
        <v>15</v>
      </c>
      <c r="I472" s="2" t="s">
        <v>34</v>
      </c>
      <c r="J472" s="2" t="s">
        <v>49</v>
      </c>
      <c r="K472" s="2" t="s">
        <v>18</v>
      </c>
    </row>
    <row r="473" spans="1:11" x14ac:dyDescent="0.3">
      <c r="A473" s="2" t="s">
        <v>766</v>
      </c>
      <c r="B473" s="2" t="s">
        <v>767</v>
      </c>
      <c r="C473" s="3">
        <v>45838.669444444437</v>
      </c>
      <c r="D473" s="2" t="s">
        <v>28</v>
      </c>
      <c r="E473" s="4">
        <v>11864.69</v>
      </c>
      <c r="F473" s="2" t="s">
        <v>14</v>
      </c>
      <c r="G473" s="5">
        <v>33</v>
      </c>
      <c r="H473" s="2" t="s">
        <v>29</v>
      </c>
      <c r="I473" s="2" t="s">
        <v>21</v>
      </c>
      <c r="J473" s="2" t="s">
        <v>17</v>
      </c>
      <c r="K473" s="2" t="s">
        <v>18</v>
      </c>
    </row>
    <row r="474" spans="1:11" x14ac:dyDescent="0.3">
      <c r="A474" s="2" t="s">
        <v>768</v>
      </c>
      <c r="B474" s="2" t="s">
        <v>769</v>
      </c>
      <c r="C474" s="3">
        <v>45816.602777777778</v>
      </c>
      <c r="D474" s="2" t="s">
        <v>28</v>
      </c>
      <c r="E474" s="4">
        <v>18051.62</v>
      </c>
      <c r="F474" s="2" t="s">
        <v>14</v>
      </c>
      <c r="G474" s="5">
        <v>38</v>
      </c>
      <c r="H474" s="2" t="s">
        <v>15</v>
      </c>
      <c r="I474" s="2" t="s">
        <v>34</v>
      </c>
      <c r="J474" s="2" t="s">
        <v>17</v>
      </c>
      <c r="K474" s="2" t="s">
        <v>18</v>
      </c>
    </row>
    <row r="475" spans="1:11" x14ac:dyDescent="0.3">
      <c r="A475" s="2" t="s">
        <v>770</v>
      </c>
      <c r="B475" s="2" t="s">
        <v>348</v>
      </c>
      <c r="C475" s="3">
        <v>45677.057638888888</v>
      </c>
      <c r="D475" s="2" t="s">
        <v>28</v>
      </c>
      <c r="E475" s="4">
        <v>12748.8</v>
      </c>
      <c r="F475" s="2" t="s">
        <v>14</v>
      </c>
      <c r="G475" s="5">
        <v>39</v>
      </c>
      <c r="H475" s="2" t="s">
        <v>29</v>
      </c>
      <c r="I475" s="2" t="s">
        <v>16</v>
      </c>
      <c r="J475" s="2" t="s">
        <v>44</v>
      </c>
      <c r="K475" s="2" t="s">
        <v>18</v>
      </c>
    </row>
    <row r="476" spans="1:11" x14ac:dyDescent="0.3">
      <c r="A476" s="2" t="s">
        <v>771</v>
      </c>
      <c r="B476" s="2" t="s">
        <v>772</v>
      </c>
      <c r="C476" s="3">
        <v>45804.111805555563</v>
      </c>
      <c r="D476" s="2" t="s">
        <v>33</v>
      </c>
      <c r="E476" s="4">
        <v>2158.6999999999998</v>
      </c>
      <c r="F476" s="2" t="s">
        <v>14</v>
      </c>
      <c r="G476" s="5">
        <v>31</v>
      </c>
      <c r="H476" s="2" t="s">
        <v>15</v>
      </c>
      <c r="I476" s="2" t="s">
        <v>34</v>
      </c>
      <c r="J476" s="2" t="s">
        <v>52</v>
      </c>
      <c r="K476" s="2" t="s">
        <v>18</v>
      </c>
    </row>
    <row r="477" spans="1:11" x14ac:dyDescent="0.3">
      <c r="A477" s="2" t="s">
        <v>773</v>
      </c>
      <c r="B477" s="2" t="s">
        <v>774</v>
      </c>
      <c r="C477" s="3">
        <v>45704.818055555559</v>
      </c>
      <c r="D477" s="2" t="s">
        <v>28</v>
      </c>
      <c r="E477" s="4">
        <v>67267.11</v>
      </c>
      <c r="F477" s="2" t="s">
        <v>14</v>
      </c>
      <c r="G477" s="5">
        <v>42</v>
      </c>
      <c r="H477" s="2" t="s">
        <v>15</v>
      </c>
      <c r="I477" s="2" t="s">
        <v>95</v>
      </c>
      <c r="J477" s="2" t="s">
        <v>17</v>
      </c>
      <c r="K477" s="2" t="s">
        <v>18</v>
      </c>
    </row>
    <row r="478" spans="1:11" x14ac:dyDescent="0.3">
      <c r="A478" s="2" t="s">
        <v>775</v>
      </c>
      <c r="B478" s="2" t="s">
        <v>277</v>
      </c>
      <c r="C478" s="3">
        <v>45917.520138888889</v>
      </c>
      <c r="D478" s="2" t="s">
        <v>33</v>
      </c>
      <c r="E478" s="4">
        <v>18911.36</v>
      </c>
      <c r="F478" s="2" t="s">
        <v>14</v>
      </c>
      <c r="G478" s="5">
        <v>50</v>
      </c>
      <c r="H478" s="2" t="s">
        <v>15</v>
      </c>
      <c r="I478" s="2" t="s">
        <v>21</v>
      </c>
      <c r="J478" s="2" t="s">
        <v>44</v>
      </c>
      <c r="K478" s="2" t="s">
        <v>18</v>
      </c>
    </row>
    <row r="479" spans="1:11" x14ac:dyDescent="0.3">
      <c r="A479" s="2" t="s">
        <v>776</v>
      </c>
      <c r="B479" s="2" t="s">
        <v>631</v>
      </c>
      <c r="C479" s="3">
        <v>45955.743055555547</v>
      </c>
      <c r="D479" s="2" t="s">
        <v>28</v>
      </c>
      <c r="E479" s="4">
        <v>1246.6199999999999</v>
      </c>
      <c r="F479" s="2" t="s">
        <v>14</v>
      </c>
      <c r="G479" s="5">
        <v>27</v>
      </c>
      <c r="H479" s="2" t="s">
        <v>29</v>
      </c>
      <c r="I479" s="2" t="s">
        <v>34</v>
      </c>
      <c r="J479" s="2" t="s">
        <v>17</v>
      </c>
      <c r="K479" s="2" t="s">
        <v>18</v>
      </c>
    </row>
    <row r="480" spans="1:11" x14ac:dyDescent="0.3">
      <c r="A480" s="2" t="s">
        <v>777</v>
      </c>
      <c r="B480" s="2" t="s">
        <v>607</v>
      </c>
      <c r="C480" s="3">
        <v>45679.623611111107</v>
      </c>
      <c r="D480" s="2" t="s">
        <v>28</v>
      </c>
      <c r="E480" s="4">
        <v>13227.45</v>
      </c>
      <c r="F480" s="2" t="s">
        <v>57</v>
      </c>
      <c r="G480" s="5">
        <v>20</v>
      </c>
      <c r="H480" s="2" t="s">
        <v>29</v>
      </c>
      <c r="I480" s="2" t="s">
        <v>34</v>
      </c>
      <c r="J480" s="2" t="s">
        <v>52</v>
      </c>
      <c r="K480" s="2" t="s">
        <v>35</v>
      </c>
    </row>
    <row r="481" spans="1:11" x14ac:dyDescent="0.3">
      <c r="A481" s="2" t="s">
        <v>778</v>
      </c>
      <c r="B481" s="2" t="s">
        <v>213</v>
      </c>
      <c r="C481" s="3">
        <v>45950.841666666667</v>
      </c>
      <c r="D481" s="2" t="s">
        <v>13</v>
      </c>
      <c r="E481" s="4">
        <v>304.74</v>
      </c>
      <c r="F481" s="2" t="s">
        <v>14</v>
      </c>
      <c r="G481" s="5">
        <v>50</v>
      </c>
      <c r="H481" s="2" t="s">
        <v>29</v>
      </c>
      <c r="I481" s="2" t="s">
        <v>25</v>
      </c>
      <c r="J481" s="2" t="s">
        <v>49</v>
      </c>
      <c r="K481" s="2" t="s">
        <v>18</v>
      </c>
    </row>
    <row r="482" spans="1:11" x14ac:dyDescent="0.3">
      <c r="A482" s="2" t="s">
        <v>779</v>
      </c>
      <c r="B482" s="2" t="s">
        <v>84</v>
      </c>
      <c r="C482" s="3">
        <v>45822.8125</v>
      </c>
      <c r="D482" s="2" t="s">
        <v>33</v>
      </c>
      <c r="E482" s="4">
        <v>17481.84</v>
      </c>
      <c r="F482" s="2" t="s">
        <v>57</v>
      </c>
      <c r="G482" s="5">
        <v>33</v>
      </c>
      <c r="H482" s="2" t="s">
        <v>15</v>
      </c>
      <c r="I482" s="2" t="s">
        <v>34</v>
      </c>
      <c r="J482" s="2" t="s">
        <v>17</v>
      </c>
      <c r="K482" s="2" t="s">
        <v>22</v>
      </c>
    </row>
    <row r="483" spans="1:11" x14ac:dyDescent="0.3">
      <c r="A483" s="2" t="s">
        <v>780</v>
      </c>
      <c r="B483" s="2" t="s">
        <v>781</v>
      </c>
      <c r="C483" s="3">
        <v>45914.168749999997</v>
      </c>
      <c r="D483" s="2" t="s">
        <v>13</v>
      </c>
      <c r="E483" s="4">
        <v>451.21</v>
      </c>
      <c r="F483" s="2" t="s">
        <v>14</v>
      </c>
      <c r="G483" s="5">
        <v>45</v>
      </c>
      <c r="H483" s="2" t="s">
        <v>29</v>
      </c>
      <c r="I483" s="2" t="s">
        <v>78</v>
      </c>
      <c r="J483" s="2" t="s">
        <v>17</v>
      </c>
      <c r="K483" s="2" t="s">
        <v>18</v>
      </c>
    </row>
    <row r="484" spans="1:11" x14ac:dyDescent="0.3">
      <c r="A484" s="2" t="s">
        <v>782</v>
      </c>
      <c r="B484" s="2" t="s">
        <v>128</v>
      </c>
      <c r="C484" s="3">
        <v>45888.160416666673</v>
      </c>
      <c r="D484" s="2" t="s">
        <v>33</v>
      </c>
      <c r="E484" s="4">
        <v>3482.09</v>
      </c>
      <c r="F484" s="2" t="s">
        <v>14</v>
      </c>
      <c r="G484" s="5">
        <v>26</v>
      </c>
      <c r="H484" s="2" t="s">
        <v>15</v>
      </c>
      <c r="I484" s="2" t="s">
        <v>95</v>
      </c>
      <c r="J484" s="2" t="s">
        <v>44</v>
      </c>
      <c r="K484" s="2" t="s">
        <v>18</v>
      </c>
    </row>
    <row r="485" spans="1:11" x14ac:dyDescent="0.3">
      <c r="A485" s="2" t="s">
        <v>783</v>
      </c>
      <c r="B485" s="2" t="s">
        <v>784</v>
      </c>
      <c r="C485" s="3">
        <v>45833.920138888891</v>
      </c>
      <c r="D485" s="2" t="s">
        <v>28</v>
      </c>
      <c r="E485" s="4">
        <v>6404.18</v>
      </c>
      <c r="F485" s="2" t="s">
        <v>14</v>
      </c>
      <c r="G485" s="5">
        <v>24</v>
      </c>
      <c r="H485" s="2" t="s">
        <v>15</v>
      </c>
      <c r="I485" s="2" t="s">
        <v>34</v>
      </c>
      <c r="J485" s="2" t="s">
        <v>17</v>
      </c>
      <c r="K485" s="2" t="s">
        <v>45</v>
      </c>
    </row>
    <row r="486" spans="1:11" x14ac:dyDescent="0.3">
      <c r="A486" s="2" t="s">
        <v>785</v>
      </c>
      <c r="B486" s="2" t="s">
        <v>786</v>
      </c>
      <c r="C486" s="3">
        <v>45916.84097222222</v>
      </c>
      <c r="D486" s="2" t="s">
        <v>33</v>
      </c>
      <c r="E486" s="4">
        <v>19648.18</v>
      </c>
      <c r="F486" s="2" t="s">
        <v>14</v>
      </c>
      <c r="G486" s="5">
        <v>33</v>
      </c>
      <c r="H486" s="2" t="s">
        <v>15</v>
      </c>
      <c r="I486" s="2" t="s">
        <v>34</v>
      </c>
      <c r="J486" s="2" t="s">
        <v>44</v>
      </c>
      <c r="K486" s="2" t="s">
        <v>18</v>
      </c>
    </row>
    <row r="487" spans="1:11" x14ac:dyDescent="0.3">
      <c r="A487" s="2" t="s">
        <v>787</v>
      </c>
      <c r="B487" s="2" t="s">
        <v>327</v>
      </c>
      <c r="C487" s="3">
        <v>45678.322916666657</v>
      </c>
      <c r="D487" s="2" t="s">
        <v>38</v>
      </c>
      <c r="E487" s="4">
        <v>30711.79</v>
      </c>
      <c r="F487" s="2" t="s">
        <v>14</v>
      </c>
      <c r="G487" s="5">
        <v>48</v>
      </c>
      <c r="H487" s="2" t="s">
        <v>15</v>
      </c>
      <c r="I487" s="2" t="s">
        <v>34</v>
      </c>
      <c r="J487" s="2" t="s">
        <v>17</v>
      </c>
      <c r="K487" s="2" t="s">
        <v>22</v>
      </c>
    </row>
    <row r="488" spans="1:11" x14ac:dyDescent="0.3">
      <c r="A488" s="2" t="s">
        <v>788</v>
      </c>
      <c r="B488" s="2" t="s">
        <v>464</v>
      </c>
      <c r="C488" s="3">
        <v>45882.606249999997</v>
      </c>
      <c r="D488" s="2" t="s">
        <v>28</v>
      </c>
      <c r="E488" s="4">
        <v>33381.19</v>
      </c>
      <c r="F488" s="2" t="s">
        <v>14</v>
      </c>
      <c r="G488" s="5">
        <v>35</v>
      </c>
      <c r="H488" s="2" t="s">
        <v>29</v>
      </c>
      <c r="I488" s="2" t="s">
        <v>34</v>
      </c>
      <c r="J488" s="2" t="s">
        <v>44</v>
      </c>
      <c r="K488" s="2" t="s">
        <v>45</v>
      </c>
    </row>
    <row r="489" spans="1:11" x14ac:dyDescent="0.3">
      <c r="A489" s="2" t="s">
        <v>789</v>
      </c>
      <c r="B489" s="2" t="s">
        <v>190</v>
      </c>
      <c r="C489" s="3">
        <v>45925.798611111109</v>
      </c>
      <c r="D489" s="2" t="s">
        <v>33</v>
      </c>
      <c r="E489" s="4">
        <v>16635.580000000002</v>
      </c>
      <c r="F489" s="2" t="s">
        <v>14</v>
      </c>
      <c r="G489" s="5">
        <v>25</v>
      </c>
      <c r="H489" s="2" t="s">
        <v>15</v>
      </c>
      <c r="I489" s="2" t="s">
        <v>34</v>
      </c>
      <c r="J489" s="2" t="s">
        <v>17</v>
      </c>
      <c r="K489" s="2" t="s">
        <v>45</v>
      </c>
    </row>
    <row r="490" spans="1:11" x14ac:dyDescent="0.3">
      <c r="A490" s="2" t="s">
        <v>790</v>
      </c>
      <c r="B490" s="2" t="s">
        <v>148</v>
      </c>
      <c r="C490" s="3">
        <v>45844.498611111107</v>
      </c>
      <c r="D490" s="2" t="s">
        <v>154</v>
      </c>
      <c r="E490" s="4">
        <v>2000</v>
      </c>
      <c r="F490" s="2" t="s">
        <v>14</v>
      </c>
      <c r="G490" s="5">
        <v>56</v>
      </c>
      <c r="H490" s="2" t="s">
        <v>29</v>
      </c>
      <c r="I490" s="2" t="s">
        <v>43</v>
      </c>
      <c r="J490" s="2" t="s">
        <v>17</v>
      </c>
      <c r="K490" s="2" t="s">
        <v>18</v>
      </c>
    </row>
    <row r="491" spans="1:11" x14ac:dyDescent="0.3">
      <c r="A491" s="2" t="s">
        <v>791</v>
      </c>
      <c r="B491" s="2" t="s">
        <v>792</v>
      </c>
      <c r="C491" s="3">
        <v>45802.518055555563</v>
      </c>
      <c r="D491" s="2" t="s">
        <v>28</v>
      </c>
      <c r="E491" s="4">
        <v>21804.7</v>
      </c>
      <c r="F491" s="2" t="s">
        <v>14</v>
      </c>
      <c r="G491" s="5">
        <v>28</v>
      </c>
      <c r="H491" s="2" t="s">
        <v>29</v>
      </c>
      <c r="I491" s="2" t="s">
        <v>34</v>
      </c>
      <c r="J491" s="2" t="s">
        <v>17</v>
      </c>
      <c r="K491" s="2" t="s">
        <v>45</v>
      </c>
    </row>
    <row r="492" spans="1:11" x14ac:dyDescent="0.3">
      <c r="A492" s="2" t="s">
        <v>793</v>
      </c>
      <c r="B492" s="2" t="s">
        <v>169</v>
      </c>
      <c r="C492" s="3">
        <v>45831.901388888888</v>
      </c>
      <c r="D492" s="2" t="s">
        <v>28</v>
      </c>
      <c r="E492" s="4">
        <v>42732.47</v>
      </c>
      <c r="F492" s="2" t="s">
        <v>14</v>
      </c>
      <c r="G492" s="5">
        <v>33</v>
      </c>
      <c r="H492" s="2" t="s">
        <v>29</v>
      </c>
      <c r="I492" s="2" t="s">
        <v>34</v>
      </c>
      <c r="J492" s="2" t="s">
        <v>17</v>
      </c>
      <c r="K492" s="2" t="s">
        <v>18</v>
      </c>
    </row>
    <row r="493" spans="1:11" x14ac:dyDescent="0.3">
      <c r="A493" s="2" t="s">
        <v>794</v>
      </c>
      <c r="B493" s="2" t="s">
        <v>384</v>
      </c>
      <c r="C493" s="3">
        <v>45684.861805555563</v>
      </c>
      <c r="D493" s="2" t="s">
        <v>13</v>
      </c>
      <c r="E493" s="4">
        <v>1947.83</v>
      </c>
      <c r="F493" s="2" t="s">
        <v>14</v>
      </c>
      <c r="G493" s="5">
        <v>32</v>
      </c>
      <c r="H493" s="2" t="s">
        <v>15</v>
      </c>
      <c r="I493" s="2" t="s">
        <v>25</v>
      </c>
      <c r="J493" s="2" t="s">
        <v>17</v>
      </c>
      <c r="K493" s="2" t="s">
        <v>18</v>
      </c>
    </row>
    <row r="494" spans="1:11" x14ac:dyDescent="0.3">
      <c r="A494" s="2" t="s">
        <v>795</v>
      </c>
      <c r="B494" s="2" t="s">
        <v>163</v>
      </c>
      <c r="C494" s="3">
        <v>45829.097916666673</v>
      </c>
      <c r="D494" s="2" t="s">
        <v>28</v>
      </c>
      <c r="E494" s="4">
        <v>4703.37</v>
      </c>
      <c r="F494" s="2" t="s">
        <v>14</v>
      </c>
      <c r="G494" s="5">
        <v>31</v>
      </c>
      <c r="H494" s="2" t="s">
        <v>29</v>
      </c>
      <c r="I494" s="2" t="s">
        <v>25</v>
      </c>
      <c r="J494" s="2" t="s">
        <v>49</v>
      </c>
      <c r="K494" s="2" t="s">
        <v>18</v>
      </c>
    </row>
    <row r="495" spans="1:11" x14ac:dyDescent="0.3">
      <c r="A495" s="2" t="s">
        <v>796</v>
      </c>
      <c r="B495" s="2" t="s">
        <v>734</v>
      </c>
      <c r="C495" s="3">
        <v>45706.738194444442</v>
      </c>
      <c r="D495" s="2" t="s">
        <v>13</v>
      </c>
      <c r="E495" s="4">
        <v>4598.8</v>
      </c>
      <c r="F495" s="2" t="s">
        <v>14</v>
      </c>
      <c r="G495" s="5">
        <v>45</v>
      </c>
      <c r="H495" s="2" t="s">
        <v>15</v>
      </c>
      <c r="I495" s="2" t="s">
        <v>95</v>
      </c>
      <c r="J495" s="2" t="s">
        <v>44</v>
      </c>
      <c r="K495" s="2" t="s">
        <v>45</v>
      </c>
    </row>
    <row r="496" spans="1:11" x14ac:dyDescent="0.3">
      <c r="A496" s="2" t="s">
        <v>797</v>
      </c>
      <c r="B496" s="2" t="s">
        <v>798</v>
      </c>
      <c r="C496" s="3">
        <v>45855.386111111111</v>
      </c>
      <c r="D496" s="2" t="s">
        <v>28</v>
      </c>
      <c r="E496" s="4">
        <v>57370.75</v>
      </c>
      <c r="F496" s="2" t="s">
        <v>14</v>
      </c>
      <c r="G496" s="5">
        <v>22</v>
      </c>
      <c r="H496" s="2" t="s">
        <v>29</v>
      </c>
      <c r="I496" s="2" t="s">
        <v>25</v>
      </c>
      <c r="J496" s="2" t="s">
        <v>49</v>
      </c>
      <c r="K496" s="2" t="s">
        <v>18</v>
      </c>
    </row>
    <row r="497" spans="1:11" x14ac:dyDescent="0.3">
      <c r="A497" s="2" t="s">
        <v>799</v>
      </c>
      <c r="B497" s="2" t="s">
        <v>301</v>
      </c>
      <c r="C497" s="3">
        <v>45994.829861111109</v>
      </c>
      <c r="D497" s="2" t="s">
        <v>38</v>
      </c>
      <c r="E497" s="4">
        <v>868.3</v>
      </c>
      <c r="F497" s="2" t="s">
        <v>14</v>
      </c>
      <c r="G497" s="5">
        <v>49</v>
      </c>
      <c r="H497" s="2" t="s">
        <v>15</v>
      </c>
      <c r="I497" s="2" t="s">
        <v>60</v>
      </c>
      <c r="J497" s="2" t="s">
        <v>17</v>
      </c>
      <c r="K497" s="2" t="s">
        <v>22</v>
      </c>
    </row>
    <row r="498" spans="1:11" x14ac:dyDescent="0.3">
      <c r="A498" s="2" t="s">
        <v>800</v>
      </c>
      <c r="B498" s="2" t="s">
        <v>801</v>
      </c>
      <c r="C498" s="3">
        <v>45734.420138888891</v>
      </c>
      <c r="D498" s="2" t="s">
        <v>38</v>
      </c>
      <c r="E498" s="4">
        <v>1814.8</v>
      </c>
      <c r="F498" s="2" t="s">
        <v>14</v>
      </c>
      <c r="G498" s="5">
        <v>26</v>
      </c>
      <c r="H498" s="2" t="s">
        <v>29</v>
      </c>
      <c r="I498" s="2" t="s">
        <v>34</v>
      </c>
      <c r="J498" s="2" t="s">
        <v>44</v>
      </c>
      <c r="K498" s="2" t="s">
        <v>18</v>
      </c>
    </row>
    <row r="499" spans="1:11" x14ac:dyDescent="0.3">
      <c r="A499" s="2" t="s">
        <v>802</v>
      </c>
      <c r="B499" s="2" t="s">
        <v>64</v>
      </c>
      <c r="C499" s="3">
        <v>45956.881249999999</v>
      </c>
      <c r="D499" s="2" t="s">
        <v>13</v>
      </c>
      <c r="E499" s="4">
        <v>596.53</v>
      </c>
      <c r="F499" s="2" t="s">
        <v>14</v>
      </c>
      <c r="G499" s="5">
        <v>51</v>
      </c>
      <c r="H499" s="2" t="s">
        <v>29</v>
      </c>
      <c r="I499" s="2" t="s">
        <v>25</v>
      </c>
      <c r="J499" s="2" t="s">
        <v>44</v>
      </c>
      <c r="K499" s="2" t="s">
        <v>45</v>
      </c>
    </row>
    <row r="500" spans="1:11" x14ac:dyDescent="0.3">
      <c r="A500" s="2" t="s">
        <v>803</v>
      </c>
      <c r="B500" s="2" t="s">
        <v>730</v>
      </c>
      <c r="C500" s="3">
        <v>45837.40347222222</v>
      </c>
      <c r="D500" s="2" t="s">
        <v>13</v>
      </c>
      <c r="E500" s="4">
        <v>1125.74</v>
      </c>
      <c r="F500" s="2" t="s">
        <v>14</v>
      </c>
      <c r="G500" s="5">
        <v>40</v>
      </c>
      <c r="H500" s="2" t="s">
        <v>15</v>
      </c>
      <c r="I500" s="2" t="s">
        <v>34</v>
      </c>
      <c r="J500" s="2" t="s">
        <v>17</v>
      </c>
      <c r="K500" s="2" t="s">
        <v>22</v>
      </c>
    </row>
    <row r="501" spans="1:11" x14ac:dyDescent="0.3">
      <c r="A501" s="2" t="s">
        <v>804</v>
      </c>
      <c r="B501" s="2" t="s">
        <v>408</v>
      </c>
      <c r="C501" s="3">
        <v>46015.892361111109</v>
      </c>
      <c r="D501" s="2" t="s">
        <v>28</v>
      </c>
      <c r="E501" s="4">
        <v>8211.7000000000007</v>
      </c>
      <c r="F501" s="2" t="s">
        <v>57</v>
      </c>
      <c r="G501" s="5">
        <v>25</v>
      </c>
      <c r="H501" s="2" t="s">
        <v>15</v>
      </c>
      <c r="I501" s="2" t="s">
        <v>48</v>
      </c>
      <c r="J501" s="2" t="s">
        <v>44</v>
      </c>
      <c r="K501" s="2" t="s">
        <v>18</v>
      </c>
    </row>
    <row r="502" spans="1:11" x14ac:dyDescent="0.3">
      <c r="A502" s="2" t="s">
        <v>805</v>
      </c>
      <c r="B502" s="2" t="s">
        <v>806</v>
      </c>
      <c r="C502" s="3">
        <v>45724.822916666657</v>
      </c>
      <c r="D502" s="2" t="s">
        <v>28</v>
      </c>
      <c r="E502" s="4">
        <v>48072.31</v>
      </c>
      <c r="F502" s="2" t="s">
        <v>14</v>
      </c>
      <c r="G502" s="5">
        <v>35</v>
      </c>
      <c r="H502" s="2" t="s">
        <v>29</v>
      </c>
      <c r="I502" s="2" t="s">
        <v>21</v>
      </c>
      <c r="J502" s="2" t="s">
        <v>52</v>
      </c>
      <c r="K502" s="2" t="s">
        <v>45</v>
      </c>
    </row>
    <row r="503" spans="1:11" x14ac:dyDescent="0.3">
      <c r="A503" s="2" t="s">
        <v>807</v>
      </c>
      <c r="B503" s="2" t="s">
        <v>808</v>
      </c>
      <c r="C503" s="3">
        <v>45701.399305555547</v>
      </c>
      <c r="D503" s="2" t="s">
        <v>28</v>
      </c>
      <c r="E503" s="4">
        <v>32153.22</v>
      </c>
      <c r="F503" s="2" t="s">
        <v>14</v>
      </c>
      <c r="G503" s="5">
        <v>26</v>
      </c>
      <c r="H503" s="2" t="s">
        <v>15</v>
      </c>
      <c r="I503" s="2" t="s">
        <v>34</v>
      </c>
      <c r="J503" s="2" t="s">
        <v>17</v>
      </c>
      <c r="K503" s="2" t="s">
        <v>45</v>
      </c>
    </row>
    <row r="504" spans="1:11" x14ac:dyDescent="0.3">
      <c r="A504" s="2" t="s">
        <v>809</v>
      </c>
      <c r="B504" s="2" t="s">
        <v>810</v>
      </c>
      <c r="C504" s="3">
        <v>45850.868055555547</v>
      </c>
      <c r="D504" s="2" t="s">
        <v>28</v>
      </c>
      <c r="E504" s="4">
        <v>34612.89</v>
      </c>
      <c r="F504" s="2" t="s">
        <v>14</v>
      </c>
      <c r="G504" s="5">
        <v>54</v>
      </c>
      <c r="H504" s="2" t="s">
        <v>15</v>
      </c>
      <c r="I504" s="2" t="s">
        <v>34</v>
      </c>
      <c r="J504" s="2" t="s">
        <v>17</v>
      </c>
      <c r="K504" s="2" t="s">
        <v>18</v>
      </c>
    </row>
    <row r="505" spans="1:11" x14ac:dyDescent="0.3">
      <c r="A505" s="2" t="s">
        <v>811</v>
      </c>
      <c r="B505" s="2" t="s">
        <v>37</v>
      </c>
      <c r="C505" s="3">
        <v>45826.195833333331</v>
      </c>
      <c r="D505" s="2" t="s">
        <v>13</v>
      </c>
      <c r="E505" s="4">
        <v>3664.22</v>
      </c>
      <c r="F505" s="2" t="s">
        <v>14</v>
      </c>
      <c r="G505" s="5">
        <v>29</v>
      </c>
      <c r="H505" s="2" t="s">
        <v>15</v>
      </c>
      <c r="I505" s="2" t="s">
        <v>25</v>
      </c>
      <c r="J505" s="2" t="s">
        <v>17</v>
      </c>
      <c r="K505" s="2" t="s">
        <v>18</v>
      </c>
    </row>
    <row r="506" spans="1:11" x14ac:dyDescent="0.3">
      <c r="A506" s="2" t="s">
        <v>812</v>
      </c>
      <c r="B506" s="2" t="s">
        <v>784</v>
      </c>
      <c r="C506" s="3">
        <v>46017.988194444442</v>
      </c>
      <c r="D506" s="2" t="s">
        <v>13</v>
      </c>
      <c r="E506" s="4">
        <v>1797.23</v>
      </c>
      <c r="F506" s="2" t="s">
        <v>14</v>
      </c>
      <c r="G506" s="5">
        <v>24</v>
      </c>
      <c r="H506" s="2" t="s">
        <v>15</v>
      </c>
      <c r="I506" s="2" t="s">
        <v>34</v>
      </c>
      <c r="J506" s="2" t="s">
        <v>17</v>
      </c>
      <c r="K506" s="2" t="s">
        <v>45</v>
      </c>
    </row>
    <row r="507" spans="1:11" x14ac:dyDescent="0.3">
      <c r="A507" s="2" t="s">
        <v>813</v>
      </c>
      <c r="B507" s="2" t="s">
        <v>532</v>
      </c>
      <c r="C507" s="3">
        <v>45927.111805555563</v>
      </c>
      <c r="D507" s="2" t="s">
        <v>38</v>
      </c>
      <c r="E507" s="4">
        <v>2249.4899999999998</v>
      </c>
      <c r="F507" s="2" t="s">
        <v>14</v>
      </c>
      <c r="G507" s="5">
        <v>37</v>
      </c>
      <c r="H507" s="2" t="s">
        <v>15</v>
      </c>
      <c r="I507" s="2" t="s">
        <v>34</v>
      </c>
      <c r="J507" s="2" t="s">
        <v>49</v>
      </c>
      <c r="K507" s="2" t="s">
        <v>22</v>
      </c>
    </row>
    <row r="508" spans="1:11" x14ac:dyDescent="0.3">
      <c r="A508" s="2" t="s">
        <v>814</v>
      </c>
      <c r="B508" s="2" t="s">
        <v>270</v>
      </c>
      <c r="C508" s="3">
        <v>46001.563888888893</v>
      </c>
      <c r="D508" s="2" t="s">
        <v>28</v>
      </c>
      <c r="E508" s="4">
        <v>20778.259999999998</v>
      </c>
      <c r="F508" s="2" t="s">
        <v>14</v>
      </c>
      <c r="G508" s="5">
        <v>50</v>
      </c>
      <c r="H508" s="2" t="s">
        <v>29</v>
      </c>
      <c r="I508" s="2" t="s">
        <v>95</v>
      </c>
      <c r="J508" s="2" t="s">
        <v>49</v>
      </c>
      <c r="K508" s="2" t="s">
        <v>18</v>
      </c>
    </row>
    <row r="509" spans="1:11" x14ac:dyDescent="0.3">
      <c r="A509" s="2" t="s">
        <v>815</v>
      </c>
      <c r="B509" s="2" t="s">
        <v>816</v>
      </c>
      <c r="C509" s="3">
        <v>45843.015972222223</v>
      </c>
      <c r="D509" s="2" t="s">
        <v>13</v>
      </c>
      <c r="E509" s="4">
        <v>490.07</v>
      </c>
      <c r="F509" s="2" t="s">
        <v>14</v>
      </c>
      <c r="G509" s="5">
        <v>37</v>
      </c>
      <c r="H509" s="2" t="s">
        <v>15</v>
      </c>
      <c r="I509" s="2" t="s">
        <v>60</v>
      </c>
      <c r="J509" s="2" t="s">
        <v>44</v>
      </c>
      <c r="K509" s="2" t="s">
        <v>18</v>
      </c>
    </row>
    <row r="510" spans="1:11" x14ac:dyDescent="0.3">
      <c r="A510" s="2" t="s">
        <v>817</v>
      </c>
      <c r="B510" s="2" t="s">
        <v>92</v>
      </c>
      <c r="C510" s="3">
        <v>45816.217361111107</v>
      </c>
      <c r="D510" s="2" t="s">
        <v>28</v>
      </c>
      <c r="E510" s="4">
        <v>8553.9599999999991</v>
      </c>
      <c r="F510" s="2" t="s">
        <v>14</v>
      </c>
      <c r="G510" s="5">
        <v>31</v>
      </c>
      <c r="H510" s="2" t="s">
        <v>29</v>
      </c>
      <c r="I510" s="2" t="s">
        <v>60</v>
      </c>
      <c r="J510" s="2" t="s">
        <v>44</v>
      </c>
      <c r="K510" s="2" t="s">
        <v>18</v>
      </c>
    </row>
    <row r="511" spans="1:11" x14ac:dyDescent="0.3">
      <c r="A511" s="2" t="s">
        <v>818</v>
      </c>
      <c r="B511" s="2" t="s">
        <v>605</v>
      </c>
      <c r="C511" s="3">
        <v>45832.633333333331</v>
      </c>
      <c r="D511" s="2" t="s">
        <v>28</v>
      </c>
      <c r="E511" s="4">
        <v>53779.01</v>
      </c>
      <c r="F511" s="2" t="s">
        <v>14</v>
      </c>
      <c r="G511" s="5">
        <v>29</v>
      </c>
      <c r="H511" s="2" t="s">
        <v>29</v>
      </c>
      <c r="I511" s="2" t="s">
        <v>60</v>
      </c>
      <c r="J511" s="2" t="s">
        <v>17</v>
      </c>
      <c r="K511" s="2" t="s">
        <v>45</v>
      </c>
    </row>
    <row r="512" spans="1:11" x14ac:dyDescent="0.3">
      <c r="A512" s="2" t="s">
        <v>819</v>
      </c>
      <c r="B512" s="2" t="s">
        <v>798</v>
      </c>
      <c r="C512" s="3">
        <v>45773.17291666667</v>
      </c>
      <c r="D512" s="2" t="s">
        <v>154</v>
      </c>
      <c r="E512" s="4">
        <v>20000</v>
      </c>
      <c r="F512" s="2" t="s">
        <v>14</v>
      </c>
      <c r="G512" s="5">
        <v>22</v>
      </c>
      <c r="H512" s="2" t="s">
        <v>29</v>
      </c>
      <c r="I512" s="2" t="s">
        <v>25</v>
      </c>
      <c r="J512" s="2" t="s">
        <v>49</v>
      </c>
      <c r="K512" s="2" t="s">
        <v>18</v>
      </c>
    </row>
    <row r="513" spans="1:11" x14ac:dyDescent="0.3">
      <c r="A513" s="2" t="s">
        <v>820</v>
      </c>
      <c r="B513" s="2" t="s">
        <v>538</v>
      </c>
      <c r="C513" s="3">
        <v>45697.412499999999</v>
      </c>
      <c r="D513" s="2" t="s">
        <v>13</v>
      </c>
      <c r="E513" s="4">
        <v>4442.7</v>
      </c>
      <c r="F513" s="2" t="s">
        <v>14</v>
      </c>
      <c r="G513" s="5">
        <v>46</v>
      </c>
      <c r="H513" s="2" t="s">
        <v>15</v>
      </c>
      <c r="I513" s="2" t="s">
        <v>43</v>
      </c>
      <c r="J513" s="2" t="s">
        <v>17</v>
      </c>
      <c r="K513" s="2" t="s">
        <v>18</v>
      </c>
    </row>
    <row r="514" spans="1:11" x14ac:dyDescent="0.3">
      <c r="A514" s="2" t="s">
        <v>821</v>
      </c>
      <c r="B514" s="2" t="s">
        <v>724</v>
      </c>
      <c r="C514" s="3">
        <v>45709.700694444437</v>
      </c>
      <c r="D514" s="2" t="s">
        <v>38</v>
      </c>
      <c r="E514" s="4">
        <v>5423.13</v>
      </c>
      <c r="F514" s="2" t="s">
        <v>57</v>
      </c>
      <c r="G514" s="5">
        <v>21</v>
      </c>
      <c r="H514" s="2" t="s">
        <v>29</v>
      </c>
      <c r="I514" s="2" t="s">
        <v>25</v>
      </c>
      <c r="J514" s="2" t="s">
        <v>17</v>
      </c>
      <c r="K514" s="2" t="s">
        <v>18</v>
      </c>
    </row>
    <row r="515" spans="1:11" x14ac:dyDescent="0.3">
      <c r="A515" s="2" t="s">
        <v>822</v>
      </c>
      <c r="B515" s="2" t="s">
        <v>126</v>
      </c>
      <c r="C515" s="3">
        <v>45934.99722222222</v>
      </c>
      <c r="D515" s="2" t="s">
        <v>13</v>
      </c>
      <c r="E515" s="4">
        <v>2918.35</v>
      </c>
      <c r="F515" s="2" t="s">
        <v>14</v>
      </c>
      <c r="G515" s="5">
        <v>49</v>
      </c>
      <c r="H515" s="2" t="s">
        <v>29</v>
      </c>
      <c r="I515" s="2" t="s">
        <v>16</v>
      </c>
      <c r="J515" s="2" t="s">
        <v>17</v>
      </c>
      <c r="K515" s="2" t="s">
        <v>18</v>
      </c>
    </row>
    <row r="516" spans="1:11" x14ac:dyDescent="0.3">
      <c r="A516" s="2" t="s">
        <v>823</v>
      </c>
      <c r="B516" s="2" t="s">
        <v>213</v>
      </c>
      <c r="C516" s="3">
        <v>45927.070833333331</v>
      </c>
      <c r="D516" s="2" t="s">
        <v>28</v>
      </c>
      <c r="E516" s="4">
        <v>18199.169999999998</v>
      </c>
      <c r="F516" s="2" t="s">
        <v>14</v>
      </c>
      <c r="G516" s="5">
        <v>50</v>
      </c>
      <c r="H516" s="2" t="s">
        <v>29</v>
      </c>
      <c r="I516" s="2" t="s">
        <v>25</v>
      </c>
      <c r="J516" s="2" t="s">
        <v>49</v>
      </c>
      <c r="K516" s="2" t="s">
        <v>18</v>
      </c>
    </row>
    <row r="517" spans="1:11" x14ac:dyDescent="0.3">
      <c r="A517" s="2" t="s">
        <v>824</v>
      </c>
      <c r="B517" s="2" t="s">
        <v>111</v>
      </c>
      <c r="C517" s="3">
        <v>45830.797222222223</v>
      </c>
      <c r="D517" s="2" t="s">
        <v>28</v>
      </c>
      <c r="E517" s="4">
        <v>28014.31</v>
      </c>
      <c r="F517" s="2" t="s">
        <v>14</v>
      </c>
      <c r="G517" s="5">
        <v>45</v>
      </c>
      <c r="H517" s="2" t="s">
        <v>15</v>
      </c>
      <c r="I517" s="2" t="s">
        <v>48</v>
      </c>
      <c r="J517" s="2" t="s">
        <v>17</v>
      </c>
      <c r="K517" s="2" t="s">
        <v>35</v>
      </c>
    </row>
    <row r="518" spans="1:11" x14ac:dyDescent="0.3">
      <c r="A518" s="2" t="s">
        <v>825</v>
      </c>
      <c r="B518" s="2" t="s">
        <v>535</v>
      </c>
      <c r="C518" s="3">
        <v>45963.506249999999</v>
      </c>
      <c r="D518" s="2" t="s">
        <v>13</v>
      </c>
      <c r="E518" s="4">
        <v>259.82</v>
      </c>
      <c r="F518" s="2" t="s">
        <v>14</v>
      </c>
      <c r="G518" s="5">
        <v>28</v>
      </c>
      <c r="H518" s="2" t="s">
        <v>15</v>
      </c>
      <c r="I518" s="2" t="s">
        <v>34</v>
      </c>
      <c r="J518" s="2" t="s">
        <v>49</v>
      </c>
      <c r="K518" s="2" t="s">
        <v>18</v>
      </c>
    </row>
    <row r="519" spans="1:11" x14ac:dyDescent="0.3">
      <c r="A519" s="2" t="s">
        <v>826</v>
      </c>
      <c r="B519" s="2" t="s">
        <v>476</v>
      </c>
      <c r="C519" s="3">
        <v>45741.245138888888</v>
      </c>
      <c r="D519" s="2" t="s">
        <v>13</v>
      </c>
      <c r="E519" s="4">
        <v>865.32</v>
      </c>
      <c r="F519" s="2" t="s">
        <v>57</v>
      </c>
      <c r="G519" s="5">
        <v>27</v>
      </c>
      <c r="H519" s="2" t="s">
        <v>29</v>
      </c>
      <c r="I519" s="2" t="s">
        <v>21</v>
      </c>
      <c r="J519" s="2" t="s">
        <v>17</v>
      </c>
      <c r="K519" s="2" t="s">
        <v>45</v>
      </c>
    </row>
    <row r="520" spans="1:11" x14ac:dyDescent="0.3">
      <c r="A520" s="2" t="s">
        <v>827</v>
      </c>
      <c r="B520" s="2" t="s">
        <v>73</v>
      </c>
      <c r="C520" s="3">
        <v>46012.82708333333</v>
      </c>
      <c r="D520" s="2" t="s">
        <v>28</v>
      </c>
      <c r="E520" s="4">
        <v>25100.02</v>
      </c>
      <c r="F520" s="2" t="s">
        <v>14</v>
      </c>
      <c r="G520" s="5">
        <v>33</v>
      </c>
      <c r="H520" s="2" t="s">
        <v>15</v>
      </c>
      <c r="I520" s="2" t="s">
        <v>21</v>
      </c>
      <c r="J520" s="2" t="s">
        <v>49</v>
      </c>
      <c r="K520" s="2" t="s">
        <v>22</v>
      </c>
    </row>
    <row r="521" spans="1:11" x14ac:dyDescent="0.3">
      <c r="A521" s="2" t="s">
        <v>828</v>
      </c>
      <c r="B521" s="2" t="s">
        <v>829</v>
      </c>
      <c r="C521" s="3">
        <v>45742.977777777778</v>
      </c>
      <c r="D521" s="2" t="s">
        <v>28</v>
      </c>
      <c r="E521" s="4">
        <v>11064.5</v>
      </c>
      <c r="F521" s="2" t="s">
        <v>14</v>
      </c>
      <c r="G521" s="5">
        <v>43</v>
      </c>
      <c r="H521" s="2" t="s">
        <v>15</v>
      </c>
      <c r="I521" s="2" t="s">
        <v>25</v>
      </c>
      <c r="J521" s="2" t="s">
        <v>52</v>
      </c>
      <c r="K521" s="2" t="s">
        <v>18</v>
      </c>
    </row>
    <row r="522" spans="1:11" x14ac:dyDescent="0.3">
      <c r="A522" s="2" t="s">
        <v>830</v>
      </c>
      <c r="B522" s="2" t="s">
        <v>740</v>
      </c>
      <c r="C522" s="3">
        <v>45680.557638888888</v>
      </c>
      <c r="D522" s="2" t="s">
        <v>33</v>
      </c>
      <c r="E522" s="4">
        <v>1183.81</v>
      </c>
      <c r="F522" s="2" t="s">
        <v>14</v>
      </c>
      <c r="G522" s="5">
        <v>44</v>
      </c>
      <c r="H522" s="2" t="s">
        <v>29</v>
      </c>
      <c r="I522" s="2" t="s">
        <v>95</v>
      </c>
      <c r="J522" s="2" t="s">
        <v>44</v>
      </c>
      <c r="K522" s="2" t="s">
        <v>18</v>
      </c>
    </row>
    <row r="523" spans="1:11" x14ac:dyDescent="0.3">
      <c r="A523" s="2" t="s">
        <v>831</v>
      </c>
      <c r="B523" s="2" t="s">
        <v>390</v>
      </c>
      <c r="C523" s="3">
        <v>46004.96875</v>
      </c>
      <c r="D523" s="2" t="s">
        <v>28</v>
      </c>
      <c r="E523" s="4">
        <v>6150.99</v>
      </c>
      <c r="F523" s="2" t="s">
        <v>57</v>
      </c>
      <c r="G523" s="5">
        <v>35</v>
      </c>
      <c r="H523" s="2" t="s">
        <v>15</v>
      </c>
      <c r="I523" s="2" t="s">
        <v>25</v>
      </c>
      <c r="J523" s="2" t="s">
        <v>17</v>
      </c>
      <c r="K523" s="2" t="s">
        <v>45</v>
      </c>
    </row>
    <row r="524" spans="1:11" x14ac:dyDescent="0.3">
      <c r="A524" s="2" t="s">
        <v>832</v>
      </c>
      <c r="B524" s="2" t="s">
        <v>746</v>
      </c>
      <c r="C524" s="3">
        <v>45885.804166666669</v>
      </c>
      <c r="D524" s="2" t="s">
        <v>13</v>
      </c>
      <c r="E524" s="4">
        <v>773.8</v>
      </c>
      <c r="F524" s="2" t="s">
        <v>14</v>
      </c>
      <c r="G524" s="5">
        <v>44</v>
      </c>
      <c r="H524" s="2" t="s">
        <v>15</v>
      </c>
      <c r="I524" s="2" t="s">
        <v>21</v>
      </c>
      <c r="J524" s="2" t="s">
        <v>17</v>
      </c>
      <c r="K524" s="2" t="s">
        <v>45</v>
      </c>
    </row>
    <row r="525" spans="1:11" x14ac:dyDescent="0.3">
      <c r="A525" s="2" t="s">
        <v>833</v>
      </c>
      <c r="B525" s="2" t="s">
        <v>834</v>
      </c>
      <c r="C525" s="3">
        <v>45887.31527777778</v>
      </c>
      <c r="D525" s="2" t="s">
        <v>13</v>
      </c>
      <c r="E525" s="4">
        <v>229.45</v>
      </c>
      <c r="F525" s="2" t="s">
        <v>14</v>
      </c>
      <c r="G525" s="5">
        <v>28</v>
      </c>
      <c r="H525" s="2" t="s">
        <v>29</v>
      </c>
      <c r="I525" s="2" t="s">
        <v>34</v>
      </c>
      <c r="J525" s="2" t="s">
        <v>17</v>
      </c>
      <c r="K525" s="2" t="s">
        <v>45</v>
      </c>
    </row>
    <row r="526" spans="1:11" x14ac:dyDescent="0.3">
      <c r="A526" s="2" t="s">
        <v>835</v>
      </c>
      <c r="B526" s="2" t="s">
        <v>660</v>
      </c>
      <c r="C526" s="3">
        <v>45780.410416666673</v>
      </c>
      <c r="D526" s="2" t="s">
        <v>28</v>
      </c>
      <c r="E526" s="4">
        <v>54458.559999999998</v>
      </c>
      <c r="F526" s="2" t="s">
        <v>14</v>
      </c>
      <c r="G526" s="5">
        <v>50</v>
      </c>
      <c r="H526" s="2" t="s">
        <v>15</v>
      </c>
      <c r="I526" s="2" t="s">
        <v>34</v>
      </c>
      <c r="J526" s="2" t="s">
        <v>49</v>
      </c>
      <c r="K526" s="2" t="s">
        <v>18</v>
      </c>
    </row>
    <row r="527" spans="1:11" x14ac:dyDescent="0.3">
      <c r="A527" s="2" t="s">
        <v>836</v>
      </c>
      <c r="B527" s="2" t="s">
        <v>837</v>
      </c>
      <c r="C527" s="3">
        <v>45898.265972222223</v>
      </c>
      <c r="D527" s="2" t="s">
        <v>28</v>
      </c>
      <c r="E527" s="4">
        <v>6972.24</v>
      </c>
      <c r="F527" s="2" t="s">
        <v>57</v>
      </c>
      <c r="G527" s="5">
        <v>37</v>
      </c>
      <c r="H527" s="2" t="s">
        <v>15</v>
      </c>
      <c r="I527" s="2" t="s">
        <v>78</v>
      </c>
      <c r="J527" s="2" t="s">
        <v>17</v>
      </c>
      <c r="K527" s="2" t="s">
        <v>45</v>
      </c>
    </row>
    <row r="528" spans="1:11" x14ac:dyDescent="0.3">
      <c r="A528" s="2" t="s">
        <v>838</v>
      </c>
      <c r="B528" s="2" t="s">
        <v>839</v>
      </c>
      <c r="C528" s="3">
        <v>46005.769444444442</v>
      </c>
      <c r="D528" s="2" t="s">
        <v>28</v>
      </c>
      <c r="E528" s="4">
        <v>3829.79</v>
      </c>
      <c r="F528" s="2" t="s">
        <v>122</v>
      </c>
      <c r="G528" s="5">
        <v>26</v>
      </c>
      <c r="H528" s="2" t="s">
        <v>29</v>
      </c>
      <c r="I528" s="2" t="s">
        <v>78</v>
      </c>
      <c r="J528" s="2" t="s">
        <v>17</v>
      </c>
      <c r="K528" s="2" t="s">
        <v>18</v>
      </c>
    </row>
    <row r="529" spans="1:11" x14ac:dyDescent="0.3">
      <c r="A529" s="2" t="s">
        <v>840</v>
      </c>
      <c r="B529" s="2" t="s">
        <v>500</v>
      </c>
      <c r="C529" s="3">
        <v>45894.40902777778</v>
      </c>
      <c r="D529" s="2" t="s">
        <v>38</v>
      </c>
      <c r="E529" s="4">
        <v>3912.27</v>
      </c>
      <c r="F529" s="2" t="s">
        <v>14</v>
      </c>
      <c r="G529" s="5">
        <v>27</v>
      </c>
      <c r="H529" s="2" t="s">
        <v>15</v>
      </c>
      <c r="I529" s="2" t="s">
        <v>60</v>
      </c>
      <c r="J529" s="2" t="s">
        <v>44</v>
      </c>
      <c r="K529" s="2" t="s">
        <v>18</v>
      </c>
    </row>
    <row r="530" spans="1:11" x14ac:dyDescent="0.3">
      <c r="A530" s="2" t="s">
        <v>841</v>
      </c>
      <c r="B530" s="2" t="s">
        <v>688</v>
      </c>
      <c r="C530" s="3">
        <v>45853.689583333333</v>
      </c>
      <c r="D530" s="2" t="s">
        <v>154</v>
      </c>
      <c r="E530" s="4">
        <v>10000</v>
      </c>
      <c r="F530" s="2" t="s">
        <v>14</v>
      </c>
      <c r="G530" s="5">
        <v>24</v>
      </c>
      <c r="H530" s="2" t="s">
        <v>29</v>
      </c>
      <c r="I530" s="2" t="s">
        <v>34</v>
      </c>
      <c r="J530" s="2" t="s">
        <v>44</v>
      </c>
      <c r="K530" s="2" t="s">
        <v>18</v>
      </c>
    </row>
    <row r="531" spans="1:11" x14ac:dyDescent="0.3">
      <c r="A531" s="2" t="s">
        <v>842</v>
      </c>
      <c r="B531" s="2" t="s">
        <v>597</v>
      </c>
      <c r="C531" s="3">
        <v>45872.244444444441</v>
      </c>
      <c r="D531" s="2" t="s">
        <v>13</v>
      </c>
      <c r="E531" s="4">
        <v>698.31</v>
      </c>
      <c r="F531" s="2" t="s">
        <v>57</v>
      </c>
      <c r="G531" s="5">
        <v>43</v>
      </c>
      <c r="H531" s="2" t="s">
        <v>15</v>
      </c>
      <c r="I531" s="2" t="s">
        <v>48</v>
      </c>
      <c r="J531" s="2" t="s">
        <v>49</v>
      </c>
      <c r="K531" s="2" t="s">
        <v>35</v>
      </c>
    </row>
    <row r="532" spans="1:11" x14ac:dyDescent="0.3">
      <c r="A532" s="2" t="s">
        <v>843</v>
      </c>
      <c r="B532" s="2" t="s">
        <v>150</v>
      </c>
      <c r="C532" s="3">
        <v>45760.797222222223</v>
      </c>
      <c r="D532" s="2" t="s">
        <v>28</v>
      </c>
      <c r="E532" s="4">
        <v>6673.11</v>
      </c>
      <c r="F532" s="2" t="s">
        <v>14</v>
      </c>
      <c r="G532" s="5">
        <v>52</v>
      </c>
      <c r="H532" s="2" t="s">
        <v>15</v>
      </c>
      <c r="I532" s="2" t="s">
        <v>34</v>
      </c>
      <c r="J532" s="2" t="s">
        <v>17</v>
      </c>
      <c r="K532" s="2" t="s">
        <v>45</v>
      </c>
    </row>
    <row r="533" spans="1:11" x14ac:dyDescent="0.3">
      <c r="A533" s="2" t="s">
        <v>844</v>
      </c>
      <c r="B533" s="2" t="s">
        <v>845</v>
      </c>
      <c r="C533" s="3">
        <v>45786.070138888892</v>
      </c>
      <c r="D533" s="2" t="s">
        <v>38</v>
      </c>
      <c r="E533" s="4">
        <v>3094.83</v>
      </c>
      <c r="F533" s="2" t="s">
        <v>14</v>
      </c>
      <c r="G533" s="5">
        <v>46</v>
      </c>
      <c r="H533" s="2" t="s">
        <v>29</v>
      </c>
      <c r="I533" s="2" t="s">
        <v>43</v>
      </c>
      <c r="J533" s="2" t="s">
        <v>17</v>
      </c>
      <c r="K533" s="2" t="s">
        <v>45</v>
      </c>
    </row>
    <row r="534" spans="1:11" x14ac:dyDescent="0.3">
      <c r="A534" s="2" t="s">
        <v>846</v>
      </c>
      <c r="B534" s="2" t="s">
        <v>847</v>
      </c>
      <c r="C534" s="3">
        <v>45904.482638888891</v>
      </c>
      <c r="D534" s="2" t="s">
        <v>28</v>
      </c>
      <c r="E534" s="4">
        <v>26307.94</v>
      </c>
      <c r="F534" s="2" t="s">
        <v>14</v>
      </c>
      <c r="G534" s="5">
        <v>39</v>
      </c>
      <c r="H534" s="2" t="s">
        <v>15</v>
      </c>
      <c r="I534" s="2" t="s">
        <v>60</v>
      </c>
      <c r="J534" s="2" t="s">
        <v>17</v>
      </c>
      <c r="K534" s="2" t="s">
        <v>18</v>
      </c>
    </row>
    <row r="535" spans="1:11" x14ac:dyDescent="0.3">
      <c r="A535" s="2" t="s">
        <v>848</v>
      </c>
      <c r="B535" s="2" t="s">
        <v>541</v>
      </c>
      <c r="C535" s="3">
        <v>45710.95416666667</v>
      </c>
      <c r="D535" s="2" t="s">
        <v>28</v>
      </c>
      <c r="E535" s="4">
        <v>1687.4</v>
      </c>
      <c r="F535" s="2" t="s">
        <v>14</v>
      </c>
      <c r="G535" s="5">
        <v>57</v>
      </c>
      <c r="H535" s="2" t="s">
        <v>15</v>
      </c>
      <c r="I535" s="2" t="s">
        <v>34</v>
      </c>
      <c r="J535" s="2" t="s">
        <v>44</v>
      </c>
      <c r="K535" s="2" t="s">
        <v>45</v>
      </c>
    </row>
    <row r="536" spans="1:11" x14ac:dyDescent="0.3">
      <c r="A536" s="2" t="s">
        <v>849</v>
      </c>
      <c r="B536" s="2" t="s">
        <v>113</v>
      </c>
      <c r="C536" s="3">
        <v>45922.137499999997</v>
      </c>
      <c r="D536" s="2" t="s">
        <v>28</v>
      </c>
      <c r="E536" s="4">
        <v>65222.77</v>
      </c>
      <c r="F536" s="2" t="s">
        <v>14</v>
      </c>
      <c r="G536" s="5">
        <v>60</v>
      </c>
      <c r="H536" s="2" t="s">
        <v>29</v>
      </c>
      <c r="I536" s="2" t="s">
        <v>78</v>
      </c>
      <c r="J536" s="2" t="s">
        <v>17</v>
      </c>
      <c r="K536" s="2" t="s">
        <v>18</v>
      </c>
    </row>
    <row r="537" spans="1:11" x14ac:dyDescent="0.3">
      <c r="A537" s="2" t="s">
        <v>850</v>
      </c>
      <c r="B537" s="2" t="s">
        <v>126</v>
      </c>
      <c r="C537" s="3">
        <v>45700.220138888893</v>
      </c>
      <c r="D537" s="2" t="s">
        <v>28</v>
      </c>
      <c r="E537" s="4">
        <v>17106.759999999998</v>
      </c>
      <c r="F537" s="2" t="s">
        <v>57</v>
      </c>
      <c r="G537" s="5">
        <v>49</v>
      </c>
      <c r="H537" s="2" t="s">
        <v>29</v>
      </c>
      <c r="I537" s="2" t="s">
        <v>16</v>
      </c>
      <c r="J537" s="2" t="s">
        <v>17</v>
      </c>
      <c r="K537" s="2" t="s">
        <v>18</v>
      </c>
    </row>
    <row r="538" spans="1:11" x14ac:dyDescent="0.3">
      <c r="A538" s="2" t="s">
        <v>851</v>
      </c>
      <c r="B538" s="2" t="s">
        <v>305</v>
      </c>
      <c r="C538" s="3">
        <v>45888.67291666667</v>
      </c>
      <c r="D538" s="2" t="s">
        <v>28</v>
      </c>
      <c r="E538" s="4">
        <v>39482.870000000003</v>
      </c>
      <c r="F538" s="2" t="s">
        <v>14</v>
      </c>
      <c r="G538" s="5">
        <v>45</v>
      </c>
      <c r="H538" s="2" t="s">
        <v>29</v>
      </c>
      <c r="I538" s="2" t="s">
        <v>48</v>
      </c>
      <c r="J538" s="2" t="s">
        <v>17</v>
      </c>
      <c r="K538" s="2" t="s">
        <v>22</v>
      </c>
    </row>
    <row r="539" spans="1:11" x14ac:dyDescent="0.3">
      <c r="A539" s="2" t="s">
        <v>852</v>
      </c>
      <c r="B539" s="2" t="s">
        <v>853</v>
      </c>
      <c r="C539" s="3">
        <v>45881.123611111107</v>
      </c>
      <c r="D539" s="2" t="s">
        <v>33</v>
      </c>
      <c r="E539" s="4">
        <v>9111.8700000000008</v>
      </c>
      <c r="F539" s="2" t="s">
        <v>14</v>
      </c>
      <c r="G539" s="5">
        <v>45</v>
      </c>
      <c r="H539" s="2" t="s">
        <v>29</v>
      </c>
      <c r="I539" s="2" t="s">
        <v>34</v>
      </c>
      <c r="J539" s="2" t="s">
        <v>49</v>
      </c>
      <c r="K539" s="2" t="s">
        <v>45</v>
      </c>
    </row>
    <row r="540" spans="1:11" x14ac:dyDescent="0.3">
      <c r="A540" s="2" t="s">
        <v>854</v>
      </c>
      <c r="B540" s="2" t="s">
        <v>847</v>
      </c>
      <c r="C540" s="3">
        <v>45771.62222222222</v>
      </c>
      <c r="D540" s="2" t="s">
        <v>38</v>
      </c>
      <c r="E540" s="4">
        <v>1085</v>
      </c>
      <c r="F540" s="2" t="s">
        <v>14</v>
      </c>
      <c r="G540" s="5">
        <v>39</v>
      </c>
      <c r="H540" s="2" t="s">
        <v>15</v>
      </c>
      <c r="I540" s="2" t="s">
        <v>60</v>
      </c>
      <c r="J540" s="2" t="s">
        <v>17</v>
      </c>
      <c r="K540" s="2" t="s">
        <v>18</v>
      </c>
    </row>
    <row r="541" spans="1:11" x14ac:dyDescent="0.3">
      <c r="A541" s="2" t="s">
        <v>855</v>
      </c>
      <c r="B541" s="2" t="s">
        <v>67</v>
      </c>
      <c r="C541" s="3">
        <v>45836.018055555563</v>
      </c>
      <c r="D541" s="2" t="s">
        <v>28</v>
      </c>
      <c r="E541" s="4">
        <v>21404.61</v>
      </c>
      <c r="F541" s="2" t="s">
        <v>14</v>
      </c>
      <c r="G541" s="5">
        <v>29</v>
      </c>
      <c r="H541" s="2" t="s">
        <v>15</v>
      </c>
      <c r="I541" s="2" t="s">
        <v>34</v>
      </c>
      <c r="J541" s="2" t="s">
        <v>44</v>
      </c>
      <c r="K541" s="2" t="s">
        <v>18</v>
      </c>
    </row>
    <row r="542" spans="1:11" x14ac:dyDescent="0.3">
      <c r="A542" s="2" t="s">
        <v>856</v>
      </c>
      <c r="B542" s="2" t="s">
        <v>194</v>
      </c>
      <c r="C542" s="3">
        <v>45685.522222222222</v>
      </c>
      <c r="D542" s="2" t="s">
        <v>28</v>
      </c>
      <c r="E542" s="4">
        <v>25199.200000000001</v>
      </c>
      <c r="F542" s="2" t="s">
        <v>14</v>
      </c>
      <c r="G542" s="5">
        <v>31</v>
      </c>
      <c r="H542" s="2" t="s">
        <v>29</v>
      </c>
      <c r="I542" s="2" t="s">
        <v>16</v>
      </c>
      <c r="J542" s="2" t="s">
        <v>17</v>
      </c>
      <c r="K542" s="2" t="s">
        <v>18</v>
      </c>
    </row>
    <row r="543" spans="1:11" x14ac:dyDescent="0.3">
      <c r="A543" s="2" t="s">
        <v>857</v>
      </c>
      <c r="B543" s="2" t="s">
        <v>423</v>
      </c>
      <c r="C543" s="3">
        <v>45849.308333333327</v>
      </c>
      <c r="D543" s="2" t="s">
        <v>13</v>
      </c>
      <c r="E543" s="4">
        <v>4151.42</v>
      </c>
      <c r="F543" s="2" t="s">
        <v>14</v>
      </c>
      <c r="G543" s="5">
        <v>28</v>
      </c>
      <c r="H543" s="2" t="s">
        <v>29</v>
      </c>
      <c r="I543" s="2" t="s">
        <v>34</v>
      </c>
      <c r="J543" s="2" t="s">
        <v>44</v>
      </c>
      <c r="K543" s="2" t="s">
        <v>35</v>
      </c>
    </row>
    <row r="544" spans="1:11" x14ac:dyDescent="0.3">
      <c r="A544" s="2" t="s">
        <v>858</v>
      </c>
      <c r="B544" s="2" t="s">
        <v>179</v>
      </c>
      <c r="C544" s="3">
        <v>45699.468055555553</v>
      </c>
      <c r="D544" s="2" t="s">
        <v>13</v>
      </c>
      <c r="E544" s="4">
        <v>4232.1499999999996</v>
      </c>
      <c r="F544" s="2" t="s">
        <v>57</v>
      </c>
      <c r="G544" s="5">
        <v>38</v>
      </c>
      <c r="H544" s="2" t="s">
        <v>15</v>
      </c>
      <c r="I544" s="2" t="s">
        <v>34</v>
      </c>
      <c r="J544" s="2" t="s">
        <v>17</v>
      </c>
      <c r="K544" s="2" t="s">
        <v>22</v>
      </c>
    </row>
    <row r="545" spans="1:11" x14ac:dyDescent="0.3">
      <c r="A545" s="2" t="s">
        <v>859</v>
      </c>
      <c r="B545" s="2" t="s">
        <v>860</v>
      </c>
      <c r="C545" s="3">
        <v>45672.457638888889</v>
      </c>
      <c r="D545" s="2" t="s">
        <v>13</v>
      </c>
      <c r="E545" s="4">
        <v>340.73</v>
      </c>
      <c r="F545" s="2" t="s">
        <v>14</v>
      </c>
      <c r="G545" s="5">
        <v>29</v>
      </c>
      <c r="H545" s="2" t="s">
        <v>15</v>
      </c>
      <c r="I545" s="2" t="s">
        <v>21</v>
      </c>
      <c r="J545" s="2" t="s">
        <v>52</v>
      </c>
      <c r="K545" s="2" t="s">
        <v>45</v>
      </c>
    </row>
    <row r="546" spans="1:11" x14ac:dyDescent="0.3">
      <c r="A546" s="2" t="s">
        <v>861</v>
      </c>
      <c r="B546" s="2" t="s">
        <v>192</v>
      </c>
      <c r="C546" s="3">
        <v>45708.945138888892</v>
      </c>
      <c r="D546" s="2" t="s">
        <v>13</v>
      </c>
      <c r="E546" s="4">
        <v>2082.65</v>
      </c>
      <c r="F546" s="2" t="s">
        <v>14</v>
      </c>
      <c r="G546" s="5">
        <v>48</v>
      </c>
      <c r="H546" s="2" t="s">
        <v>29</v>
      </c>
      <c r="I546" s="2" t="s">
        <v>60</v>
      </c>
      <c r="J546" s="2" t="s">
        <v>49</v>
      </c>
      <c r="K546" s="2" t="s">
        <v>18</v>
      </c>
    </row>
    <row r="547" spans="1:11" x14ac:dyDescent="0.3">
      <c r="A547" s="2" t="s">
        <v>862</v>
      </c>
      <c r="B547" s="2" t="s">
        <v>860</v>
      </c>
      <c r="C547" s="3">
        <v>45829.172222222223</v>
      </c>
      <c r="D547" s="2" t="s">
        <v>154</v>
      </c>
      <c r="E547" s="4">
        <v>2000</v>
      </c>
      <c r="F547" s="2" t="s">
        <v>14</v>
      </c>
      <c r="G547" s="5">
        <v>29</v>
      </c>
      <c r="H547" s="2" t="s">
        <v>15</v>
      </c>
      <c r="I547" s="2" t="s">
        <v>21</v>
      </c>
      <c r="J547" s="2" t="s">
        <v>52</v>
      </c>
      <c r="K547" s="2" t="s">
        <v>18</v>
      </c>
    </row>
    <row r="548" spans="1:11" x14ac:dyDescent="0.3">
      <c r="A548" s="2" t="s">
        <v>863</v>
      </c>
      <c r="B548" s="2" t="s">
        <v>388</v>
      </c>
      <c r="C548" s="3">
        <v>45677.415277777778</v>
      </c>
      <c r="D548" s="2" t="s">
        <v>28</v>
      </c>
      <c r="E548" s="4">
        <v>6746.73</v>
      </c>
      <c r="F548" s="2" t="s">
        <v>14</v>
      </c>
      <c r="G548" s="5">
        <v>31</v>
      </c>
      <c r="H548" s="2" t="s">
        <v>15</v>
      </c>
      <c r="I548" s="2" t="s">
        <v>34</v>
      </c>
      <c r="J548" s="2" t="s">
        <v>17</v>
      </c>
      <c r="K548" s="2" t="s">
        <v>18</v>
      </c>
    </row>
    <row r="549" spans="1:11" x14ac:dyDescent="0.3">
      <c r="A549" s="2" t="s">
        <v>864</v>
      </c>
      <c r="B549" s="2" t="s">
        <v>24</v>
      </c>
      <c r="C549" s="3">
        <v>45899.953472222223</v>
      </c>
      <c r="D549" s="2" t="s">
        <v>13</v>
      </c>
      <c r="E549" s="4">
        <v>2103.19</v>
      </c>
      <c r="F549" s="2" t="s">
        <v>14</v>
      </c>
      <c r="G549" s="5">
        <v>35</v>
      </c>
      <c r="H549" s="2" t="s">
        <v>15</v>
      </c>
      <c r="I549" s="2" t="s">
        <v>25</v>
      </c>
      <c r="J549" s="2" t="s">
        <v>17</v>
      </c>
      <c r="K549" s="2" t="s">
        <v>18</v>
      </c>
    </row>
    <row r="550" spans="1:11" x14ac:dyDescent="0.3">
      <c r="A550" s="2" t="s">
        <v>865</v>
      </c>
      <c r="B550" s="2" t="s">
        <v>132</v>
      </c>
      <c r="C550" s="3">
        <v>45729.9375</v>
      </c>
      <c r="D550" s="2" t="s">
        <v>13</v>
      </c>
      <c r="E550" s="4">
        <v>2156.4899999999998</v>
      </c>
      <c r="F550" s="2" t="s">
        <v>14</v>
      </c>
      <c r="G550" s="5">
        <v>20</v>
      </c>
      <c r="H550" s="2" t="s">
        <v>15</v>
      </c>
      <c r="I550" s="2" t="s">
        <v>43</v>
      </c>
      <c r="J550" s="2" t="s">
        <v>17</v>
      </c>
      <c r="K550" s="2" t="s">
        <v>18</v>
      </c>
    </row>
    <row r="551" spans="1:11" x14ac:dyDescent="0.3">
      <c r="A551" s="2" t="s">
        <v>866</v>
      </c>
      <c r="B551" s="2" t="s">
        <v>707</v>
      </c>
      <c r="C551" s="3">
        <v>45887.791666666657</v>
      </c>
      <c r="D551" s="2" t="s">
        <v>28</v>
      </c>
      <c r="E551" s="4">
        <v>2304.46</v>
      </c>
      <c r="F551" s="2" t="s">
        <v>14</v>
      </c>
      <c r="G551" s="5">
        <v>35</v>
      </c>
      <c r="H551" s="2" t="s">
        <v>15</v>
      </c>
      <c r="I551" s="2" t="s">
        <v>25</v>
      </c>
      <c r="J551" s="2" t="s">
        <v>17</v>
      </c>
      <c r="K551" s="2" t="s">
        <v>45</v>
      </c>
    </row>
    <row r="552" spans="1:11" x14ac:dyDescent="0.3">
      <c r="A552" s="2" t="s">
        <v>867</v>
      </c>
      <c r="B552" s="2" t="s">
        <v>868</v>
      </c>
      <c r="C552" s="3">
        <v>45698.011111111111</v>
      </c>
      <c r="D552" s="2" t="s">
        <v>28</v>
      </c>
      <c r="E552" s="4">
        <v>5155.67</v>
      </c>
      <c r="F552" s="2" t="s">
        <v>14</v>
      </c>
      <c r="G552" s="5">
        <v>32</v>
      </c>
      <c r="H552" s="2" t="s">
        <v>15</v>
      </c>
      <c r="I552" s="2" t="s">
        <v>34</v>
      </c>
      <c r="J552" s="2" t="s">
        <v>17</v>
      </c>
      <c r="K552" s="2" t="s">
        <v>45</v>
      </c>
    </row>
    <row r="553" spans="1:11" x14ac:dyDescent="0.3">
      <c r="A553" s="2" t="s">
        <v>869</v>
      </c>
      <c r="B553" s="2" t="s">
        <v>329</v>
      </c>
      <c r="C553" s="3">
        <v>45768.190972222219</v>
      </c>
      <c r="D553" s="2" t="s">
        <v>28</v>
      </c>
      <c r="E553" s="4">
        <v>44750.1</v>
      </c>
      <c r="F553" s="2" t="s">
        <v>57</v>
      </c>
      <c r="G553" s="5">
        <v>31</v>
      </c>
      <c r="H553" s="2" t="s">
        <v>15</v>
      </c>
      <c r="I553" s="2" t="s">
        <v>34</v>
      </c>
      <c r="J553" s="2" t="s">
        <v>49</v>
      </c>
      <c r="K553" s="2" t="s">
        <v>18</v>
      </c>
    </row>
    <row r="554" spans="1:11" x14ac:dyDescent="0.3">
      <c r="A554" s="2" t="s">
        <v>870</v>
      </c>
      <c r="B554" s="2" t="s">
        <v>119</v>
      </c>
      <c r="C554" s="3">
        <v>45969.685416666667</v>
      </c>
      <c r="D554" s="2" t="s">
        <v>28</v>
      </c>
      <c r="E554" s="4">
        <v>113975.13</v>
      </c>
      <c r="F554" s="2" t="s">
        <v>14</v>
      </c>
      <c r="G554" s="5">
        <v>33</v>
      </c>
      <c r="H554" s="2" t="s">
        <v>29</v>
      </c>
      <c r="I554" s="2" t="s">
        <v>60</v>
      </c>
      <c r="J554" s="2" t="s">
        <v>52</v>
      </c>
      <c r="K554" s="2" t="s">
        <v>18</v>
      </c>
    </row>
    <row r="555" spans="1:11" x14ac:dyDescent="0.3">
      <c r="A555" s="2" t="s">
        <v>871</v>
      </c>
      <c r="B555" s="2" t="s">
        <v>872</v>
      </c>
      <c r="C555" s="3">
        <v>45714.385416666657</v>
      </c>
      <c r="D555" s="2" t="s">
        <v>28</v>
      </c>
      <c r="E555" s="4">
        <v>6929.82</v>
      </c>
      <c r="F555" s="2" t="s">
        <v>57</v>
      </c>
      <c r="G555" s="5">
        <v>28</v>
      </c>
      <c r="H555" s="2" t="s">
        <v>15</v>
      </c>
      <c r="I555" s="2" t="s">
        <v>34</v>
      </c>
      <c r="J555" s="2" t="s">
        <v>17</v>
      </c>
      <c r="K555" s="2" t="s">
        <v>45</v>
      </c>
    </row>
    <row r="556" spans="1:11" x14ac:dyDescent="0.3">
      <c r="A556" s="2" t="s">
        <v>873</v>
      </c>
      <c r="B556" s="2" t="s">
        <v>874</v>
      </c>
      <c r="C556" s="3">
        <v>45812.127083333333</v>
      </c>
      <c r="D556" s="2" t="s">
        <v>28</v>
      </c>
      <c r="E556" s="4">
        <v>5178</v>
      </c>
      <c r="F556" s="2" t="s">
        <v>14</v>
      </c>
      <c r="G556" s="5">
        <v>39</v>
      </c>
      <c r="H556" s="2" t="s">
        <v>15</v>
      </c>
      <c r="I556" s="2" t="s">
        <v>21</v>
      </c>
      <c r="J556" s="2" t="s">
        <v>17</v>
      </c>
      <c r="K556" s="2" t="s">
        <v>35</v>
      </c>
    </row>
    <row r="557" spans="1:11" x14ac:dyDescent="0.3">
      <c r="A557" s="2" t="s">
        <v>875</v>
      </c>
      <c r="B557" s="2" t="s">
        <v>662</v>
      </c>
      <c r="C557" s="3">
        <v>45780.569444444453</v>
      </c>
      <c r="D557" s="2" t="s">
        <v>33</v>
      </c>
      <c r="E557" s="4">
        <v>4709.9799999999996</v>
      </c>
      <c r="F557" s="2" t="s">
        <v>14</v>
      </c>
      <c r="G557" s="5">
        <v>45</v>
      </c>
      <c r="H557" s="2" t="s">
        <v>15</v>
      </c>
      <c r="I557" s="2" t="s">
        <v>34</v>
      </c>
      <c r="J557" s="2" t="s">
        <v>52</v>
      </c>
      <c r="K557" s="2" t="s">
        <v>18</v>
      </c>
    </row>
    <row r="558" spans="1:11" x14ac:dyDescent="0.3">
      <c r="A558" s="2" t="s">
        <v>876</v>
      </c>
      <c r="B558" s="2" t="s">
        <v>124</v>
      </c>
      <c r="C558" s="3">
        <v>45976.586111111108</v>
      </c>
      <c r="D558" s="2" t="s">
        <v>13</v>
      </c>
      <c r="E558" s="4">
        <v>1514.4</v>
      </c>
      <c r="F558" s="2" t="s">
        <v>57</v>
      </c>
      <c r="G558" s="5">
        <v>39</v>
      </c>
      <c r="H558" s="2" t="s">
        <v>15</v>
      </c>
      <c r="I558" s="2" t="s">
        <v>16</v>
      </c>
      <c r="J558" s="2" t="s">
        <v>52</v>
      </c>
      <c r="K558" s="2" t="s">
        <v>18</v>
      </c>
    </row>
    <row r="559" spans="1:11" x14ac:dyDescent="0.3">
      <c r="A559" s="2" t="s">
        <v>877</v>
      </c>
      <c r="B559" s="2" t="s">
        <v>346</v>
      </c>
      <c r="C559" s="3">
        <v>45714.651388888888</v>
      </c>
      <c r="D559" s="2" t="s">
        <v>154</v>
      </c>
      <c r="E559" s="4">
        <v>2000</v>
      </c>
      <c r="F559" s="2" t="s">
        <v>14</v>
      </c>
      <c r="G559" s="5">
        <v>55</v>
      </c>
      <c r="H559" s="2" t="s">
        <v>29</v>
      </c>
      <c r="I559" s="2" t="s">
        <v>95</v>
      </c>
      <c r="J559" s="2" t="s">
        <v>49</v>
      </c>
      <c r="K559" s="2" t="s">
        <v>35</v>
      </c>
    </row>
    <row r="560" spans="1:11" x14ac:dyDescent="0.3">
      <c r="A560" s="2" t="s">
        <v>878</v>
      </c>
      <c r="B560" s="2" t="s">
        <v>403</v>
      </c>
      <c r="C560" s="3">
        <v>45932.027777777781</v>
      </c>
      <c r="D560" s="2" t="s">
        <v>33</v>
      </c>
      <c r="E560" s="4">
        <v>11412.24</v>
      </c>
      <c r="F560" s="2" t="s">
        <v>14</v>
      </c>
      <c r="G560" s="5">
        <v>31</v>
      </c>
      <c r="H560" s="2" t="s">
        <v>15</v>
      </c>
      <c r="I560" s="2" t="s">
        <v>34</v>
      </c>
      <c r="J560" s="2" t="s">
        <v>52</v>
      </c>
      <c r="K560" s="2" t="s">
        <v>18</v>
      </c>
    </row>
    <row r="561" spans="1:11" x14ac:dyDescent="0.3">
      <c r="A561" s="2" t="s">
        <v>879</v>
      </c>
      <c r="B561" s="2" t="s">
        <v>786</v>
      </c>
      <c r="C561" s="3">
        <v>45921.760416666657</v>
      </c>
      <c r="D561" s="2" t="s">
        <v>38</v>
      </c>
      <c r="E561" s="4">
        <v>6190.9</v>
      </c>
      <c r="F561" s="2" t="s">
        <v>57</v>
      </c>
      <c r="G561" s="5">
        <v>33</v>
      </c>
      <c r="H561" s="2" t="s">
        <v>15</v>
      </c>
      <c r="I561" s="2" t="s">
        <v>34</v>
      </c>
      <c r="J561" s="2" t="s">
        <v>44</v>
      </c>
      <c r="K561" s="2" t="s">
        <v>45</v>
      </c>
    </row>
    <row r="562" spans="1:11" x14ac:dyDescent="0.3">
      <c r="A562" s="2" t="s">
        <v>880</v>
      </c>
      <c r="B562" s="2" t="s">
        <v>654</v>
      </c>
      <c r="C562" s="3">
        <v>45731.393750000003</v>
      </c>
      <c r="D562" s="2" t="s">
        <v>33</v>
      </c>
      <c r="E562" s="4">
        <v>2403.88</v>
      </c>
      <c r="F562" s="2" t="s">
        <v>14</v>
      </c>
      <c r="G562" s="5">
        <v>55</v>
      </c>
      <c r="H562" s="2" t="s">
        <v>15</v>
      </c>
      <c r="I562" s="2" t="s">
        <v>30</v>
      </c>
      <c r="J562" s="2" t="s">
        <v>44</v>
      </c>
      <c r="K562" s="2" t="s">
        <v>35</v>
      </c>
    </row>
    <row r="563" spans="1:11" x14ac:dyDescent="0.3">
      <c r="A563" s="2" t="s">
        <v>881</v>
      </c>
      <c r="B563" s="2" t="s">
        <v>341</v>
      </c>
      <c r="C563" s="3">
        <v>45658.806944444441</v>
      </c>
      <c r="D563" s="2" t="s">
        <v>28</v>
      </c>
      <c r="E563" s="4">
        <v>6949.12</v>
      </c>
      <c r="F563" s="2" t="s">
        <v>14</v>
      </c>
      <c r="G563" s="5">
        <v>25</v>
      </c>
      <c r="H563" s="2" t="s">
        <v>15</v>
      </c>
      <c r="I563" s="2" t="s">
        <v>60</v>
      </c>
      <c r="J563" s="2" t="s">
        <v>49</v>
      </c>
      <c r="K563" s="2" t="s">
        <v>22</v>
      </c>
    </row>
    <row r="564" spans="1:11" x14ac:dyDescent="0.3">
      <c r="A564" s="2" t="s">
        <v>882</v>
      </c>
      <c r="B564" s="2" t="s">
        <v>483</v>
      </c>
      <c r="C564" s="3">
        <v>45781.768055555563</v>
      </c>
      <c r="D564" s="2" t="s">
        <v>28</v>
      </c>
      <c r="E564" s="4">
        <v>6689.15</v>
      </c>
      <c r="F564" s="2" t="s">
        <v>57</v>
      </c>
      <c r="G564" s="5">
        <v>26</v>
      </c>
      <c r="H564" s="2" t="s">
        <v>15</v>
      </c>
      <c r="I564" s="2" t="s">
        <v>16</v>
      </c>
      <c r="J564" s="2" t="s">
        <v>52</v>
      </c>
      <c r="K564" s="2" t="s">
        <v>22</v>
      </c>
    </row>
    <row r="565" spans="1:11" x14ac:dyDescent="0.3">
      <c r="A565" s="2" t="s">
        <v>883</v>
      </c>
      <c r="B565" s="2" t="s">
        <v>454</v>
      </c>
      <c r="C565" s="3">
        <v>45753.904166666667</v>
      </c>
      <c r="D565" s="2" t="s">
        <v>28</v>
      </c>
      <c r="E565" s="4">
        <v>8555.82</v>
      </c>
      <c r="F565" s="2" t="s">
        <v>14</v>
      </c>
      <c r="G565" s="5">
        <v>35</v>
      </c>
      <c r="H565" s="2" t="s">
        <v>15</v>
      </c>
      <c r="I565" s="2" t="s">
        <v>21</v>
      </c>
      <c r="J565" s="2" t="s">
        <v>17</v>
      </c>
      <c r="K565" s="2" t="s">
        <v>18</v>
      </c>
    </row>
    <row r="566" spans="1:11" x14ac:dyDescent="0.3">
      <c r="A566" s="2" t="s">
        <v>884</v>
      </c>
      <c r="B566" s="2" t="s">
        <v>481</v>
      </c>
      <c r="C566" s="3">
        <v>45701.682638888888</v>
      </c>
      <c r="D566" s="2" t="s">
        <v>13</v>
      </c>
      <c r="E566" s="4">
        <v>10234.58</v>
      </c>
      <c r="F566" s="2" t="s">
        <v>14</v>
      </c>
      <c r="G566" s="5">
        <v>28</v>
      </c>
      <c r="H566" s="2" t="s">
        <v>15</v>
      </c>
      <c r="I566" s="2" t="s">
        <v>60</v>
      </c>
      <c r="J566" s="2" t="s">
        <v>17</v>
      </c>
      <c r="K566" s="2" t="s">
        <v>18</v>
      </c>
    </row>
    <row r="567" spans="1:11" x14ac:dyDescent="0.3">
      <c r="A567" s="2" t="s">
        <v>885</v>
      </c>
      <c r="B567" s="2" t="s">
        <v>286</v>
      </c>
      <c r="C567" s="3">
        <v>45692.69027777778</v>
      </c>
      <c r="D567" s="2" t="s">
        <v>13</v>
      </c>
      <c r="E567" s="4">
        <v>4415.17</v>
      </c>
      <c r="F567" s="2" t="s">
        <v>57</v>
      </c>
      <c r="G567" s="5">
        <v>60</v>
      </c>
      <c r="H567" s="2" t="s">
        <v>29</v>
      </c>
      <c r="I567" s="2" t="s">
        <v>21</v>
      </c>
      <c r="J567" s="2" t="s">
        <v>17</v>
      </c>
      <c r="K567" s="2" t="s">
        <v>35</v>
      </c>
    </row>
    <row r="568" spans="1:11" x14ac:dyDescent="0.3">
      <c r="A568" s="2" t="s">
        <v>886</v>
      </c>
      <c r="B568" s="2" t="s">
        <v>887</v>
      </c>
      <c r="C568" s="3">
        <v>45917.690972222219</v>
      </c>
      <c r="D568" s="2" t="s">
        <v>28</v>
      </c>
      <c r="E568" s="4">
        <v>7621.27</v>
      </c>
      <c r="F568" s="2" t="s">
        <v>14</v>
      </c>
      <c r="G568" s="5">
        <v>30</v>
      </c>
      <c r="H568" s="2" t="s">
        <v>15</v>
      </c>
      <c r="I568" s="2" t="s">
        <v>34</v>
      </c>
      <c r="J568" s="2" t="s">
        <v>44</v>
      </c>
      <c r="K568" s="2" t="s">
        <v>18</v>
      </c>
    </row>
    <row r="569" spans="1:11" x14ac:dyDescent="0.3">
      <c r="A569" s="2" t="s">
        <v>888</v>
      </c>
      <c r="B569" s="2" t="s">
        <v>509</v>
      </c>
      <c r="C569" s="3">
        <v>45668.538194444453</v>
      </c>
      <c r="D569" s="2" t="s">
        <v>28</v>
      </c>
      <c r="E569" s="4">
        <v>31701.759999999998</v>
      </c>
      <c r="F569" s="2" t="s">
        <v>14</v>
      </c>
      <c r="G569" s="5">
        <v>29</v>
      </c>
      <c r="H569" s="2" t="s">
        <v>15</v>
      </c>
      <c r="I569" s="2" t="s">
        <v>34</v>
      </c>
      <c r="J569" s="2" t="s">
        <v>49</v>
      </c>
      <c r="K569" s="2" t="s">
        <v>18</v>
      </c>
    </row>
    <row r="570" spans="1:11" x14ac:dyDescent="0.3">
      <c r="A570" s="2" t="s">
        <v>889</v>
      </c>
      <c r="B570" s="2" t="s">
        <v>94</v>
      </c>
      <c r="C570" s="3">
        <v>45898.069444444453</v>
      </c>
      <c r="D570" s="2" t="s">
        <v>28</v>
      </c>
      <c r="E570" s="4">
        <v>1830.22</v>
      </c>
      <c r="F570" s="2" t="s">
        <v>14</v>
      </c>
      <c r="G570" s="5">
        <v>36</v>
      </c>
      <c r="H570" s="2" t="s">
        <v>15</v>
      </c>
      <c r="I570" s="2" t="s">
        <v>95</v>
      </c>
      <c r="J570" s="2" t="s">
        <v>17</v>
      </c>
      <c r="K570" s="2" t="s">
        <v>35</v>
      </c>
    </row>
    <row r="571" spans="1:11" x14ac:dyDescent="0.3">
      <c r="A571" s="2" t="s">
        <v>890</v>
      </c>
      <c r="B571" s="2" t="s">
        <v>454</v>
      </c>
      <c r="C571" s="3">
        <v>45856.469444444447</v>
      </c>
      <c r="D571" s="2" t="s">
        <v>28</v>
      </c>
      <c r="E571" s="4">
        <v>40406.400000000001</v>
      </c>
      <c r="F571" s="2" t="s">
        <v>14</v>
      </c>
      <c r="G571" s="5">
        <v>35</v>
      </c>
      <c r="H571" s="2" t="s">
        <v>15</v>
      </c>
      <c r="I571" s="2" t="s">
        <v>21</v>
      </c>
      <c r="J571" s="2" t="s">
        <v>17</v>
      </c>
      <c r="K571" s="2" t="s">
        <v>45</v>
      </c>
    </row>
    <row r="572" spans="1:11" x14ac:dyDescent="0.3">
      <c r="A572" s="2" t="s">
        <v>891</v>
      </c>
      <c r="B572" s="2" t="s">
        <v>692</v>
      </c>
      <c r="C572" s="3">
        <v>45666.493055555547</v>
      </c>
      <c r="D572" s="2" t="s">
        <v>38</v>
      </c>
      <c r="E572" s="4">
        <v>3916.43</v>
      </c>
      <c r="F572" s="2" t="s">
        <v>14</v>
      </c>
      <c r="G572" s="5">
        <v>41</v>
      </c>
      <c r="H572" s="2" t="s">
        <v>15</v>
      </c>
      <c r="I572" s="2" t="s">
        <v>25</v>
      </c>
      <c r="J572" s="2" t="s">
        <v>17</v>
      </c>
      <c r="K572" s="2" t="s">
        <v>45</v>
      </c>
    </row>
    <row r="573" spans="1:11" x14ac:dyDescent="0.3">
      <c r="A573" s="2" t="s">
        <v>892</v>
      </c>
      <c r="B573" s="2" t="s">
        <v>893</v>
      </c>
      <c r="C573" s="3">
        <v>45692.46875</v>
      </c>
      <c r="D573" s="2" t="s">
        <v>33</v>
      </c>
      <c r="E573" s="4">
        <v>32954.18</v>
      </c>
      <c r="F573" s="2" t="s">
        <v>14</v>
      </c>
      <c r="G573" s="5">
        <v>26</v>
      </c>
      <c r="H573" s="2" t="s">
        <v>15</v>
      </c>
      <c r="I573" s="2" t="s">
        <v>34</v>
      </c>
      <c r="J573" s="2" t="s">
        <v>17</v>
      </c>
      <c r="K573" s="2" t="s">
        <v>18</v>
      </c>
    </row>
    <row r="574" spans="1:11" x14ac:dyDescent="0.3">
      <c r="A574" s="2" t="s">
        <v>894</v>
      </c>
      <c r="B574" s="2" t="s">
        <v>315</v>
      </c>
      <c r="C574" s="3">
        <v>45994.837500000001</v>
      </c>
      <c r="D574" s="2" t="s">
        <v>28</v>
      </c>
      <c r="E574" s="4">
        <v>24403.51</v>
      </c>
      <c r="F574" s="2" t="s">
        <v>14</v>
      </c>
      <c r="G574" s="5">
        <v>40</v>
      </c>
      <c r="H574" s="2" t="s">
        <v>15</v>
      </c>
      <c r="I574" s="2" t="s">
        <v>34</v>
      </c>
      <c r="J574" s="2" t="s">
        <v>17</v>
      </c>
      <c r="K574" s="2" t="s">
        <v>35</v>
      </c>
    </row>
    <row r="575" spans="1:11" x14ac:dyDescent="0.3">
      <c r="A575" s="2" t="s">
        <v>895</v>
      </c>
      <c r="B575" s="2" t="s">
        <v>896</v>
      </c>
      <c r="C575" s="3">
        <v>45955.991666666669</v>
      </c>
      <c r="D575" s="2" t="s">
        <v>38</v>
      </c>
      <c r="E575" s="4">
        <v>4783.09</v>
      </c>
      <c r="F575" s="2" t="s">
        <v>14</v>
      </c>
      <c r="G575" s="5">
        <v>50</v>
      </c>
      <c r="H575" s="2" t="s">
        <v>15</v>
      </c>
      <c r="I575" s="2" t="s">
        <v>78</v>
      </c>
      <c r="J575" s="2" t="s">
        <v>49</v>
      </c>
      <c r="K575" s="2" t="s">
        <v>35</v>
      </c>
    </row>
    <row r="576" spans="1:11" x14ac:dyDescent="0.3">
      <c r="A576" s="2" t="s">
        <v>897</v>
      </c>
      <c r="B576" s="2" t="s">
        <v>898</v>
      </c>
      <c r="C576" s="3">
        <v>45828.168055555558</v>
      </c>
      <c r="D576" s="2" t="s">
        <v>28</v>
      </c>
      <c r="E576" s="4">
        <v>58997.75</v>
      </c>
      <c r="F576" s="2" t="s">
        <v>14</v>
      </c>
      <c r="G576" s="5">
        <v>56</v>
      </c>
      <c r="H576" s="2" t="s">
        <v>29</v>
      </c>
      <c r="I576" s="2" t="s">
        <v>34</v>
      </c>
      <c r="J576" s="2" t="s">
        <v>17</v>
      </c>
      <c r="K576" s="2" t="s">
        <v>45</v>
      </c>
    </row>
    <row r="577" spans="1:11" x14ac:dyDescent="0.3">
      <c r="A577" s="2" t="s">
        <v>899</v>
      </c>
      <c r="B577" s="2" t="s">
        <v>740</v>
      </c>
      <c r="C577" s="3">
        <v>45838.722916666673</v>
      </c>
      <c r="D577" s="2" t="s">
        <v>28</v>
      </c>
      <c r="E577" s="4">
        <v>198970.79</v>
      </c>
      <c r="F577" s="2" t="s">
        <v>14</v>
      </c>
      <c r="G577" s="5">
        <v>44</v>
      </c>
      <c r="H577" s="2" t="s">
        <v>29</v>
      </c>
      <c r="I577" s="2" t="s">
        <v>95</v>
      </c>
      <c r="J577" s="2" t="s">
        <v>44</v>
      </c>
      <c r="K577" s="2" t="s">
        <v>18</v>
      </c>
    </row>
    <row r="578" spans="1:11" x14ac:dyDescent="0.3">
      <c r="A578" s="2" t="s">
        <v>900</v>
      </c>
      <c r="B578" s="2" t="s">
        <v>545</v>
      </c>
      <c r="C578" s="3">
        <v>45987.245138888888</v>
      </c>
      <c r="D578" s="2" t="s">
        <v>28</v>
      </c>
      <c r="E578" s="4">
        <v>7111.86</v>
      </c>
      <c r="F578" s="2" t="s">
        <v>14</v>
      </c>
      <c r="G578" s="5">
        <v>36</v>
      </c>
      <c r="H578" s="2" t="s">
        <v>29</v>
      </c>
      <c r="I578" s="2" t="s">
        <v>21</v>
      </c>
      <c r="J578" s="2" t="s">
        <v>17</v>
      </c>
      <c r="K578" s="2" t="s">
        <v>18</v>
      </c>
    </row>
    <row r="579" spans="1:11" x14ac:dyDescent="0.3">
      <c r="A579" s="2" t="s">
        <v>901</v>
      </c>
      <c r="B579" s="2" t="s">
        <v>798</v>
      </c>
      <c r="C579" s="3">
        <v>46008.613888888889</v>
      </c>
      <c r="D579" s="2" t="s">
        <v>154</v>
      </c>
      <c r="E579" s="4">
        <v>2000</v>
      </c>
      <c r="F579" s="2" t="s">
        <v>14</v>
      </c>
      <c r="G579" s="5">
        <v>22</v>
      </c>
      <c r="H579" s="2" t="s">
        <v>29</v>
      </c>
      <c r="I579" s="2" t="s">
        <v>25</v>
      </c>
      <c r="J579" s="2" t="s">
        <v>49</v>
      </c>
      <c r="K579" s="2" t="s">
        <v>45</v>
      </c>
    </row>
    <row r="580" spans="1:11" x14ac:dyDescent="0.3">
      <c r="A580" s="2" t="s">
        <v>902</v>
      </c>
      <c r="B580" s="2" t="s">
        <v>903</v>
      </c>
      <c r="C580" s="3">
        <v>45903.84097222222</v>
      </c>
      <c r="D580" s="2" t="s">
        <v>28</v>
      </c>
      <c r="E580" s="4">
        <v>7748.66</v>
      </c>
      <c r="F580" s="2" t="s">
        <v>14</v>
      </c>
      <c r="G580" s="5">
        <v>28</v>
      </c>
      <c r="H580" s="2" t="s">
        <v>15</v>
      </c>
      <c r="I580" s="2" t="s">
        <v>34</v>
      </c>
      <c r="J580" s="2" t="s">
        <v>17</v>
      </c>
      <c r="K580" s="2" t="s">
        <v>35</v>
      </c>
    </row>
    <row r="581" spans="1:11" x14ac:dyDescent="0.3">
      <c r="A581" s="2" t="s">
        <v>904</v>
      </c>
      <c r="B581" s="2" t="s">
        <v>449</v>
      </c>
      <c r="C581" s="3">
        <v>45727.114583333343</v>
      </c>
      <c r="D581" s="2" t="s">
        <v>28</v>
      </c>
      <c r="E581" s="4">
        <v>32578.23</v>
      </c>
      <c r="F581" s="2" t="s">
        <v>14</v>
      </c>
      <c r="G581" s="5">
        <v>44</v>
      </c>
      <c r="H581" s="2" t="s">
        <v>29</v>
      </c>
      <c r="I581" s="2" t="s">
        <v>34</v>
      </c>
      <c r="J581" s="2" t="s">
        <v>52</v>
      </c>
      <c r="K581" s="2" t="s">
        <v>45</v>
      </c>
    </row>
    <row r="582" spans="1:11" x14ac:dyDescent="0.3">
      <c r="A582" s="2" t="s">
        <v>905</v>
      </c>
      <c r="B582" s="2" t="s">
        <v>82</v>
      </c>
      <c r="C582" s="3">
        <v>45892.054166666669</v>
      </c>
      <c r="D582" s="2" t="s">
        <v>28</v>
      </c>
      <c r="E582" s="4">
        <v>28791.88</v>
      </c>
      <c r="F582" s="2" t="s">
        <v>14</v>
      </c>
      <c r="G582" s="5">
        <v>20</v>
      </c>
      <c r="H582" s="2" t="s">
        <v>29</v>
      </c>
      <c r="I582" s="2" t="s">
        <v>21</v>
      </c>
      <c r="J582" s="2" t="s">
        <v>17</v>
      </c>
      <c r="K582" s="2" t="s">
        <v>18</v>
      </c>
    </row>
    <row r="583" spans="1:11" x14ac:dyDescent="0.3">
      <c r="A583" s="2" t="s">
        <v>906</v>
      </c>
      <c r="B583" s="2" t="s">
        <v>59</v>
      </c>
      <c r="C583" s="3">
        <v>45761.076388888891</v>
      </c>
      <c r="D583" s="2" t="s">
        <v>13</v>
      </c>
      <c r="E583" s="4">
        <v>655.91</v>
      </c>
      <c r="F583" s="2" t="s">
        <v>14</v>
      </c>
      <c r="G583" s="5">
        <v>27</v>
      </c>
      <c r="H583" s="2" t="s">
        <v>15</v>
      </c>
      <c r="I583" s="2" t="s">
        <v>60</v>
      </c>
      <c r="J583" s="2" t="s">
        <v>17</v>
      </c>
      <c r="K583" s="2" t="s">
        <v>45</v>
      </c>
    </row>
    <row r="584" spans="1:11" x14ac:dyDescent="0.3">
      <c r="A584" s="2" t="s">
        <v>907</v>
      </c>
      <c r="B584" s="2" t="s">
        <v>370</v>
      </c>
      <c r="C584" s="3">
        <v>45760.055555555547</v>
      </c>
      <c r="D584" s="2" t="s">
        <v>13</v>
      </c>
      <c r="E584" s="4">
        <v>798.55</v>
      </c>
      <c r="F584" s="2" t="s">
        <v>14</v>
      </c>
      <c r="G584" s="5">
        <v>35</v>
      </c>
      <c r="H584" s="2" t="s">
        <v>15</v>
      </c>
      <c r="I584" s="2" t="s">
        <v>34</v>
      </c>
      <c r="J584" s="2" t="s">
        <v>49</v>
      </c>
      <c r="K584" s="2" t="s">
        <v>18</v>
      </c>
    </row>
    <row r="585" spans="1:11" x14ac:dyDescent="0.3">
      <c r="A585" s="2" t="s">
        <v>908</v>
      </c>
      <c r="B585" s="2" t="s">
        <v>909</v>
      </c>
      <c r="C585" s="3">
        <v>45816.684027777781</v>
      </c>
      <c r="D585" s="2" t="s">
        <v>38</v>
      </c>
      <c r="E585" s="4">
        <v>14753.36</v>
      </c>
      <c r="F585" s="2" t="s">
        <v>57</v>
      </c>
      <c r="G585" s="5">
        <v>39</v>
      </c>
      <c r="H585" s="2" t="s">
        <v>29</v>
      </c>
      <c r="I585" s="2" t="s">
        <v>48</v>
      </c>
      <c r="J585" s="2" t="s">
        <v>44</v>
      </c>
      <c r="K585" s="2" t="s">
        <v>22</v>
      </c>
    </row>
    <row r="586" spans="1:11" x14ac:dyDescent="0.3">
      <c r="A586" s="2" t="s">
        <v>910</v>
      </c>
      <c r="B586" s="2" t="s">
        <v>252</v>
      </c>
      <c r="C586" s="3">
        <v>45936.636111111111</v>
      </c>
      <c r="D586" s="2" t="s">
        <v>33</v>
      </c>
      <c r="E586" s="4">
        <v>7707.73</v>
      </c>
      <c r="F586" s="2" t="s">
        <v>14</v>
      </c>
      <c r="G586" s="5">
        <v>25</v>
      </c>
      <c r="H586" s="2" t="s">
        <v>29</v>
      </c>
      <c r="I586" s="2" t="s">
        <v>60</v>
      </c>
      <c r="J586" s="2" t="s">
        <v>44</v>
      </c>
      <c r="K586" s="2" t="s">
        <v>45</v>
      </c>
    </row>
    <row r="587" spans="1:11" x14ac:dyDescent="0.3">
      <c r="A587" s="2" t="s">
        <v>911</v>
      </c>
      <c r="B587" s="2" t="s">
        <v>521</v>
      </c>
      <c r="C587" s="3">
        <v>45676.841666666667</v>
      </c>
      <c r="D587" s="2" t="s">
        <v>28</v>
      </c>
      <c r="E587" s="4">
        <v>6564.07</v>
      </c>
      <c r="F587" s="2" t="s">
        <v>14</v>
      </c>
      <c r="G587" s="5">
        <v>30</v>
      </c>
      <c r="H587" s="2" t="s">
        <v>29</v>
      </c>
      <c r="I587" s="2" t="s">
        <v>60</v>
      </c>
      <c r="J587" s="2" t="s">
        <v>44</v>
      </c>
      <c r="K587" s="2" t="s">
        <v>35</v>
      </c>
    </row>
    <row r="588" spans="1:11" x14ac:dyDescent="0.3">
      <c r="A588" s="2" t="s">
        <v>912</v>
      </c>
      <c r="B588" s="2" t="s">
        <v>562</v>
      </c>
      <c r="C588" s="3">
        <v>45804.496527777781</v>
      </c>
      <c r="D588" s="2" t="s">
        <v>154</v>
      </c>
      <c r="E588" s="4">
        <v>10000</v>
      </c>
      <c r="F588" s="2" t="s">
        <v>14</v>
      </c>
      <c r="G588" s="5">
        <v>47</v>
      </c>
      <c r="H588" s="2" t="s">
        <v>15</v>
      </c>
      <c r="I588" s="2" t="s">
        <v>34</v>
      </c>
      <c r="J588" s="2" t="s">
        <v>17</v>
      </c>
      <c r="K588" s="2" t="s">
        <v>18</v>
      </c>
    </row>
    <row r="589" spans="1:11" x14ac:dyDescent="0.3">
      <c r="A589" s="2" t="s">
        <v>913</v>
      </c>
      <c r="B589" s="2" t="s">
        <v>198</v>
      </c>
      <c r="C589" s="3">
        <v>45682.847916666673</v>
      </c>
      <c r="D589" s="2" t="s">
        <v>28</v>
      </c>
      <c r="E589" s="4">
        <v>11429.57</v>
      </c>
      <c r="F589" s="2" t="s">
        <v>14</v>
      </c>
      <c r="G589" s="5">
        <v>40</v>
      </c>
      <c r="H589" s="2" t="s">
        <v>29</v>
      </c>
      <c r="I589" s="2" t="s">
        <v>34</v>
      </c>
      <c r="J589" s="2" t="s">
        <v>49</v>
      </c>
      <c r="K589" s="2" t="s">
        <v>45</v>
      </c>
    </row>
    <row r="590" spans="1:11" x14ac:dyDescent="0.3">
      <c r="A590" s="2" t="s">
        <v>914</v>
      </c>
      <c r="B590" s="2" t="s">
        <v>585</v>
      </c>
      <c r="C590" s="3">
        <v>45797.160416666673</v>
      </c>
      <c r="D590" s="2" t="s">
        <v>28</v>
      </c>
      <c r="E590" s="4">
        <v>29627.759999999998</v>
      </c>
      <c r="F590" s="2" t="s">
        <v>14</v>
      </c>
      <c r="G590" s="5">
        <v>25</v>
      </c>
      <c r="H590" s="2" t="s">
        <v>15</v>
      </c>
      <c r="I590" s="2" t="s">
        <v>95</v>
      </c>
      <c r="J590" s="2" t="s">
        <v>49</v>
      </c>
      <c r="K590" s="2" t="s">
        <v>45</v>
      </c>
    </row>
    <row r="591" spans="1:11" x14ac:dyDescent="0.3">
      <c r="A591" s="2" t="s">
        <v>915</v>
      </c>
      <c r="B591" s="2" t="s">
        <v>334</v>
      </c>
      <c r="C591" s="3">
        <v>45846.580555555563</v>
      </c>
      <c r="D591" s="2" t="s">
        <v>38</v>
      </c>
      <c r="E591" s="4">
        <v>3221.04</v>
      </c>
      <c r="F591" s="2" t="s">
        <v>14</v>
      </c>
      <c r="G591" s="5">
        <v>34</v>
      </c>
      <c r="H591" s="2" t="s">
        <v>15</v>
      </c>
      <c r="I591" s="2" t="s">
        <v>60</v>
      </c>
      <c r="J591" s="2" t="s">
        <v>52</v>
      </c>
      <c r="K591" s="2" t="s">
        <v>22</v>
      </c>
    </row>
    <row r="592" spans="1:11" x14ac:dyDescent="0.3">
      <c r="A592" s="2" t="s">
        <v>916</v>
      </c>
      <c r="B592" s="2" t="s">
        <v>917</v>
      </c>
      <c r="C592" s="3">
        <v>45862.977777777778</v>
      </c>
      <c r="D592" s="2" t="s">
        <v>154</v>
      </c>
      <c r="E592" s="4">
        <v>2000</v>
      </c>
      <c r="F592" s="2" t="s">
        <v>14</v>
      </c>
      <c r="G592" s="5">
        <v>38</v>
      </c>
      <c r="H592" s="2" t="s">
        <v>29</v>
      </c>
      <c r="I592" s="2" t="s">
        <v>95</v>
      </c>
      <c r="J592" s="2" t="s">
        <v>49</v>
      </c>
      <c r="K592" s="2" t="s">
        <v>18</v>
      </c>
    </row>
    <row r="593" spans="1:11" x14ac:dyDescent="0.3">
      <c r="A593" s="2" t="s">
        <v>918</v>
      </c>
      <c r="B593" s="2" t="s">
        <v>527</v>
      </c>
      <c r="C593" s="3">
        <v>45855.424305555563</v>
      </c>
      <c r="D593" s="2" t="s">
        <v>28</v>
      </c>
      <c r="E593" s="4">
        <v>50121.15</v>
      </c>
      <c r="F593" s="2" t="s">
        <v>14</v>
      </c>
      <c r="G593" s="5">
        <v>31</v>
      </c>
      <c r="H593" s="2" t="s">
        <v>15</v>
      </c>
      <c r="I593" s="2" t="s">
        <v>60</v>
      </c>
      <c r="J593" s="2" t="s">
        <v>17</v>
      </c>
      <c r="K593" s="2" t="s">
        <v>22</v>
      </c>
    </row>
    <row r="594" spans="1:11" x14ac:dyDescent="0.3">
      <c r="A594" s="2" t="s">
        <v>919</v>
      </c>
      <c r="B594" s="2" t="s">
        <v>244</v>
      </c>
      <c r="C594" s="3">
        <v>45912.938194444447</v>
      </c>
      <c r="D594" s="2" t="s">
        <v>28</v>
      </c>
      <c r="E594" s="4">
        <v>81355.839999999997</v>
      </c>
      <c r="F594" s="2" t="s">
        <v>14</v>
      </c>
      <c r="G594" s="5">
        <v>49</v>
      </c>
      <c r="H594" s="2" t="s">
        <v>29</v>
      </c>
      <c r="I594" s="2" t="s">
        <v>16</v>
      </c>
      <c r="J594" s="2" t="s">
        <v>17</v>
      </c>
      <c r="K594" s="2" t="s">
        <v>45</v>
      </c>
    </row>
    <row r="595" spans="1:11" x14ac:dyDescent="0.3">
      <c r="A595" s="2" t="s">
        <v>920</v>
      </c>
      <c r="B595" s="2" t="s">
        <v>446</v>
      </c>
      <c r="C595" s="3">
        <v>45846.678472222222</v>
      </c>
      <c r="D595" s="2" t="s">
        <v>28</v>
      </c>
      <c r="E595" s="4">
        <v>106756.19</v>
      </c>
      <c r="F595" s="2" t="s">
        <v>14</v>
      </c>
      <c r="G595" s="5">
        <v>35</v>
      </c>
      <c r="H595" s="2" t="s">
        <v>15</v>
      </c>
      <c r="I595" s="2" t="s">
        <v>16</v>
      </c>
      <c r="J595" s="2" t="s">
        <v>17</v>
      </c>
      <c r="K595" s="2" t="s">
        <v>45</v>
      </c>
    </row>
    <row r="596" spans="1:11" x14ac:dyDescent="0.3">
      <c r="A596" s="2" t="s">
        <v>921</v>
      </c>
      <c r="B596" s="2" t="s">
        <v>244</v>
      </c>
      <c r="C596" s="3">
        <v>45700.977083333331</v>
      </c>
      <c r="D596" s="2" t="s">
        <v>38</v>
      </c>
      <c r="E596" s="4">
        <v>4404.28</v>
      </c>
      <c r="F596" s="2" t="s">
        <v>14</v>
      </c>
      <c r="G596" s="5">
        <v>49</v>
      </c>
      <c r="H596" s="2" t="s">
        <v>29</v>
      </c>
      <c r="I596" s="2" t="s">
        <v>16</v>
      </c>
      <c r="J596" s="2" t="s">
        <v>17</v>
      </c>
      <c r="K596" s="2" t="s">
        <v>45</v>
      </c>
    </row>
    <row r="597" spans="1:11" x14ac:dyDescent="0.3">
      <c r="A597" s="2" t="s">
        <v>922</v>
      </c>
      <c r="B597" s="2" t="s">
        <v>513</v>
      </c>
      <c r="C597" s="3">
        <v>45698.568055555559</v>
      </c>
      <c r="D597" s="2" t="s">
        <v>28</v>
      </c>
      <c r="E597" s="4">
        <v>2103.0100000000002</v>
      </c>
      <c r="F597" s="2" t="s">
        <v>14</v>
      </c>
      <c r="G597" s="5">
        <v>42</v>
      </c>
      <c r="H597" s="2" t="s">
        <v>29</v>
      </c>
      <c r="I597" s="2" t="s">
        <v>95</v>
      </c>
      <c r="J597" s="2" t="s">
        <v>44</v>
      </c>
      <c r="K597" s="2" t="s">
        <v>18</v>
      </c>
    </row>
    <row r="598" spans="1:11" x14ac:dyDescent="0.3">
      <c r="A598" s="2" t="s">
        <v>923</v>
      </c>
      <c r="B598" s="2" t="s">
        <v>146</v>
      </c>
      <c r="C598" s="3">
        <v>45750.720833333333</v>
      </c>
      <c r="D598" s="2" t="s">
        <v>13</v>
      </c>
      <c r="E598" s="4">
        <v>438.34</v>
      </c>
      <c r="F598" s="2" t="s">
        <v>14</v>
      </c>
      <c r="G598" s="5">
        <v>24</v>
      </c>
      <c r="H598" s="2" t="s">
        <v>15</v>
      </c>
      <c r="I598" s="2" t="s">
        <v>60</v>
      </c>
      <c r="J598" s="2" t="s">
        <v>17</v>
      </c>
      <c r="K598" s="2" t="s">
        <v>18</v>
      </c>
    </row>
    <row r="599" spans="1:11" x14ac:dyDescent="0.3">
      <c r="A599" s="2" t="s">
        <v>924</v>
      </c>
      <c r="B599" s="2" t="s">
        <v>194</v>
      </c>
      <c r="C599" s="3">
        <v>45822.128472222219</v>
      </c>
      <c r="D599" s="2" t="s">
        <v>13</v>
      </c>
      <c r="E599" s="4">
        <v>477.02</v>
      </c>
      <c r="F599" s="2" t="s">
        <v>14</v>
      </c>
      <c r="G599" s="5">
        <v>31</v>
      </c>
      <c r="H599" s="2" t="s">
        <v>29</v>
      </c>
      <c r="I599" s="2" t="s">
        <v>16</v>
      </c>
      <c r="J599" s="2" t="s">
        <v>17</v>
      </c>
      <c r="K599" s="2" t="s">
        <v>45</v>
      </c>
    </row>
    <row r="600" spans="1:11" x14ac:dyDescent="0.3">
      <c r="A600" s="2" t="s">
        <v>925</v>
      </c>
      <c r="B600" s="2" t="s">
        <v>926</v>
      </c>
      <c r="C600" s="3">
        <v>45825.887499999997</v>
      </c>
      <c r="D600" s="2" t="s">
        <v>33</v>
      </c>
      <c r="E600" s="4">
        <v>3687.17</v>
      </c>
      <c r="F600" s="2" t="s">
        <v>14</v>
      </c>
      <c r="G600" s="5">
        <v>27</v>
      </c>
      <c r="H600" s="2" t="s">
        <v>29</v>
      </c>
      <c r="I600" s="2" t="s">
        <v>34</v>
      </c>
      <c r="J600" s="2" t="s">
        <v>17</v>
      </c>
      <c r="K600" s="2" t="s">
        <v>45</v>
      </c>
    </row>
    <row r="601" spans="1:11" x14ac:dyDescent="0.3">
      <c r="A601" s="2" t="s">
        <v>927</v>
      </c>
      <c r="B601" s="2" t="s">
        <v>126</v>
      </c>
      <c r="C601" s="3">
        <v>45814.609722222223</v>
      </c>
      <c r="D601" s="2" t="s">
        <v>28</v>
      </c>
      <c r="E601" s="4">
        <v>16885.52</v>
      </c>
      <c r="F601" s="2" t="s">
        <v>14</v>
      </c>
      <c r="G601" s="5">
        <v>49</v>
      </c>
      <c r="H601" s="2" t="s">
        <v>29</v>
      </c>
      <c r="I601" s="2" t="s">
        <v>16</v>
      </c>
      <c r="J601" s="2" t="s">
        <v>17</v>
      </c>
      <c r="K601" s="2" t="s">
        <v>35</v>
      </c>
    </row>
    <row r="602" spans="1:11" x14ac:dyDescent="0.3">
      <c r="A602" s="2" t="s">
        <v>928</v>
      </c>
      <c r="B602" s="2" t="s">
        <v>343</v>
      </c>
      <c r="C602" s="3">
        <v>45876.238888888889</v>
      </c>
      <c r="D602" s="2" t="s">
        <v>28</v>
      </c>
      <c r="E602" s="4">
        <v>7213.68</v>
      </c>
      <c r="F602" s="2" t="s">
        <v>57</v>
      </c>
      <c r="G602" s="5">
        <v>38</v>
      </c>
      <c r="H602" s="2" t="s">
        <v>15</v>
      </c>
      <c r="I602" s="2" t="s">
        <v>34</v>
      </c>
      <c r="J602" s="2" t="s">
        <v>17</v>
      </c>
      <c r="K602" s="2" t="s">
        <v>18</v>
      </c>
    </row>
    <row r="603" spans="1:11" x14ac:dyDescent="0.3">
      <c r="A603" s="2" t="s">
        <v>929</v>
      </c>
      <c r="B603" s="2" t="s">
        <v>930</v>
      </c>
      <c r="C603" s="3">
        <v>45885.477777777778</v>
      </c>
      <c r="D603" s="2" t="s">
        <v>28</v>
      </c>
      <c r="E603" s="4">
        <v>26063.93</v>
      </c>
      <c r="F603" s="2" t="s">
        <v>14</v>
      </c>
      <c r="G603" s="5">
        <v>27</v>
      </c>
      <c r="H603" s="2" t="s">
        <v>29</v>
      </c>
      <c r="I603" s="2" t="s">
        <v>16</v>
      </c>
      <c r="J603" s="2" t="s">
        <v>52</v>
      </c>
      <c r="K603" s="2" t="s">
        <v>45</v>
      </c>
    </row>
    <row r="604" spans="1:11" x14ac:dyDescent="0.3">
      <c r="A604" s="2" t="s">
        <v>931</v>
      </c>
      <c r="B604" s="2" t="s">
        <v>117</v>
      </c>
      <c r="C604" s="3">
        <v>45679.996527777781</v>
      </c>
      <c r="D604" s="2" t="s">
        <v>13</v>
      </c>
      <c r="E604" s="4">
        <v>785.31</v>
      </c>
      <c r="F604" s="2" t="s">
        <v>14</v>
      </c>
      <c r="G604" s="5">
        <v>47</v>
      </c>
      <c r="H604" s="2" t="s">
        <v>29</v>
      </c>
      <c r="I604" s="2" t="s">
        <v>34</v>
      </c>
      <c r="J604" s="2" t="s">
        <v>17</v>
      </c>
      <c r="K604" s="2" t="s">
        <v>45</v>
      </c>
    </row>
    <row r="605" spans="1:11" x14ac:dyDescent="0.3">
      <c r="A605" s="2" t="s">
        <v>932</v>
      </c>
      <c r="B605" s="2" t="s">
        <v>213</v>
      </c>
      <c r="C605" s="3">
        <v>45838.810416666667</v>
      </c>
      <c r="D605" s="2" t="s">
        <v>28</v>
      </c>
      <c r="E605" s="4">
        <v>14340.97</v>
      </c>
      <c r="F605" s="2" t="s">
        <v>14</v>
      </c>
      <c r="G605" s="5">
        <v>50</v>
      </c>
      <c r="H605" s="2" t="s">
        <v>29</v>
      </c>
      <c r="I605" s="2" t="s">
        <v>25</v>
      </c>
      <c r="J605" s="2" t="s">
        <v>49</v>
      </c>
      <c r="K605" s="2" t="s">
        <v>45</v>
      </c>
    </row>
    <row r="606" spans="1:11" x14ac:dyDescent="0.3">
      <c r="A606" s="2" t="s">
        <v>933</v>
      </c>
      <c r="B606" s="2" t="s">
        <v>377</v>
      </c>
      <c r="C606" s="3">
        <v>45798.868055555547</v>
      </c>
      <c r="D606" s="2" t="s">
        <v>13</v>
      </c>
      <c r="E606" s="4">
        <v>1335.29</v>
      </c>
      <c r="F606" s="2" t="s">
        <v>57</v>
      </c>
      <c r="G606" s="5">
        <v>39</v>
      </c>
      <c r="H606" s="2" t="s">
        <v>15</v>
      </c>
      <c r="I606" s="2" t="s">
        <v>43</v>
      </c>
      <c r="J606" s="2" t="s">
        <v>17</v>
      </c>
      <c r="K606" s="2" t="s">
        <v>45</v>
      </c>
    </row>
    <row r="607" spans="1:11" x14ac:dyDescent="0.3">
      <c r="A607" s="2" t="s">
        <v>934</v>
      </c>
      <c r="B607" s="2" t="s">
        <v>688</v>
      </c>
      <c r="C607" s="3">
        <v>45687.112500000003</v>
      </c>
      <c r="D607" s="2" t="s">
        <v>13</v>
      </c>
      <c r="E607" s="4">
        <v>1027.49</v>
      </c>
      <c r="F607" s="2" t="s">
        <v>14</v>
      </c>
      <c r="G607" s="5">
        <v>24</v>
      </c>
      <c r="H607" s="2" t="s">
        <v>29</v>
      </c>
      <c r="I607" s="2" t="s">
        <v>34</v>
      </c>
      <c r="J607" s="2" t="s">
        <v>44</v>
      </c>
      <c r="K607" s="2" t="s">
        <v>18</v>
      </c>
    </row>
    <row r="608" spans="1:11" x14ac:dyDescent="0.3">
      <c r="A608" s="2" t="s">
        <v>935</v>
      </c>
      <c r="B608" s="2" t="s">
        <v>301</v>
      </c>
      <c r="C608" s="3">
        <v>45984.515972222223</v>
      </c>
      <c r="D608" s="2" t="s">
        <v>28</v>
      </c>
      <c r="E608" s="4">
        <v>1267</v>
      </c>
      <c r="F608" s="2" t="s">
        <v>14</v>
      </c>
      <c r="G608" s="5">
        <v>49</v>
      </c>
      <c r="H608" s="2" t="s">
        <v>15</v>
      </c>
      <c r="I608" s="2" t="s">
        <v>60</v>
      </c>
      <c r="J608" s="2" t="s">
        <v>17</v>
      </c>
      <c r="K608" s="2" t="s">
        <v>18</v>
      </c>
    </row>
    <row r="609" spans="1:11" x14ac:dyDescent="0.3">
      <c r="A609" s="2" t="s">
        <v>936</v>
      </c>
      <c r="B609" s="2" t="s">
        <v>774</v>
      </c>
      <c r="C609" s="3">
        <v>45920.988194444442</v>
      </c>
      <c r="D609" s="2" t="s">
        <v>28</v>
      </c>
      <c r="E609" s="4">
        <v>31149.7</v>
      </c>
      <c r="F609" s="2" t="s">
        <v>14</v>
      </c>
      <c r="G609" s="5">
        <v>42</v>
      </c>
      <c r="H609" s="2" t="s">
        <v>15</v>
      </c>
      <c r="I609" s="2" t="s">
        <v>95</v>
      </c>
      <c r="J609" s="2" t="s">
        <v>17</v>
      </c>
      <c r="K609" s="2" t="s">
        <v>22</v>
      </c>
    </row>
    <row r="610" spans="1:11" x14ac:dyDescent="0.3">
      <c r="A610" s="2" t="s">
        <v>937</v>
      </c>
      <c r="B610" s="2" t="s">
        <v>438</v>
      </c>
      <c r="C610" s="3">
        <v>45739.006249999999</v>
      </c>
      <c r="D610" s="2" t="s">
        <v>38</v>
      </c>
      <c r="E610" s="4">
        <v>13400.65</v>
      </c>
      <c r="F610" s="2" t="s">
        <v>14</v>
      </c>
      <c r="G610" s="5">
        <v>27</v>
      </c>
      <c r="H610" s="2" t="s">
        <v>15</v>
      </c>
      <c r="I610" s="2" t="s">
        <v>34</v>
      </c>
      <c r="J610" s="2" t="s">
        <v>17</v>
      </c>
      <c r="K610" s="2" t="s">
        <v>18</v>
      </c>
    </row>
    <row r="611" spans="1:11" x14ac:dyDescent="0.3">
      <c r="A611" s="2" t="s">
        <v>938</v>
      </c>
      <c r="B611" s="2" t="s">
        <v>939</v>
      </c>
      <c r="C611" s="3">
        <v>45969.909722222219</v>
      </c>
      <c r="D611" s="2" t="s">
        <v>28</v>
      </c>
      <c r="E611" s="4">
        <v>4748.67</v>
      </c>
      <c r="F611" s="2" t="s">
        <v>14</v>
      </c>
      <c r="G611" s="5">
        <v>29</v>
      </c>
      <c r="H611" s="2" t="s">
        <v>15</v>
      </c>
      <c r="I611" s="2" t="s">
        <v>21</v>
      </c>
      <c r="J611" s="2" t="s">
        <v>17</v>
      </c>
      <c r="K611" s="2" t="s">
        <v>45</v>
      </c>
    </row>
    <row r="612" spans="1:11" x14ac:dyDescent="0.3">
      <c r="A612" s="2" t="s">
        <v>940</v>
      </c>
      <c r="B612" s="2" t="s">
        <v>165</v>
      </c>
      <c r="C612" s="3">
        <v>45882.047222222223</v>
      </c>
      <c r="D612" s="2" t="s">
        <v>28</v>
      </c>
      <c r="E612" s="4">
        <v>33598.5</v>
      </c>
      <c r="F612" s="2" t="s">
        <v>14</v>
      </c>
      <c r="G612" s="5">
        <v>31</v>
      </c>
      <c r="H612" s="2" t="s">
        <v>29</v>
      </c>
      <c r="I612" s="2" t="s">
        <v>30</v>
      </c>
      <c r="J612" s="2" t="s">
        <v>52</v>
      </c>
      <c r="K612" s="2" t="s">
        <v>18</v>
      </c>
    </row>
    <row r="613" spans="1:11" x14ac:dyDescent="0.3">
      <c r="A613" s="2" t="s">
        <v>941</v>
      </c>
      <c r="B613" s="2" t="s">
        <v>806</v>
      </c>
      <c r="C613" s="3">
        <v>45692.325694444437</v>
      </c>
      <c r="D613" s="2" t="s">
        <v>28</v>
      </c>
      <c r="E613" s="4">
        <v>6134.39</v>
      </c>
      <c r="F613" s="2" t="s">
        <v>14</v>
      </c>
      <c r="G613" s="5">
        <v>35</v>
      </c>
      <c r="H613" s="2" t="s">
        <v>29</v>
      </c>
      <c r="I613" s="2" t="s">
        <v>21</v>
      </c>
      <c r="J613" s="2" t="s">
        <v>52</v>
      </c>
      <c r="K613" s="2" t="s">
        <v>45</v>
      </c>
    </row>
    <row r="614" spans="1:11" x14ac:dyDescent="0.3">
      <c r="A614" s="2" t="s">
        <v>942</v>
      </c>
      <c r="B614" s="2" t="s">
        <v>943</v>
      </c>
      <c r="C614" s="3">
        <v>45988.474305555559</v>
      </c>
      <c r="D614" s="2" t="s">
        <v>13</v>
      </c>
      <c r="E614" s="4">
        <v>3054.79</v>
      </c>
      <c r="F614" s="2" t="s">
        <v>57</v>
      </c>
      <c r="G614" s="5">
        <v>32</v>
      </c>
      <c r="H614" s="2" t="s">
        <v>15</v>
      </c>
      <c r="I614" s="2" t="s">
        <v>95</v>
      </c>
      <c r="J614" s="2" t="s">
        <v>44</v>
      </c>
      <c r="K614" s="2" t="s">
        <v>45</v>
      </c>
    </row>
    <row r="615" spans="1:11" x14ac:dyDescent="0.3">
      <c r="A615" s="2" t="s">
        <v>944</v>
      </c>
      <c r="B615" s="2" t="s">
        <v>433</v>
      </c>
      <c r="C615" s="3">
        <v>45854.751388888893</v>
      </c>
      <c r="D615" s="2" t="s">
        <v>13</v>
      </c>
      <c r="E615" s="4">
        <v>395.51</v>
      </c>
      <c r="F615" s="2" t="s">
        <v>14</v>
      </c>
      <c r="G615" s="5">
        <v>25</v>
      </c>
      <c r="H615" s="2" t="s">
        <v>15</v>
      </c>
      <c r="I615" s="2" t="s">
        <v>34</v>
      </c>
      <c r="J615" s="2" t="s">
        <v>49</v>
      </c>
      <c r="K615" s="2" t="s">
        <v>35</v>
      </c>
    </row>
    <row r="616" spans="1:11" x14ac:dyDescent="0.3">
      <c r="A616" s="2" t="s">
        <v>945</v>
      </c>
      <c r="B616" s="2" t="s">
        <v>481</v>
      </c>
      <c r="C616" s="3">
        <v>45967.196527777778</v>
      </c>
      <c r="D616" s="2" t="s">
        <v>33</v>
      </c>
      <c r="E616" s="4">
        <v>2908.29</v>
      </c>
      <c r="F616" s="2" t="s">
        <v>14</v>
      </c>
      <c r="G616" s="5">
        <v>28</v>
      </c>
      <c r="H616" s="2" t="s">
        <v>15</v>
      </c>
      <c r="I616" s="2" t="s">
        <v>60</v>
      </c>
      <c r="J616" s="2" t="s">
        <v>17</v>
      </c>
      <c r="K616" s="2" t="s">
        <v>18</v>
      </c>
    </row>
    <row r="617" spans="1:11" x14ac:dyDescent="0.3">
      <c r="A617" s="2" t="s">
        <v>946</v>
      </c>
      <c r="B617" s="2" t="s">
        <v>947</v>
      </c>
      <c r="C617" s="3">
        <v>45888.474305555559</v>
      </c>
      <c r="D617" s="2" t="s">
        <v>28</v>
      </c>
      <c r="E617" s="4">
        <v>35795.43</v>
      </c>
      <c r="F617" s="2" t="s">
        <v>14</v>
      </c>
      <c r="G617" s="5">
        <v>25</v>
      </c>
      <c r="H617" s="2" t="s">
        <v>29</v>
      </c>
      <c r="I617" s="2" t="s">
        <v>34</v>
      </c>
      <c r="J617" s="2" t="s">
        <v>17</v>
      </c>
      <c r="K617" s="2" t="s">
        <v>18</v>
      </c>
    </row>
    <row r="618" spans="1:11" x14ac:dyDescent="0.3">
      <c r="A618" s="2" t="s">
        <v>948</v>
      </c>
      <c r="B618" s="2" t="s">
        <v>949</v>
      </c>
      <c r="C618" s="3">
        <v>45885.10833333333</v>
      </c>
      <c r="D618" s="2" t="s">
        <v>28</v>
      </c>
      <c r="E618" s="4">
        <v>103051.93</v>
      </c>
      <c r="F618" s="2" t="s">
        <v>14</v>
      </c>
      <c r="G618" s="5">
        <v>45</v>
      </c>
      <c r="H618" s="2" t="s">
        <v>29</v>
      </c>
      <c r="I618" s="2" t="s">
        <v>34</v>
      </c>
      <c r="J618" s="2" t="s">
        <v>17</v>
      </c>
      <c r="K618" s="2" t="s">
        <v>18</v>
      </c>
    </row>
    <row r="619" spans="1:11" x14ac:dyDescent="0.3">
      <c r="A619" s="2" t="s">
        <v>950</v>
      </c>
      <c r="B619" s="2" t="s">
        <v>201</v>
      </c>
      <c r="C619" s="3">
        <v>45728.682638888888</v>
      </c>
      <c r="D619" s="2" t="s">
        <v>33</v>
      </c>
      <c r="E619" s="4">
        <v>1148.3</v>
      </c>
      <c r="F619" s="2" t="s">
        <v>14</v>
      </c>
      <c r="G619" s="5">
        <v>38</v>
      </c>
      <c r="H619" s="2" t="s">
        <v>29</v>
      </c>
      <c r="I619" s="2" t="s">
        <v>34</v>
      </c>
      <c r="J619" s="2" t="s">
        <v>44</v>
      </c>
      <c r="K619" s="2" t="s">
        <v>18</v>
      </c>
    </row>
    <row r="620" spans="1:11" x14ac:dyDescent="0.3">
      <c r="A620" s="2" t="s">
        <v>951</v>
      </c>
      <c r="B620" s="2" t="s">
        <v>872</v>
      </c>
      <c r="C620" s="3">
        <v>45861.445138888892</v>
      </c>
      <c r="D620" s="2" t="s">
        <v>13</v>
      </c>
      <c r="E620" s="4">
        <v>1362</v>
      </c>
      <c r="F620" s="2" t="s">
        <v>14</v>
      </c>
      <c r="G620" s="5">
        <v>28</v>
      </c>
      <c r="H620" s="2" t="s">
        <v>15</v>
      </c>
      <c r="I620" s="2" t="s">
        <v>34</v>
      </c>
      <c r="J620" s="2" t="s">
        <v>17</v>
      </c>
      <c r="K620" s="2" t="s">
        <v>18</v>
      </c>
    </row>
    <row r="621" spans="1:11" x14ac:dyDescent="0.3">
      <c r="A621" s="2" t="s">
        <v>952</v>
      </c>
      <c r="B621" s="2" t="s">
        <v>158</v>
      </c>
      <c r="C621" s="3">
        <v>45800.296527777777</v>
      </c>
      <c r="D621" s="2" t="s">
        <v>38</v>
      </c>
      <c r="E621" s="4">
        <v>7943.84</v>
      </c>
      <c r="F621" s="2" t="s">
        <v>14</v>
      </c>
      <c r="G621" s="5">
        <v>30</v>
      </c>
      <c r="H621" s="2" t="s">
        <v>29</v>
      </c>
      <c r="I621" s="2" t="s">
        <v>34</v>
      </c>
      <c r="J621" s="2" t="s">
        <v>44</v>
      </c>
      <c r="K621" s="2" t="s">
        <v>18</v>
      </c>
    </row>
    <row r="622" spans="1:11" x14ac:dyDescent="0.3">
      <c r="A622" s="2" t="s">
        <v>953</v>
      </c>
      <c r="B622" s="2" t="s">
        <v>954</v>
      </c>
      <c r="C622" s="3">
        <v>45671.96597222222</v>
      </c>
      <c r="D622" s="2" t="s">
        <v>28</v>
      </c>
      <c r="E622" s="4">
        <v>12833.31</v>
      </c>
      <c r="F622" s="2" t="s">
        <v>14</v>
      </c>
      <c r="G622" s="5">
        <v>39</v>
      </c>
      <c r="H622" s="2" t="s">
        <v>29</v>
      </c>
      <c r="I622" s="2" t="s">
        <v>21</v>
      </c>
      <c r="J622" s="2" t="s">
        <v>17</v>
      </c>
      <c r="K622" s="2" t="s">
        <v>18</v>
      </c>
    </row>
    <row r="623" spans="1:11" x14ac:dyDescent="0.3">
      <c r="A623" s="2" t="s">
        <v>955</v>
      </c>
      <c r="B623" s="2" t="s">
        <v>327</v>
      </c>
      <c r="C623" s="3">
        <v>45913.683333333327</v>
      </c>
      <c r="D623" s="2" t="s">
        <v>38</v>
      </c>
      <c r="E623" s="4">
        <v>1383.62</v>
      </c>
      <c r="F623" s="2" t="s">
        <v>14</v>
      </c>
      <c r="G623" s="5">
        <v>48</v>
      </c>
      <c r="H623" s="2" t="s">
        <v>15</v>
      </c>
      <c r="I623" s="2" t="s">
        <v>34</v>
      </c>
      <c r="J623" s="2" t="s">
        <v>17</v>
      </c>
      <c r="K623" s="2" t="s">
        <v>35</v>
      </c>
    </row>
    <row r="624" spans="1:11" x14ac:dyDescent="0.3">
      <c r="A624" s="2" t="s">
        <v>956</v>
      </c>
      <c r="B624" s="2" t="s">
        <v>529</v>
      </c>
      <c r="C624" s="3">
        <v>45945.136111111111</v>
      </c>
      <c r="D624" s="2" t="s">
        <v>33</v>
      </c>
      <c r="E624" s="4">
        <v>1472.45</v>
      </c>
      <c r="F624" s="2" t="s">
        <v>14</v>
      </c>
      <c r="G624" s="5">
        <v>28</v>
      </c>
      <c r="H624" s="2" t="s">
        <v>29</v>
      </c>
      <c r="I624" s="2" t="s">
        <v>34</v>
      </c>
      <c r="J624" s="2" t="s">
        <v>17</v>
      </c>
      <c r="K624" s="2" t="s">
        <v>18</v>
      </c>
    </row>
    <row r="625" spans="1:11" x14ac:dyDescent="0.3">
      <c r="A625" s="2" t="s">
        <v>957</v>
      </c>
      <c r="B625" s="2" t="s">
        <v>958</v>
      </c>
      <c r="C625" s="3">
        <v>45791.936111111107</v>
      </c>
      <c r="D625" s="2" t="s">
        <v>28</v>
      </c>
      <c r="E625" s="4">
        <v>3028.74</v>
      </c>
      <c r="F625" s="2" t="s">
        <v>14</v>
      </c>
      <c r="G625" s="5">
        <v>37</v>
      </c>
      <c r="H625" s="2" t="s">
        <v>29</v>
      </c>
      <c r="I625" s="2" t="s">
        <v>34</v>
      </c>
      <c r="J625" s="2" t="s">
        <v>49</v>
      </c>
      <c r="K625" s="2" t="s">
        <v>18</v>
      </c>
    </row>
    <row r="626" spans="1:11" x14ac:dyDescent="0.3">
      <c r="A626" s="2" t="s">
        <v>959</v>
      </c>
      <c r="B626" s="2" t="s">
        <v>121</v>
      </c>
      <c r="C626" s="3">
        <v>45767.804166666669</v>
      </c>
      <c r="D626" s="2" t="s">
        <v>13</v>
      </c>
      <c r="E626" s="4">
        <v>753.64</v>
      </c>
      <c r="F626" s="2" t="s">
        <v>14</v>
      </c>
      <c r="G626" s="5">
        <v>21</v>
      </c>
      <c r="H626" s="2" t="s">
        <v>29</v>
      </c>
      <c r="I626" s="2" t="s">
        <v>16</v>
      </c>
      <c r="J626" s="2" t="s">
        <v>17</v>
      </c>
      <c r="K626" s="2" t="s">
        <v>35</v>
      </c>
    </row>
    <row r="627" spans="1:11" x14ac:dyDescent="0.3">
      <c r="A627" s="2" t="s">
        <v>960</v>
      </c>
      <c r="B627" s="2" t="s">
        <v>461</v>
      </c>
      <c r="C627" s="3">
        <v>46013.633333333331</v>
      </c>
      <c r="D627" s="2" t="s">
        <v>28</v>
      </c>
      <c r="E627" s="4">
        <v>76758.97</v>
      </c>
      <c r="F627" s="2" t="s">
        <v>57</v>
      </c>
      <c r="G627" s="5">
        <v>39</v>
      </c>
      <c r="H627" s="2" t="s">
        <v>29</v>
      </c>
      <c r="I627" s="2" t="s">
        <v>60</v>
      </c>
      <c r="J627" s="2" t="s">
        <v>52</v>
      </c>
      <c r="K627" s="2" t="s">
        <v>18</v>
      </c>
    </row>
    <row r="628" spans="1:11" x14ac:dyDescent="0.3">
      <c r="A628" s="2" t="s">
        <v>961</v>
      </c>
      <c r="B628" s="2" t="s">
        <v>207</v>
      </c>
      <c r="C628" s="3">
        <v>45720.20416666667</v>
      </c>
      <c r="D628" s="2" t="s">
        <v>28</v>
      </c>
      <c r="E628" s="4">
        <v>27055.63</v>
      </c>
      <c r="F628" s="2" t="s">
        <v>14</v>
      </c>
      <c r="G628" s="5">
        <v>33</v>
      </c>
      <c r="H628" s="2" t="s">
        <v>15</v>
      </c>
      <c r="I628" s="2" t="s">
        <v>34</v>
      </c>
      <c r="J628" s="2" t="s">
        <v>49</v>
      </c>
      <c r="K628" s="2" t="s">
        <v>22</v>
      </c>
    </row>
    <row r="629" spans="1:11" x14ac:dyDescent="0.3">
      <c r="A629" s="2" t="s">
        <v>962</v>
      </c>
      <c r="B629" s="2" t="s">
        <v>963</v>
      </c>
      <c r="C629" s="3">
        <v>45695.59097222222</v>
      </c>
      <c r="D629" s="2" t="s">
        <v>28</v>
      </c>
      <c r="E629" s="4">
        <v>10215.67</v>
      </c>
      <c r="F629" s="2" t="s">
        <v>14</v>
      </c>
      <c r="G629" s="5">
        <v>51</v>
      </c>
      <c r="H629" s="2" t="s">
        <v>29</v>
      </c>
      <c r="I629" s="2" t="s">
        <v>48</v>
      </c>
      <c r="J629" s="2" t="s">
        <v>49</v>
      </c>
      <c r="K629" s="2" t="s">
        <v>45</v>
      </c>
    </row>
    <row r="630" spans="1:11" x14ac:dyDescent="0.3">
      <c r="A630" s="2" t="s">
        <v>964</v>
      </c>
      <c r="B630" s="2" t="s">
        <v>722</v>
      </c>
      <c r="C630" s="3">
        <v>45885.118750000001</v>
      </c>
      <c r="D630" s="2" t="s">
        <v>38</v>
      </c>
      <c r="E630" s="4">
        <v>1067.01</v>
      </c>
      <c r="F630" s="2" t="s">
        <v>14</v>
      </c>
      <c r="G630" s="5">
        <v>42</v>
      </c>
      <c r="H630" s="2" t="s">
        <v>29</v>
      </c>
      <c r="I630" s="2" t="s">
        <v>25</v>
      </c>
      <c r="J630" s="2" t="s">
        <v>44</v>
      </c>
      <c r="K630" s="2" t="s">
        <v>18</v>
      </c>
    </row>
    <row r="631" spans="1:11" x14ac:dyDescent="0.3">
      <c r="A631" s="2" t="s">
        <v>965</v>
      </c>
      <c r="B631" s="2" t="s">
        <v>317</v>
      </c>
      <c r="C631" s="3">
        <v>46007.445833333331</v>
      </c>
      <c r="D631" s="2" t="s">
        <v>33</v>
      </c>
      <c r="E631" s="4">
        <v>12395.44</v>
      </c>
      <c r="F631" s="2" t="s">
        <v>14</v>
      </c>
      <c r="G631" s="5">
        <v>55</v>
      </c>
      <c r="H631" s="2" t="s">
        <v>15</v>
      </c>
      <c r="I631" s="2" t="s">
        <v>34</v>
      </c>
      <c r="J631" s="2" t="s">
        <v>49</v>
      </c>
      <c r="K631" s="2" t="s">
        <v>45</v>
      </c>
    </row>
    <row r="632" spans="1:11" x14ac:dyDescent="0.3">
      <c r="A632" s="2" t="s">
        <v>966</v>
      </c>
      <c r="B632" s="2" t="s">
        <v>660</v>
      </c>
      <c r="C632" s="3">
        <v>45835.919444444437</v>
      </c>
      <c r="D632" s="2" t="s">
        <v>28</v>
      </c>
      <c r="E632" s="4">
        <v>93412.62</v>
      </c>
      <c r="F632" s="2" t="s">
        <v>57</v>
      </c>
      <c r="G632" s="5">
        <v>50</v>
      </c>
      <c r="H632" s="2" t="s">
        <v>15</v>
      </c>
      <c r="I632" s="2" t="s">
        <v>34</v>
      </c>
      <c r="J632" s="2" t="s">
        <v>49</v>
      </c>
      <c r="K632" s="2" t="s">
        <v>35</v>
      </c>
    </row>
    <row r="633" spans="1:11" x14ac:dyDescent="0.3">
      <c r="A633" s="2" t="s">
        <v>967</v>
      </c>
      <c r="B633" s="2" t="s">
        <v>388</v>
      </c>
      <c r="C633" s="3">
        <v>45939.720833333333</v>
      </c>
      <c r="D633" s="2" t="s">
        <v>154</v>
      </c>
      <c r="E633" s="4">
        <v>20000</v>
      </c>
      <c r="F633" s="2" t="s">
        <v>14</v>
      </c>
      <c r="G633" s="5">
        <v>31</v>
      </c>
      <c r="H633" s="2" t="s">
        <v>15</v>
      </c>
      <c r="I633" s="2" t="s">
        <v>34</v>
      </c>
      <c r="J633" s="2" t="s">
        <v>17</v>
      </c>
      <c r="K633" s="2" t="s">
        <v>45</v>
      </c>
    </row>
    <row r="634" spans="1:11" x14ac:dyDescent="0.3">
      <c r="A634" s="2" t="s">
        <v>968</v>
      </c>
      <c r="B634" s="2" t="s">
        <v>969</v>
      </c>
      <c r="C634" s="3">
        <v>45811.239583333343</v>
      </c>
      <c r="D634" s="2" t="s">
        <v>38</v>
      </c>
      <c r="E634" s="4">
        <v>928.99</v>
      </c>
      <c r="F634" s="2" t="s">
        <v>14</v>
      </c>
      <c r="G634" s="5">
        <v>60</v>
      </c>
      <c r="H634" s="2" t="s">
        <v>15</v>
      </c>
      <c r="I634" s="2" t="s">
        <v>21</v>
      </c>
      <c r="J634" s="2" t="s">
        <v>17</v>
      </c>
      <c r="K634" s="2" t="s">
        <v>45</v>
      </c>
    </row>
    <row r="635" spans="1:11" x14ac:dyDescent="0.3">
      <c r="A635" s="2" t="s">
        <v>970</v>
      </c>
      <c r="B635" s="2" t="s">
        <v>94</v>
      </c>
      <c r="C635" s="3">
        <v>46021.944444444453</v>
      </c>
      <c r="D635" s="2" t="s">
        <v>13</v>
      </c>
      <c r="E635" s="4">
        <v>606.54999999999995</v>
      </c>
      <c r="F635" s="2" t="s">
        <v>14</v>
      </c>
      <c r="G635" s="5">
        <v>36</v>
      </c>
      <c r="H635" s="2" t="s">
        <v>15</v>
      </c>
      <c r="I635" s="2" t="s">
        <v>95</v>
      </c>
      <c r="J635" s="2" t="s">
        <v>17</v>
      </c>
      <c r="K635" s="2" t="s">
        <v>18</v>
      </c>
    </row>
    <row r="636" spans="1:11" x14ac:dyDescent="0.3">
      <c r="A636" s="2" t="s">
        <v>971</v>
      </c>
      <c r="B636" s="2" t="s">
        <v>585</v>
      </c>
      <c r="C636" s="3">
        <v>45747.480555555558</v>
      </c>
      <c r="D636" s="2" t="s">
        <v>28</v>
      </c>
      <c r="E636" s="4">
        <v>163575.35999999999</v>
      </c>
      <c r="F636" s="2" t="s">
        <v>14</v>
      </c>
      <c r="G636" s="5">
        <v>25</v>
      </c>
      <c r="H636" s="2" t="s">
        <v>15</v>
      </c>
      <c r="I636" s="2" t="s">
        <v>95</v>
      </c>
      <c r="J636" s="2" t="s">
        <v>49</v>
      </c>
      <c r="K636" s="2" t="s">
        <v>18</v>
      </c>
    </row>
    <row r="637" spans="1:11" x14ac:dyDescent="0.3">
      <c r="A637" s="2" t="s">
        <v>972</v>
      </c>
      <c r="B637" s="2" t="s">
        <v>352</v>
      </c>
      <c r="C637" s="3">
        <v>45772.133333333331</v>
      </c>
      <c r="D637" s="2" t="s">
        <v>28</v>
      </c>
      <c r="E637" s="4">
        <v>23174.66</v>
      </c>
      <c r="F637" s="2" t="s">
        <v>14</v>
      </c>
      <c r="G637" s="5">
        <v>51</v>
      </c>
      <c r="H637" s="2" t="s">
        <v>15</v>
      </c>
      <c r="I637" s="2" t="s">
        <v>21</v>
      </c>
      <c r="J637" s="2" t="s">
        <v>17</v>
      </c>
      <c r="K637" s="2" t="s">
        <v>18</v>
      </c>
    </row>
    <row r="638" spans="1:11" x14ac:dyDescent="0.3">
      <c r="A638" s="2" t="s">
        <v>973</v>
      </c>
      <c r="B638" s="2" t="s">
        <v>128</v>
      </c>
      <c r="C638" s="3">
        <v>45729.326388888891</v>
      </c>
      <c r="D638" s="2" t="s">
        <v>28</v>
      </c>
      <c r="E638" s="4">
        <v>21885.16</v>
      </c>
      <c r="F638" s="2" t="s">
        <v>14</v>
      </c>
      <c r="G638" s="5">
        <v>26</v>
      </c>
      <c r="H638" s="2" t="s">
        <v>15</v>
      </c>
      <c r="I638" s="2" t="s">
        <v>95</v>
      </c>
      <c r="J638" s="2" t="s">
        <v>44</v>
      </c>
      <c r="K638" s="2" t="s">
        <v>45</v>
      </c>
    </row>
    <row r="639" spans="1:11" x14ac:dyDescent="0.3">
      <c r="A639" s="2" t="s">
        <v>974</v>
      </c>
      <c r="B639" s="2" t="s">
        <v>305</v>
      </c>
      <c r="C639" s="3">
        <v>45910.015972222223</v>
      </c>
      <c r="D639" s="2" t="s">
        <v>28</v>
      </c>
      <c r="E639" s="4">
        <v>14434.11</v>
      </c>
      <c r="F639" s="2" t="s">
        <v>14</v>
      </c>
      <c r="G639" s="5">
        <v>45</v>
      </c>
      <c r="H639" s="2" t="s">
        <v>29</v>
      </c>
      <c r="I639" s="2" t="s">
        <v>48</v>
      </c>
      <c r="J639" s="2" t="s">
        <v>17</v>
      </c>
      <c r="K639" s="2" t="s">
        <v>45</v>
      </c>
    </row>
    <row r="640" spans="1:11" x14ac:dyDescent="0.3">
      <c r="A640" s="2" t="s">
        <v>975</v>
      </c>
      <c r="B640" s="2" t="s">
        <v>629</v>
      </c>
      <c r="C640" s="3">
        <v>45941.765972222223</v>
      </c>
      <c r="D640" s="2" t="s">
        <v>13</v>
      </c>
      <c r="E640" s="4">
        <v>2083.23</v>
      </c>
      <c r="F640" s="2" t="s">
        <v>57</v>
      </c>
      <c r="G640" s="5">
        <v>22</v>
      </c>
      <c r="H640" s="2" t="s">
        <v>15</v>
      </c>
      <c r="I640" s="2" t="s">
        <v>21</v>
      </c>
      <c r="J640" s="2" t="s">
        <v>49</v>
      </c>
      <c r="K640" s="2" t="s">
        <v>18</v>
      </c>
    </row>
    <row r="641" spans="1:11" x14ac:dyDescent="0.3">
      <c r="A641" s="2" t="s">
        <v>976</v>
      </c>
      <c r="B641" s="2" t="s">
        <v>977</v>
      </c>
      <c r="C641" s="3">
        <v>45897.713888888888</v>
      </c>
      <c r="D641" s="2" t="s">
        <v>154</v>
      </c>
      <c r="E641" s="4">
        <v>20000</v>
      </c>
      <c r="F641" s="2" t="s">
        <v>57</v>
      </c>
      <c r="G641" s="5">
        <v>38</v>
      </c>
      <c r="H641" s="2" t="s">
        <v>29</v>
      </c>
      <c r="I641" s="2" t="s">
        <v>21</v>
      </c>
      <c r="J641" s="2" t="s">
        <v>17</v>
      </c>
      <c r="K641" s="2" t="s">
        <v>18</v>
      </c>
    </row>
    <row r="642" spans="1:11" x14ac:dyDescent="0.3">
      <c r="A642" s="2" t="s">
        <v>978</v>
      </c>
      <c r="B642" s="2" t="s">
        <v>54</v>
      </c>
      <c r="C642" s="3">
        <v>45971.086111111108</v>
      </c>
      <c r="D642" s="2" t="s">
        <v>38</v>
      </c>
      <c r="E642" s="4">
        <v>10180.4</v>
      </c>
      <c r="F642" s="2" t="s">
        <v>14</v>
      </c>
      <c r="G642" s="5">
        <v>60</v>
      </c>
      <c r="H642" s="2" t="s">
        <v>29</v>
      </c>
      <c r="I642" s="2" t="s">
        <v>34</v>
      </c>
      <c r="J642" s="2" t="s">
        <v>49</v>
      </c>
      <c r="K642" s="2" t="s">
        <v>18</v>
      </c>
    </row>
    <row r="643" spans="1:11" x14ac:dyDescent="0.3">
      <c r="A643" s="2" t="s">
        <v>979</v>
      </c>
      <c r="B643" s="2" t="s">
        <v>980</v>
      </c>
      <c r="C643" s="3">
        <v>45816.53125</v>
      </c>
      <c r="D643" s="2" t="s">
        <v>38</v>
      </c>
      <c r="E643" s="4">
        <v>8234.57</v>
      </c>
      <c r="F643" s="2" t="s">
        <v>14</v>
      </c>
      <c r="G643" s="5">
        <v>43</v>
      </c>
      <c r="H643" s="2" t="s">
        <v>15</v>
      </c>
      <c r="I643" s="2" t="s">
        <v>78</v>
      </c>
      <c r="J643" s="2" t="s">
        <v>17</v>
      </c>
      <c r="K643" s="2" t="s">
        <v>18</v>
      </c>
    </row>
    <row r="644" spans="1:11" x14ac:dyDescent="0.3">
      <c r="A644" s="2" t="s">
        <v>981</v>
      </c>
      <c r="B644" s="2" t="s">
        <v>338</v>
      </c>
      <c r="C644" s="3">
        <v>45903.68472222222</v>
      </c>
      <c r="D644" s="2" t="s">
        <v>28</v>
      </c>
      <c r="E644" s="4">
        <v>25059.25</v>
      </c>
      <c r="F644" s="2" t="s">
        <v>14</v>
      </c>
      <c r="G644" s="5">
        <v>31</v>
      </c>
      <c r="H644" s="2" t="s">
        <v>15</v>
      </c>
      <c r="I644" s="2" t="s">
        <v>30</v>
      </c>
      <c r="J644" s="2" t="s">
        <v>49</v>
      </c>
      <c r="K644" s="2" t="s">
        <v>18</v>
      </c>
    </row>
    <row r="645" spans="1:11" x14ac:dyDescent="0.3">
      <c r="A645" s="2" t="s">
        <v>982</v>
      </c>
      <c r="B645" s="2" t="s">
        <v>296</v>
      </c>
      <c r="C645" s="3">
        <v>45867.75277777778</v>
      </c>
      <c r="D645" s="2" t="s">
        <v>13</v>
      </c>
      <c r="E645" s="4">
        <v>577.87</v>
      </c>
      <c r="F645" s="2" t="s">
        <v>57</v>
      </c>
      <c r="G645" s="5">
        <v>31</v>
      </c>
      <c r="H645" s="2" t="s">
        <v>15</v>
      </c>
      <c r="I645" s="2" t="s">
        <v>34</v>
      </c>
      <c r="J645" s="2" t="s">
        <v>52</v>
      </c>
      <c r="K645" s="2" t="s">
        <v>35</v>
      </c>
    </row>
    <row r="646" spans="1:11" x14ac:dyDescent="0.3">
      <c r="A646" s="2" t="s">
        <v>983</v>
      </c>
      <c r="B646" s="2" t="s">
        <v>547</v>
      </c>
      <c r="C646" s="3">
        <v>45722.445138888892</v>
      </c>
      <c r="D646" s="2" t="s">
        <v>28</v>
      </c>
      <c r="E646" s="4">
        <v>24384.959999999999</v>
      </c>
      <c r="F646" s="2" t="s">
        <v>14</v>
      </c>
      <c r="G646" s="5">
        <v>39</v>
      </c>
      <c r="H646" s="2" t="s">
        <v>29</v>
      </c>
      <c r="I646" s="2" t="s">
        <v>34</v>
      </c>
      <c r="J646" s="2" t="s">
        <v>17</v>
      </c>
      <c r="K646" s="2" t="s">
        <v>35</v>
      </c>
    </row>
    <row r="647" spans="1:11" x14ac:dyDescent="0.3">
      <c r="A647" s="2" t="s">
        <v>984</v>
      </c>
      <c r="B647" s="2" t="s">
        <v>152</v>
      </c>
      <c r="C647" s="3">
        <v>45695.603472222218</v>
      </c>
      <c r="D647" s="2" t="s">
        <v>13</v>
      </c>
      <c r="E647" s="4">
        <v>2717.77</v>
      </c>
      <c r="F647" s="2" t="s">
        <v>14</v>
      </c>
      <c r="G647" s="5">
        <v>31</v>
      </c>
      <c r="H647" s="2" t="s">
        <v>15</v>
      </c>
      <c r="I647" s="2" t="s">
        <v>34</v>
      </c>
      <c r="J647" s="2" t="s">
        <v>49</v>
      </c>
      <c r="K647" s="2" t="s">
        <v>18</v>
      </c>
    </row>
    <row r="648" spans="1:11" x14ac:dyDescent="0.3">
      <c r="A648" s="2" t="s">
        <v>985</v>
      </c>
      <c r="B648" s="2" t="s">
        <v>219</v>
      </c>
      <c r="C648" s="3">
        <v>46006.681944444441</v>
      </c>
      <c r="D648" s="2" t="s">
        <v>13</v>
      </c>
      <c r="E648" s="4">
        <v>3147.41</v>
      </c>
      <c r="F648" s="2" t="s">
        <v>14</v>
      </c>
      <c r="G648" s="5">
        <v>21</v>
      </c>
      <c r="H648" s="2" t="s">
        <v>15</v>
      </c>
      <c r="I648" s="2" t="s">
        <v>30</v>
      </c>
      <c r="J648" s="2" t="s">
        <v>44</v>
      </c>
      <c r="K648" s="2" t="s">
        <v>18</v>
      </c>
    </row>
    <row r="649" spans="1:11" x14ac:dyDescent="0.3">
      <c r="A649" s="2" t="s">
        <v>986</v>
      </c>
      <c r="B649" s="2" t="s">
        <v>305</v>
      </c>
      <c r="C649" s="3">
        <v>45723.736111111109</v>
      </c>
      <c r="D649" s="2" t="s">
        <v>13</v>
      </c>
      <c r="E649" s="4">
        <v>851.66</v>
      </c>
      <c r="F649" s="2" t="s">
        <v>14</v>
      </c>
      <c r="G649" s="5">
        <v>45</v>
      </c>
      <c r="H649" s="2" t="s">
        <v>29</v>
      </c>
      <c r="I649" s="2" t="s">
        <v>48</v>
      </c>
      <c r="J649" s="2" t="s">
        <v>17</v>
      </c>
      <c r="K649" s="2" t="s">
        <v>35</v>
      </c>
    </row>
    <row r="650" spans="1:11" x14ac:dyDescent="0.3">
      <c r="A650" s="2" t="s">
        <v>987</v>
      </c>
      <c r="B650" s="2" t="s">
        <v>988</v>
      </c>
      <c r="C650" s="3">
        <v>45958.242361111108</v>
      </c>
      <c r="D650" s="2" t="s">
        <v>13</v>
      </c>
      <c r="E650" s="4">
        <v>201.62</v>
      </c>
      <c r="F650" s="2" t="s">
        <v>14</v>
      </c>
      <c r="G650" s="5">
        <v>35</v>
      </c>
      <c r="H650" s="2" t="s">
        <v>29</v>
      </c>
      <c r="I650" s="2" t="s">
        <v>34</v>
      </c>
      <c r="J650" s="2" t="s">
        <v>49</v>
      </c>
      <c r="K650" s="2" t="s">
        <v>45</v>
      </c>
    </row>
    <row r="651" spans="1:11" x14ac:dyDescent="0.3">
      <c r="A651" s="2" t="s">
        <v>989</v>
      </c>
      <c r="B651" s="2" t="s">
        <v>225</v>
      </c>
      <c r="C651" s="3">
        <v>45724.563888888893</v>
      </c>
      <c r="D651" s="2" t="s">
        <v>13</v>
      </c>
      <c r="E651" s="4">
        <v>4030.59</v>
      </c>
      <c r="F651" s="2" t="s">
        <v>14</v>
      </c>
      <c r="G651" s="5">
        <v>35</v>
      </c>
      <c r="H651" s="2" t="s">
        <v>29</v>
      </c>
      <c r="I651" s="2" t="s">
        <v>78</v>
      </c>
      <c r="J651" s="2" t="s">
        <v>17</v>
      </c>
      <c r="K651" s="2" t="s">
        <v>18</v>
      </c>
    </row>
    <row r="652" spans="1:11" x14ac:dyDescent="0.3">
      <c r="A652" s="2" t="s">
        <v>990</v>
      </c>
      <c r="B652" s="2" t="s">
        <v>352</v>
      </c>
      <c r="C652" s="3">
        <v>45686.147916666669</v>
      </c>
      <c r="D652" s="2" t="s">
        <v>28</v>
      </c>
      <c r="E652" s="4">
        <v>5690.23</v>
      </c>
      <c r="F652" s="2" t="s">
        <v>14</v>
      </c>
      <c r="G652" s="5">
        <v>51</v>
      </c>
      <c r="H652" s="2" t="s">
        <v>15</v>
      </c>
      <c r="I652" s="2" t="s">
        <v>21</v>
      </c>
      <c r="J652" s="2" t="s">
        <v>17</v>
      </c>
      <c r="K652" s="2" t="s">
        <v>18</v>
      </c>
    </row>
    <row r="653" spans="1:11" x14ac:dyDescent="0.3">
      <c r="A653" s="2" t="s">
        <v>991</v>
      </c>
      <c r="B653" s="2" t="s">
        <v>279</v>
      </c>
      <c r="C653" s="3">
        <v>45736.381944444453</v>
      </c>
      <c r="D653" s="2" t="s">
        <v>33</v>
      </c>
      <c r="E653" s="4">
        <v>3039.95</v>
      </c>
      <c r="F653" s="2" t="s">
        <v>14</v>
      </c>
      <c r="G653" s="5">
        <v>52</v>
      </c>
      <c r="H653" s="2" t="s">
        <v>29</v>
      </c>
      <c r="I653" s="2" t="s">
        <v>34</v>
      </c>
      <c r="J653" s="2" t="s">
        <v>17</v>
      </c>
      <c r="K653" s="2" t="s">
        <v>18</v>
      </c>
    </row>
    <row r="654" spans="1:11" x14ac:dyDescent="0.3">
      <c r="A654" s="2" t="s">
        <v>992</v>
      </c>
      <c r="B654" s="2" t="s">
        <v>572</v>
      </c>
      <c r="C654" s="3">
        <v>45740.457638888889</v>
      </c>
      <c r="D654" s="2" t="s">
        <v>28</v>
      </c>
      <c r="E654" s="4">
        <v>14365.24</v>
      </c>
      <c r="F654" s="2" t="s">
        <v>14</v>
      </c>
      <c r="G654" s="5">
        <v>57</v>
      </c>
      <c r="H654" s="2" t="s">
        <v>15</v>
      </c>
      <c r="I654" s="2" t="s">
        <v>95</v>
      </c>
      <c r="J654" s="2" t="s">
        <v>17</v>
      </c>
      <c r="K654" s="2" t="s">
        <v>18</v>
      </c>
    </row>
    <row r="655" spans="1:11" x14ac:dyDescent="0.3">
      <c r="A655" s="2" t="s">
        <v>993</v>
      </c>
      <c r="B655" s="2" t="s">
        <v>293</v>
      </c>
      <c r="C655" s="3">
        <v>46021.306944444441</v>
      </c>
      <c r="D655" s="2" t="s">
        <v>28</v>
      </c>
      <c r="E655" s="4">
        <v>7425.19</v>
      </c>
      <c r="F655" s="2" t="s">
        <v>14</v>
      </c>
      <c r="G655" s="5">
        <v>36</v>
      </c>
      <c r="H655" s="2" t="s">
        <v>15</v>
      </c>
      <c r="I655" s="2" t="s">
        <v>34</v>
      </c>
      <c r="J655" s="2" t="s">
        <v>17</v>
      </c>
      <c r="K655" s="2" t="s">
        <v>45</v>
      </c>
    </row>
    <row r="656" spans="1:11" x14ac:dyDescent="0.3">
      <c r="A656" s="2" t="s">
        <v>994</v>
      </c>
      <c r="B656" s="2" t="s">
        <v>386</v>
      </c>
      <c r="C656" s="3">
        <v>45923.412499999999</v>
      </c>
      <c r="D656" s="2" t="s">
        <v>13</v>
      </c>
      <c r="E656" s="4">
        <v>3531.81</v>
      </c>
      <c r="F656" s="2" t="s">
        <v>14</v>
      </c>
      <c r="G656" s="5">
        <v>26</v>
      </c>
      <c r="H656" s="2" t="s">
        <v>15</v>
      </c>
      <c r="I656" s="2" t="s">
        <v>25</v>
      </c>
      <c r="J656" s="2" t="s">
        <v>17</v>
      </c>
      <c r="K656" s="2" t="s">
        <v>35</v>
      </c>
    </row>
    <row r="657" spans="1:11" x14ac:dyDescent="0.3">
      <c r="A657" s="2" t="s">
        <v>995</v>
      </c>
      <c r="B657" s="2" t="s">
        <v>541</v>
      </c>
      <c r="C657" s="3">
        <v>45698.341666666667</v>
      </c>
      <c r="D657" s="2" t="s">
        <v>33</v>
      </c>
      <c r="E657" s="4">
        <v>6004.19</v>
      </c>
      <c r="F657" s="2" t="s">
        <v>14</v>
      </c>
      <c r="G657" s="5">
        <v>57</v>
      </c>
      <c r="H657" s="2" t="s">
        <v>15</v>
      </c>
      <c r="I657" s="2" t="s">
        <v>34</v>
      </c>
      <c r="J657" s="2" t="s">
        <v>44</v>
      </c>
      <c r="K657" s="2" t="s">
        <v>18</v>
      </c>
    </row>
    <row r="658" spans="1:11" x14ac:dyDescent="0.3">
      <c r="A658" s="2" t="s">
        <v>996</v>
      </c>
      <c r="B658" s="2" t="s">
        <v>997</v>
      </c>
      <c r="C658" s="3">
        <v>45983.720138888893</v>
      </c>
      <c r="D658" s="2" t="s">
        <v>28</v>
      </c>
      <c r="E658" s="4">
        <v>18258.400000000001</v>
      </c>
      <c r="F658" s="2" t="s">
        <v>14</v>
      </c>
      <c r="G658" s="5">
        <v>39</v>
      </c>
      <c r="H658" s="2" t="s">
        <v>29</v>
      </c>
      <c r="I658" s="2" t="s">
        <v>34</v>
      </c>
      <c r="J658" s="2" t="s">
        <v>17</v>
      </c>
      <c r="K658" s="2" t="s">
        <v>18</v>
      </c>
    </row>
    <row r="659" spans="1:11" x14ac:dyDescent="0.3">
      <c r="A659" s="2" t="s">
        <v>998</v>
      </c>
      <c r="B659" s="2" t="s">
        <v>617</v>
      </c>
      <c r="C659" s="3">
        <v>45722.84652777778</v>
      </c>
      <c r="D659" s="2" t="s">
        <v>13</v>
      </c>
      <c r="E659" s="4">
        <v>646.26</v>
      </c>
      <c r="F659" s="2" t="s">
        <v>14</v>
      </c>
      <c r="G659" s="5">
        <v>22</v>
      </c>
      <c r="H659" s="2" t="s">
        <v>15</v>
      </c>
      <c r="I659" s="2" t="s">
        <v>34</v>
      </c>
      <c r="J659" s="2" t="s">
        <v>44</v>
      </c>
      <c r="K659" s="2" t="s">
        <v>18</v>
      </c>
    </row>
    <row r="660" spans="1:11" x14ac:dyDescent="0.3">
      <c r="A660" s="2" t="s">
        <v>999</v>
      </c>
      <c r="B660" s="2" t="s">
        <v>860</v>
      </c>
      <c r="C660" s="3">
        <v>45972.711805555547</v>
      </c>
      <c r="D660" s="2" t="s">
        <v>154</v>
      </c>
      <c r="E660" s="4">
        <v>40000</v>
      </c>
      <c r="F660" s="2" t="s">
        <v>14</v>
      </c>
      <c r="G660" s="5">
        <v>29</v>
      </c>
      <c r="H660" s="2" t="s">
        <v>15</v>
      </c>
      <c r="I660" s="2" t="s">
        <v>21</v>
      </c>
      <c r="J660" s="2" t="s">
        <v>52</v>
      </c>
      <c r="K660" s="2" t="s">
        <v>22</v>
      </c>
    </row>
    <row r="661" spans="1:11" x14ac:dyDescent="0.3">
      <c r="A661" s="2" t="s">
        <v>1000</v>
      </c>
      <c r="B661" s="2" t="s">
        <v>362</v>
      </c>
      <c r="C661" s="3">
        <v>45915.840277777781</v>
      </c>
      <c r="D661" s="2" t="s">
        <v>33</v>
      </c>
      <c r="E661" s="4">
        <v>20661.3</v>
      </c>
      <c r="F661" s="2" t="s">
        <v>14</v>
      </c>
      <c r="G661" s="5">
        <v>25</v>
      </c>
      <c r="H661" s="2" t="s">
        <v>29</v>
      </c>
      <c r="I661" s="2" t="s">
        <v>34</v>
      </c>
      <c r="J661" s="2" t="s">
        <v>44</v>
      </c>
      <c r="K661" s="2" t="s">
        <v>18</v>
      </c>
    </row>
    <row r="662" spans="1:11" x14ac:dyDescent="0.3">
      <c r="A662" s="2" t="s">
        <v>1001</v>
      </c>
      <c r="B662" s="2" t="s">
        <v>86</v>
      </c>
      <c r="C662" s="3">
        <v>45961.756249999999</v>
      </c>
      <c r="D662" s="2" t="s">
        <v>13</v>
      </c>
      <c r="E662" s="4">
        <v>1567.61</v>
      </c>
      <c r="F662" s="2" t="s">
        <v>14</v>
      </c>
      <c r="G662" s="5">
        <v>41</v>
      </c>
      <c r="H662" s="2" t="s">
        <v>29</v>
      </c>
      <c r="I662" s="2" t="s">
        <v>60</v>
      </c>
      <c r="J662" s="2" t="s">
        <v>17</v>
      </c>
      <c r="K662" s="2" t="s">
        <v>18</v>
      </c>
    </row>
    <row r="663" spans="1:11" x14ac:dyDescent="0.3">
      <c r="A663" s="2" t="s">
        <v>1002</v>
      </c>
      <c r="B663" s="2" t="s">
        <v>305</v>
      </c>
      <c r="C663" s="3">
        <v>45745.902083333327</v>
      </c>
      <c r="D663" s="2" t="s">
        <v>38</v>
      </c>
      <c r="E663" s="4">
        <v>6300.85</v>
      </c>
      <c r="F663" s="2" t="s">
        <v>57</v>
      </c>
      <c r="G663" s="5">
        <v>45</v>
      </c>
      <c r="H663" s="2" t="s">
        <v>29</v>
      </c>
      <c r="I663" s="2" t="s">
        <v>48</v>
      </c>
      <c r="J663" s="2" t="s">
        <v>17</v>
      </c>
      <c r="K663" s="2" t="s">
        <v>18</v>
      </c>
    </row>
    <row r="664" spans="1:11" x14ac:dyDescent="0.3">
      <c r="A664" s="2" t="s">
        <v>1003</v>
      </c>
      <c r="B664" s="2" t="s">
        <v>366</v>
      </c>
      <c r="C664" s="3">
        <v>45967.453472222223</v>
      </c>
      <c r="D664" s="2" t="s">
        <v>13</v>
      </c>
      <c r="E664" s="4">
        <v>1642.56</v>
      </c>
      <c r="F664" s="2" t="s">
        <v>14</v>
      </c>
      <c r="G664" s="5">
        <v>28</v>
      </c>
      <c r="H664" s="2" t="s">
        <v>15</v>
      </c>
      <c r="I664" s="2" t="s">
        <v>34</v>
      </c>
      <c r="J664" s="2" t="s">
        <v>49</v>
      </c>
      <c r="K664" s="2" t="s">
        <v>18</v>
      </c>
    </row>
    <row r="665" spans="1:11" x14ac:dyDescent="0.3">
      <c r="A665" s="2" t="s">
        <v>1004</v>
      </c>
      <c r="B665" s="2" t="s">
        <v>56</v>
      </c>
      <c r="C665" s="3">
        <v>45946.077777777777</v>
      </c>
      <c r="D665" s="2" t="s">
        <v>154</v>
      </c>
      <c r="E665" s="4">
        <v>5000</v>
      </c>
      <c r="F665" s="2" t="s">
        <v>14</v>
      </c>
      <c r="G665" s="5">
        <v>64</v>
      </c>
      <c r="H665" s="2" t="s">
        <v>29</v>
      </c>
      <c r="I665" s="2" t="s">
        <v>30</v>
      </c>
      <c r="J665" s="2" t="s">
        <v>49</v>
      </c>
      <c r="K665" s="2" t="s">
        <v>18</v>
      </c>
    </row>
    <row r="666" spans="1:11" x14ac:dyDescent="0.3">
      <c r="A666" s="2" t="s">
        <v>1005</v>
      </c>
      <c r="B666" s="2" t="s">
        <v>654</v>
      </c>
      <c r="C666" s="3">
        <v>45672.084722222222</v>
      </c>
      <c r="D666" s="2" t="s">
        <v>13</v>
      </c>
      <c r="E666" s="4">
        <v>660.65</v>
      </c>
      <c r="F666" s="2" t="s">
        <v>14</v>
      </c>
      <c r="G666" s="5">
        <v>55</v>
      </c>
      <c r="H666" s="2" t="s">
        <v>15</v>
      </c>
      <c r="I666" s="2" t="s">
        <v>30</v>
      </c>
      <c r="J666" s="2" t="s">
        <v>44</v>
      </c>
      <c r="K666" s="2" t="s">
        <v>35</v>
      </c>
    </row>
    <row r="667" spans="1:11" x14ac:dyDescent="0.3">
      <c r="A667" s="2" t="s">
        <v>1006</v>
      </c>
      <c r="B667" s="2" t="s">
        <v>662</v>
      </c>
      <c r="C667" s="3">
        <v>45986.761111111111</v>
      </c>
      <c r="D667" s="2" t="s">
        <v>13</v>
      </c>
      <c r="E667" s="4">
        <v>511.64</v>
      </c>
      <c r="F667" s="2" t="s">
        <v>14</v>
      </c>
      <c r="G667" s="5">
        <v>45</v>
      </c>
      <c r="H667" s="2" t="s">
        <v>15</v>
      </c>
      <c r="I667" s="2" t="s">
        <v>34</v>
      </c>
      <c r="J667" s="2" t="s">
        <v>52</v>
      </c>
      <c r="K667" s="2" t="s">
        <v>45</v>
      </c>
    </row>
    <row r="668" spans="1:11" x14ac:dyDescent="0.3">
      <c r="A668" s="2" t="s">
        <v>1007</v>
      </c>
      <c r="B668" s="2" t="s">
        <v>377</v>
      </c>
      <c r="C668" s="3">
        <v>45991.28402777778</v>
      </c>
      <c r="D668" s="2" t="s">
        <v>28</v>
      </c>
      <c r="E668" s="4">
        <v>30658.97</v>
      </c>
      <c r="F668" s="2" t="s">
        <v>57</v>
      </c>
      <c r="G668" s="5">
        <v>39</v>
      </c>
      <c r="H668" s="2" t="s">
        <v>15</v>
      </c>
      <c r="I668" s="2" t="s">
        <v>43</v>
      </c>
      <c r="J668" s="2" t="s">
        <v>17</v>
      </c>
      <c r="K668" s="2" t="s">
        <v>18</v>
      </c>
    </row>
    <row r="669" spans="1:11" x14ac:dyDescent="0.3">
      <c r="A669" s="2" t="s">
        <v>1008</v>
      </c>
      <c r="B669" s="2" t="s">
        <v>252</v>
      </c>
      <c r="C669" s="3">
        <v>45950.568749999999</v>
      </c>
      <c r="D669" s="2" t="s">
        <v>28</v>
      </c>
      <c r="E669" s="4">
        <v>9386.4699999999993</v>
      </c>
      <c r="F669" s="2" t="s">
        <v>14</v>
      </c>
      <c r="G669" s="5">
        <v>25</v>
      </c>
      <c r="H669" s="2" t="s">
        <v>29</v>
      </c>
      <c r="I669" s="2" t="s">
        <v>60</v>
      </c>
      <c r="J669" s="2" t="s">
        <v>44</v>
      </c>
      <c r="K669" s="2" t="s">
        <v>18</v>
      </c>
    </row>
    <row r="670" spans="1:11" x14ac:dyDescent="0.3">
      <c r="A670" s="2" t="s">
        <v>1009</v>
      </c>
      <c r="B670" s="2" t="s">
        <v>252</v>
      </c>
      <c r="C670" s="3">
        <v>45985.021527777782</v>
      </c>
      <c r="D670" s="2" t="s">
        <v>38</v>
      </c>
      <c r="E670" s="4">
        <v>15306.47</v>
      </c>
      <c r="F670" s="2" t="s">
        <v>14</v>
      </c>
      <c r="G670" s="5">
        <v>25</v>
      </c>
      <c r="H670" s="2" t="s">
        <v>29</v>
      </c>
      <c r="I670" s="2" t="s">
        <v>60</v>
      </c>
      <c r="J670" s="2" t="s">
        <v>44</v>
      </c>
      <c r="K670" s="2" t="s">
        <v>18</v>
      </c>
    </row>
    <row r="671" spans="1:11" x14ac:dyDescent="0.3">
      <c r="A671" s="2" t="s">
        <v>1010</v>
      </c>
      <c r="B671" s="2" t="s">
        <v>752</v>
      </c>
      <c r="C671" s="3">
        <v>45979.720833333333</v>
      </c>
      <c r="D671" s="2" t="s">
        <v>154</v>
      </c>
      <c r="E671" s="4">
        <v>10000</v>
      </c>
      <c r="F671" s="2" t="s">
        <v>14</v>
      </c>
      <c r="G671" s="5">
        <v>20</v>
      </c>
      <c r="H671" s="2" t="s">
        <v>15</v>
      </c>
      <c r="I671" s="2" t="s">
        <v>48</v>
      </c>
      <c r="J671" s="2" t="s">
        <v>17</v>
      </c>
      <c r="K671" s="2" t="s">
        <v>18</v>
      </c>
    </row>
    <row r="672" spans="1:11" x14ac:dyDescent="0.3">
      <c r="A672" s="2" t="s">
        <v>1011</v>
      </c>
      <c r="B672" s="2" t="s">
        <v>190</v>
      </c>
      <c r="C672" s="3">
        <v>45986.395833333343</v>
      </c>
      <c r="D672" s="2" t="s">
        <v>28</v>
      </c>
      <c r="E672" s="4">
        <v>50207.9</v>
      </c>
      <c r="F672" s="2" t="s">
        <v>57</v>
      </c>
      <c r="G672" s="5">
        <v>25</v>
      </c>
      <c r="H672" s="2" t="s">
        <v>15</v>
      </c>
      <c r="I672" s="2" t="s">
        <v>34</v>
      </c>
      <c r="J672" s="2" t="s">
        <v>17</v>
      </c>
      <c r="K672" s="2" t="s">
        <v>18</v>
      </c>
    </row>
    <row r="673" spans="1:11" x14ac:dyDescent="0.3">
      <c r="A673" s="2" t="s">
        <v>1012</v>
      </c>
      <c r="B673" s="2" t="s">
        <v>1013</v>
      </c>
      <c r="C673" s="3">
        <v>45783.892361111109</v>
      </c>
      <c r="D673" s="2" t="s">
        <v>13</v>
      </c>
      <c r="E673" s="4">
        <v>2764.24</v>
      </c>
      <c r="F673" s="2" t="s">
        <v>14</v>
      </c>
      <c r="G673" s="5">
        <v>39</v>
      </c>
      <c r="H673" s="2" t="s">
        <v>15</v>
      </c>
      <c r="I673" s="2" t="s">
        <v>21</v>
      </c>
      <c r="J673" s="2" t="s">
        <v>49</v>
      </c>
      <c r="K673" s="2" t="s">
        <v>18</v>
      </c>
    </row>
    <row r="674" spans="1:11" x14ac:dyDescent="0.3">
      <c r="A674" s="2" t="s">
        <v>1014</v>
      </c>
      <c r="B674" s="2" t="s">
        <v>709</v>
      </c>
      <c r="C674" s="3">
        <v>45810.586111111108</v>
      </c>
      <c r="D674" s="2" t="s">
        <v>28</v>
      </c>
      <c r="E674" s="4">
        <v>11946.17</v>
      </c>
      <c r="F674" s="2" t="s">
        <v>14</v>
      </c>
      <c r="G674" s="5">
        <v>44</v>
      </c>
      <c r="H674" s="2" t="s">
        <v>15</v>
      </c>
      <c r="I674" s="2" t="s">
        <v>34</v>
      </c>
      <c r="J674" s="2" t="s">
        <v>44</v>
      </c>
      <c r="K674" s="2" t="s">
        <v>18</v>
      </c>
    </row>
    <row r="675" spans="1:11" x14ac:dyDescent="0.3">
      <c r="A675" s="2" t="s">
        <v>1015</v>
      </c>
      <c r="B675" s="2" t="s">
        <v>505</v>
      </c>
      <c r="C675" s="3">
        <v>46010.048611111109</v>
      </c>
      <c r="D675" s="2" t="s">
        <v>13</v>
      </c>
      <c r="E675" s="4">
        <v>1151.01</v>
      </c>
      <c r="F675" s="2" t="s">
        <v>57</v>
      </c>
      <c r="G675" s="5">
        <v>26</v>
      </c>
      <c r="H675" s="2" t="s">
        <v>15</v>
      </c>
      <c r="I675" s="2" t="s">
        <v>34</v>
      </c>
      <c r="J675" s="2" t="s">
        <v>17</v>
      </c>
      <c r="K675" s="2" t="s">
        <v>18</v>
      </c>
    </row>
    <row r="676" spans="1:11" x14ac:dyDescent="0.3">
      <c r="A676" s="2" t="s">
        <v>1016</v>
      </c>
      <c r="B676" s="2" t="s">
        <v>146</v>
      </c>
      <c r="C676" s="3">
        <v>45883.5625</v>
      </c>
      <c r="D676" s="2" t="s">
        <v>28</v>
      </c>
      <c r="E676" s="4">
        <v>8421.1299999999992</v>
      </c>
      <c r="F676" s="2" t="s">
        <v>57</v>
      </c>
      <c r="G676" s="5">
        <v>24</v>
      </c>
      <c r="H676" s="2" t="s">
        <v>15</v>
      </c>
      <c r="I676" s="2" t="s">
        <v>60</v>
      </c>
      <c r="J676" s="2" t="s">
        <v>17</v>
      </c>
      <c r="K676" s="2" t="s">
        <v>35</v>
      </c>
    </row>
    <row r="677" spans="1:11" x14ac:dyDescent="0.3">
      <c r="A677" s="2" t="s">
        <v>1017</v>
      </c>
      <c r="B677" s="2" t="s">
        <v>774</v>
      </c>
      <c r="C677" s="3">
        <v>45895.26458333333</v>
      </c>
      <c r="D677" s="2" t="s">
        <v>28</v>
      </c>
      <c r="E677" s="4">
        <v>32351.86</v>
      </c>
      <c r="F677" s="2" t="s">
        <v>14</v>
      </c>
      <c r="G677" s="5">
        <v>42</v>
      </c>
      <c r="H677" s="2" t="s">
        <v>15</v>
      </c>
      <c r="I677" s="2" t="s">
        <v>95</v>
      </c>
      <c r="J677" s="2" t="s">
        <v>17</v>
      </c>
      <c r="K677" s="2" t="s">
        <v>45</v>
      </c>
    </row>
    <row r="678" spans="1:11" x14ac:dyDescent="0.3">
      <c r="A678" s="2" t="s">
        <v>1018</v>
      </c>
      <c r="B678" s="2" t="s">
        <v>572</v>
      </c>
      <c r="C678" s="3">
        <v>45968.180555555547</v>
      </c>
      <c r="D678" s="2" t="s">
        <v>38</v>
      </c>
      <c r="E678" s="4">
        <v>606.30999999999995</v>
      </c>
      <c r="F678" s="2" t="s">
        <v>14</v>
      </c>
      <c r="G678" s="5">
        <v>57</v>
      </c>
      <c r="H678" s="2" t="s">
        <v>15</v>
      </c>
      <c r="I678" s="2" t="s">
        <v>95</v>
      </c>
      <c r="J678" s="2" t="s">
        <v>17</v>
      </c>
      <c r="K678" s="2" t="s">
        <v>18</v>
      </c>
    </row>
    <row r="679" spans="1:11" x14ac:dyDescent="0.3">
      <c r="A679" s="2" t="s">
        <v>1019</v>
      </c>
      <c r="B679" s="2" t="s">
        <v>188</v>
      </c>
      <c r="C679" s="3">
        <v>45821.996527777781</v>
      </c>
      <c r="D679" s="2" t="s">
        <v>28</v>
      </c>
      <c r="E679" s="4">
        <v>5110.0600000000004</v>
      </c>
      <c r="F679" s="2" t="s">
        <v>14</v>
      </c>
      <c r="G679" s="5">
        <v>27</v>
      </c>
      <c r="H679" s="2" t="s">
        <v>15</v>
      </c>
      <c r="I679" s="2" t="s">
        <v>21</v>
      </c>
      <c r="J679" s="2" t="s">
        <v>17</v>
      </c>
      <c r="K679" s="2" t="s">
        <v>35</v>
      </c>
    </row>
    <row r="680" spans="1:11" x14ac:dyDescent="0.3">
      <c r="A680" s="2" t="s">
        <v>1020</v>
      </c>
      <c r="B680" s="2" t="s">
        <v>1021</v>
      </c>
      <c r="C680" s="3">
        <v>45834.505555555559</v>
      </c>
      <c r="D680" s="2" t="s">
        <v>38</v>
      </c>
      <c r="E680" s="4">
        <v>13430.17</v>
      </c>
      <c r="F680" s="2" t="s">
        <v>14</v>
      </c>
      <c r="G680" s="5">
        <v>46</v>
      </c>
      <c r="H680" s="2" t="s">
        <v>15</v>
      </c>
      <c r="I680" s="2" t="s">
        <v>34</v>
      </c>
      <c r="J680" s="2" t="s">
        <v>17</v>
      </c>
      <c r="K680" s="2" t="s">
        <v>45</v>
      </c>
    </row>
    <row r="681" spans="1:11" x14ac:dyDescent="0.3">
      <c r="A681" s="2" t="s">
        <v>1022</v>
      </c>
      <c r="B681" s="2" t="s">
        <v>262</v>
      </c>
      <c r="C681" s="3">
        <v>45847.690972222219</v>
      </c>
      <c r="D681" s="2" t="s">
        <v>33</v>
      </c>
      <c r="E681" s="4">
        <v>4787.37</v>
      </c>
      <c r="F681" s="2" t="s">
        <v>14</v>
      </c>
      <c r="G681" s="5">
        <v>50</v>
      </c>
      <c r="H681" s="2" t="s">
        <v>29</v>
      </c>
      <c r="I681" s="2" t="s">
        <v>60</v>
      </c>
      <c r="J681" s="2" t="s">
        <v>49</v>
      </c>
      <c r="K681" s="2" t="s">
        <v>45</v>
      </c>
    </row>
    <row r="682" spans="1:11" x14ac:dyDescent="0.3">
      <c r="A682" s="2" t="s">
        <v>1023</v>
      </c>
      <c r="B682" s="2" t="s">
        <v>532</v>
      </c>
      <c r="C682" s="3">
        <v>45712.427083333343</v>
      </c>
      <c r="D682" s="2" t="s">
        <v>33</v>
      </c>
      <c r="E682" s="4">
        <v>16960.400000000001</v>
      </c>
      <c r="F682" s="2" t="s">
        <v>14</v>
      </c>
      <c r="G682" s="5">
        <v>37</v>
      </c>
      <c r="H682" s="2" t="s">
        <v>15</v>
      </c>
      <c r="I682" s="2" t="s">
        <v>34</v>
      </c>
      <c r="J682" s="2" t="s">
        <v>49</v>
      </c>
      <c r="K682" s="2" t="s">
        <v>45</v>
      </c>
    </row>
    <row r="683" spans="1:11" x14ac:dyDescent="0.3">
      <c r="A683" s="2" t="s">
        <v>1024</v>
      </c>
      <c r="B683" s="2" t="s">
        <v>228</v>
      </c>
      <c r="C683" s="3">
        <v>45896.136805555558</v>
      </c>
      <c r="D683" s="2" t="s">
        <v>33</v>
      </c>
      <c r="E683" s="4">
        <v>4186.2299999999996</v>
      </c>
      <c r="F683" s="2" t="s">
        <v>14</v>
      </c>
      <c r="G683" s="5">
        <v>45</v>
      </c>
      <c r="H683" s="2" t="s">
        <v>15</v>
      </c>
      <c r="I683" s="2" t="s">
        <v>48</v>
      </c>
      <c r="J683" s="2" t="s">
        <v>44</v>
      </c>
      <c r="K683" s="2" t="s">
        <v>35</v>
      </c>
    </row>
    <row r="684" spans="1:11" x14ac:dyDescent="0.3">
      <c r="A684" s="2" t="s">
        <v>1025</v>
      </c>
      <c r="B684" s="2" t="s">
        <v>1026</v>
      </c>
      <c r="C684" s="3">
        <v>45888.29791666667</v>
      </c>
      <c r="D684" s="2" t="s">
        <v>28</v>
      </c>
      <c r="E684" s="4">
        <v>34892.39</v>
      </c>
      <c r="F684" s="2" t="s">
        <v>14</v>
      </c>
      <c r="G684" s="5">
        <v>43</v>
      </c>
      <c r="H684" s="2" t="s">
        <v>15</v>
      </c>
      <c r="I684" s="2" t="s">
        <v>78</v>
      </c>
      <c r="J684" s="2" t="s">
        <v>17</v>
      </c>
      <c r="K684" s="2" t="s">
        <v>18</v>
      </c>
    </row>
    <row r="685" spans="1:11" x14ac:dyDescent="0.3">
      <c r="A685" s="2" t="s">
        <v>1027</v>
      </c>
      <c r="B685" s="2" t="s">
        <v>1028</v>
      </c>
      <c r="C685" s="3">
        <v>45707.054166666669</v>
      </c>
      <c r="D685" s="2" t="s">
        <v>28</v>
      </c>
      <c r="E685" s="4">
        <v>43280.29</v>
      </c>
      <c r="F685" s="2" t="s">
        <v>14</v>
      </c>
      <c r="G685" s="5">
        <v>24</v>
      </c>
      <c r="H685" s="2" t="s">
        <v>15</v>
      </c>
      <c r="I685" s="2" t="s">
        <v>25</v>
      </c>
      <c r="J685" s="2" t="s">
        <v>17</v>
      </c>
      <c r="K685" s="2" t="s">
        <v>35</v>
      </c>
    </row>
    <row r="686" spans="1:11" x14ac:dyDescent="0.3">
      <c r="A686" s="2" t="s">
        <v>1029</v>
      </c>
      <c r="B686" s="2" t="s">
        <v>374</v>
      </c>
      <c r="C686" s="3">
        <v>45854.80972222222</v>
      </c>
      <c r="D686" s="2" t="s">
        <v>33</v>
      </c>
      <c r="E686" s="4">
        <v>2326.98</v>
      </c>
      <c r="F686" s="2" t="s">
        <v>14</v>
      </c>
      <c r="G686" s="5">
        <v>28</v>
      </c>
      <c r="H686" s="2" t="s">
        <v>29</v>
      </c>
      <c r="I686" s="2" t="s">
        <v>21</v>
      </c>
      <c r="J686" s="2" t="s">
        <v>17</v>
      </c>
      <c r="K686" s="2" t="s">
        <v>18</v>
      </c>
    </row>
    <row r="687" spans="1:11" x14ac:dyDescent="0.3">
      <c r="A687" s="2" t="s">
        <v>1030</v>
      </c>
      <c r="B687" s="2" t="s">
        <v>230</v>
      </c>
      <c r="C687" s="3">
        <v>45785.244444444441</v>
      </c>
      <c r="D687" s="2" t="s">
        <v>13</v>
      </c>
      <c r="E687" s="4">
        <v>2366.1999999999998</v>
      </c>
      <c r="F687" s="2" t="s">
        <v>14</v>
      </c>
      <c r="G687" s="5">
        <v>35</v>
      </c>
      <c r="H687" s="2" t="s">
        <v>15</v>
      </c>
      <c r="I687" s="2" t="s">
        <v>34</v>
      </c>
      <c r="J687" s="2" t="s">
        <v>17</v>
      </c>
      <c r="K687" s="2" t="s">
        <v>45</v>
      </c>
    </row>
    <row r="688" spans="1:11" x14ac:dyDescent="0.3">
      <c r="A688" s="2" t="s">
        <v>1031</v>
      </c>
      <c r="B688" s="2" t="s">
        <v>509</v>
      </c>
      <c r="C688" s="3">
        <v>45825.781944444447</v>
      </c>
      <c r="D688" s="2" t="s">
        <v>28</v>
      </c>
      <c r="E688" s="4">
        <v>4360.46</v>
      </c>
      <c r="F688" s="2" t="s">
        <v>14</v>
      </c>
      <c r="G688" s="5">
        <v>29</v>
      </c>
      <c r="H688" s="2" t="s">
        <v>15</v>
      </c>
      <c r="I688" s="2" t="s">
        <v>34</v>
      </c>
      <c r="J688" s="2" t="s">
        <v>49</v>
      </c>
      <c r="K688" s="2" t="s">
        <v>45</v>
      </c>
    </row>
    <row r="689" spans="1:11" x14ac:dyDescent="0.3">
      <c r="A689" s="2" t="s">
        <v>1032</v>
      </c>
      <c r="B689" s="2" t="s">
        <v>230</v>
      </c>
      <c r="C689" s="3">
        <v>45818.283333333333</v>
      </c>
      <c r="D689" s="2" t="s">
        <v>33</v>
      </c>
      <c r="E689" s="4">
        <v>2917.9</v>
      </c>
      <c r="F689" s="2" t="s">
        <v>14</v>
      </c>
      <c r="G689" s="5">
        <v>35</v>
      </c>
      <c r="H689" s="2" t="s">
        <v>15</v>
      </c>
      <c r="I689" s="2" t="s">
        <v>34</v>
      </c>
      <c r="J689" s="2" t="s">
        <v>17</v>
      </c>
      <c r="K689" s="2" t="s">
        <v>18</v>
      </c>
    </row>
    <row r="690" spans="1:11" x14ac:dyDescent="0.3">
      <c r="A690" s="2" t="s">
        <v>1033</v>
      </c>
      <c r="B690" s="2" t="s">
        <v>377</v>
      </c>
      <c r="C690" s="3">
        <v>45739.647222222222</v>
      </c>
      <c r="D690" s="2" t="s">
        <v>28</v>
      </c>
      <c r="E690" s="4">
        <v>116693.85</v>
      </c>
      <c r="F690" s="2" t="s">
        <v>14</v>
      </c>
      <c r="G690" s="5">
        <v>39</v>
      </c>
      <c r="H690" s="2" t="s">
        <v>15</v>
      </c>
      <c r="I690" s="2" t="s">
        <v>43</v>
      </c>
      <c r="J690" s="2" t="s">
        <v>17</v>
      </c>
      <c r="K690" s="2" t="s">
        <v>18</v>
      </c>
    </row>
    <row r="691" spans="1:11" x14ac:dyDescent="0.3">
      <c r="A691" s="2" t="s">
        <v>1034</v>
      </c>
      <c r="B691" s="2" t="s">
        <v>366</v>
      </c>
      <c r="C691" s="3">
        <v>45897.663888888892</v>
      </c>
      <c r="D691" s="2" t="s">
        <v>38</v>
      </c>
      <c r="E691" s="4">
        <v>5166.04</v>
      </c>
      <c r="F691" s="2" t="s">
        <v>14</v>
      </c>
      <c r="G691" s="5">
        <v>28</v>
      </c>
      <c r="H691" s="2" t="s">
        <v>15</v>
      </c>
      <c r="I691" s="2" t="s">
        <v>34</v>
      </c>
      <c r="J691" s="2" t="s">
        <v>49</v>
      </c>
      <c r="K691" s="2" t="s">
        <v>45</v>
      </c>
    </row>
    <row r="692" spans="1:11" x14ac:dyDescent="0.3">
      <c r="A692" s="2" t="s">
        <v>1035</v>
      </c>
      <c r="B692" s="2" t="s">
        <v>709</v>
      </c>
      <c r="C692" s="3">
        <v>45815.625694444447</v>
      </c>
      <c r="D692" s="2" t="s">
        <v>33</v>
      </c>
      <c r="E692" s="4">
        <v>49054.14</v>
      </c>
      <c r="F692" s="2" t="s">
        <v>14</v>
      </c>
      <c r="G692" s="5">
        <v>44</v>
      </c>
      <c r="H692" s="2" t="s">
        <v>15</v>
      </c>
      <c r="I692" s="2" t="s">
        <v>34</v>
      </c>
      <c r="J692" s="2" t="s">
        <v>44</v>
      </c>
      <c r="K692" s="2" t="s">
        <v>18</v>
      </c>
    </row>
    <row r="693" spans="1:11" x14ac:dyDescent="0.3">
      <c r="A693" s="2" t="s">
        <v>1036</v>
      </c>
      <c r="B693" s="2" t="s">
        <v>128</v>
      </c>
      <c r="C693" s="3">
        <v>45704.522222222222</v>
      </c>
      <c r="D693" s="2" t="s">
        <v>38</v>
      </c>
      <c r="E693" s="4">
        <v>2711.63</v>
      </c>
      <c r="F693" s="2" t="s">
        <v>14</v>
      </c>
      <c r="G693" s="5">
        <v>26</v>
      </c>
      <c r="H693" s="2" t="s">
        <v>15</v>
      </c>
      <c r="I693" s="2" t="s">
        <v>95</v>
      </c>
      <c r="J693" s="2" t="s">
        <v>44</v>
      </c>
      <c r="K693" s="2" t="s">
        <v>18</v>
      </c>
    </row>
    <row r="694" spans="1:11" x14ac:dyDescent="0.3">
      <c r="A694" s="2" t="s">
        <v>1037</v>
      </c>
      <c r="B694" s="2" t="s">
        <v>293</v>
      </c>
      <c r="C694" s="3">
        <v>45892.300694444442</v>
      </c>
      <c r="D694" s="2" t="s">
        <v>28</v>
      </c>
      <c r="E694" s="4">
        <v>44387.040000000001</v>
      </c>
      <c r="F694" s="2" t="s">
        <v>14</v>
      </c>
      <c r="G694" s="5">
        <v>36</v>
      </c>
      <c r="H694" s="2" t="s">
        <v>15</v>
      </c>
      <c r="I694" s="2" t="s">
        <v>34</v>
      </c>
      <c r="J694" s="2" t="s">
        <v>17</v>
      </c>
      <c r="K694" s="2" t="s">
        <v>18</v>
      </c>
    </row>
    <row r="695" spans="1:11" x14ac:dyDescent="0.3">
      <c r="A695" s="2" t="s">
        <v>1038</v>
      </c>
      <c r="B695" s="2" t="s">
        <v>190</v>
      </c>
      <c r="C695" s="3">
        <v>45956.460416666669</v>
      </c>
      <c r="D695" s="2" t="s">
        <v>38</v>
      </c>
      <c r="E695" s="4">
        <v>9502.19</v>
      </c>
      <c r="F695" s="2" t="s">
        <v>57</v>
      </c>
      <c r="G695" s="5">
        <v>25</v>
      </c>
      <c r="H695" s="2" t="s">
        <v>15</v>
      </c>
      <c r="I695" s="2" t="s">
        <v>34</v>
      </c>
      <c r="J695" s="2" t="s">
        <v>17</v>
      </c>
      <c r="K695" s="2" t="s">
        <v>45</v>
      </c>
    </row>
    <row r="696" spans="1:11" x14ac:dyDescent="0.3">
      <c r="A696" s="2" t="s">
        <v>1039</v>
      </c>
      <c r="B696" s="2" t="s">
        <v>1040</v>
      </c>
      <c r="C696" s="3">
        <v>45683.396527777782</v>
      </c>
      <c r="D696" s="2" t="s">
        <v>38</v>
      </c>
      <c r="E696" s="4">
        <v>4693.9799999999996</v>
      </c>
      <c r="F696" s="2" t="s">
        <v>14</v>
      </c>
      <c r="G696" s="5">
        <v>43</v>
      </c>
      <c r="H696" s="2" t="s">
        <v>15</v>
      </c>
      <c r="I696" s="2" t="s">
        <v>25</v>
      </c>
      <c r="J696" s="2" t="s">
        <v>44</v>
      </c>
      <c r="K696" s="2" t="s">
        <v>35</v>
      </c>
    </row>
    <row r="697" spans="1:11" x14ac:dyDescent="0.3">
      <c r="A697" s="2" t="s">
        <v>1041</v>
      </c>
      <c r="B697" s="2" t="s">
        <v>150</v>
      </c>
      <c r="C697" s="3">
        <v>45963.863194444442</v>
      </c>
      <c r="D697" s="2" t="s">
        <v>28</v>
      </c>
      <c r="E697" s="4">
        <v>5941.93</v>
      </c>
      <c r="F697" s="2" t="s">
        <v>14</v>
      </c>
      <c r="G697" s="5">
        <v>52</v>
      </c>
      <c r="H697" s="2" t="s">
        <v>15</v>
      </c>
      <c r="I697" s="2" t="s">
        <v>34</v>
      </c>
      <c r="J697" s="2" t="s">
        <v>17</v>
      </c>
      <c r="K697" s="2" t="s">
        <v>18</v>
      </c>
    </row>
    <row r="698" spans="1:11" x14ac:dyDescent="0.3">
      <c r="A698" s="2" t="s">
        <v>1042</v>
      </c>
      <c r="B698" s="2" t="s">
        <v>769</v>
      </c>
      <c r="C698" s="3">
        <v>45898.398611111108</v>
      </c>
      <c r="D698" s="2" t="s">
        <v>28</v>
      </c>
      <c r="E698" s="4">
        <v>12914.47</v>
      </c>
      <c r="F698" s="2" t="s">
        <v>14</v>
      </c>
      <c r="G698" s="5">
        <v>38</v>
      </c>
      <c r="H698" s="2" t="s">
        <v>15</v>
      </c>
      <c r="I698" s="2" t="s">
        <v>34</v>
      </c>
      <c r="J698" s="2" t="s">
        <v>17</v>
      </c>
      <c r="K698" s="2" t="s">
        <v>35</v>
      </c>
    </row>
    <row r="699" spans="1:11" x14ac:dyDescent="0.3">
      <c r="A699" s="2" t="s">
        <v>1043</v>
      </c>
      <c r="B699" s="2" t="s">
        <v>20</v>
      </c>
      <c r="C699" s="3">
        <v>45662.143750000003</v>
      </c>
      <c r="D699" s="2" t="s">
        <v>28</v>
      </c>
      <c r="E699" s="4">
        <v>44827.44</v>
      </c>
      <c r="F699" s="2" t="s">
        <v>14</v>
      </c>
      <c r="G699" s="5">
        <v>43</v>
      </c>
      <c r="H699" s="2" t="s">
        <v>15</v>
      </c>
      <c r="I699" s="2" t="s">
        <v>21</v>
      </c>
      <c r="J699" s="2" t="s">
        <v>17</v>
      </c>
      <c r="K699" s="2" t="s">
        <v>18</v>
      </c>
    </row>
    <row r="700" spans="1:11" x14ac:dyDescent="0.3">
      <c r="A700" s="2" t="s">
        <v>1044</v>
      </c>
      <c r="B700" s="2" t="s">
        <v>92</v>
      </c>
      <c r="C700" s="3">
        <v>45726.365277777782</v>
      </c>
      <c r="D700" s="2" t="s">
        <v>13</v>
      </c>
      <c r="E700" s="4">
        <v>1277.22</v>
      </c>
      <c r="F700" s="2" t="s">
        <v>14</v>
      </c>
      <c r="G700" s="5">
        <v>31</v>
      </c>
      <c r="H700" s="2" t="s">
        <v>29</v>
      </c>
      <c r="I700" s="2" t="s">
        <v>60</v>
      </c>
      <c r="J700" s="2" t="s">
        <v>44</v>
      </c>
      <c r="K700" s="2" t="s">
        <v>18</v>
      </c>
    </row>
    <row r="701" spans="1:11" x14ac:dyDescent="0.3">
      <c r="A701" s="2" t="s">
        <v>1045</v>
      </c>
      <c r="B701" s="2" t="s">
        <v>631</v>
      </c>
      <c r="C701" s="3">
        <v>45845.515972222223</v>
      </c>
      <c r="D701" s="2" t="s">
        <v>28</v>
      </c>
      <c r="E701" s="4">
        <v>18850.759999999998</v>
      </c>
      <c r="F701" s="2" t="s">
        <v>14</v>
      </c>
      <c r="G701" s="5">
        <v>27</v>
      </c>
      <c r="H701" s="2" t="s">
        <v>29</v>
      </c>
      <c r="I701" s="2" t="s">
        <v>34</v>
      </c>
      <c r="J701" s="2" t="s">
        <v>17</v>
      </c>
      <c r="K701" s="2" t="s">
        <v>18</v>
      </c>
    </row>
    <row r="702" spans="1:11" x14ac:dyDescent="0.3">
      <c r="A702" s="2" t="s">
        <v>1046</v>
      </c>
      <c r="B702" s="2" t="s">
        <v>374</v>
      </c>
      <c r="C702" s="3">
        <v>45681.502083333333</v>
      </c>
      <c r="D702" s="2" t="s">
        <v>38</v>
      </c>
      <c r="E702" s="4">
        <v>1589.47</v>
      </c>
      <c r="F702" s="2" t="s">
        <v>14</v>
      </c>
      <c r="G702" s="5">
        <v>28</v>
      </c>
      <c r="H702" s="2" t="s">
        <v>29</v>
      </c>
      <c r="I702" s="2" t="s">
        <v>21</v>
      </c>
      <c r="J702" s="2" t="s">
        <v>17</v>
      </c>
      <c r="K702" s="2" t="s">
        <v>18</v>
      </c>
    </row>
    <row r="703" spans="1:11" x14ac:dyDescent="0.3">
      <c r="A703" s="2" t="s">
        <v>1047</v>
      </c>
      <c r="B703" s="2" t="s">
        <v>502</v>
      </c>
      <c r="C703" s="3">
        <v>45949.716666666667</v>
      </c>
      <c r="D703" s="2" t="s">
        <v>28</v>
      </c>
      <c r="E703" s="4">
        <v>16532.509999999998</v>
      </c>
      <c r="F703" s="2" t="s">
        <v>14</v>
      </c>
      <c r="G703" s="5">
        <v>26</v>
      </c>
      <c r="H703" s="2" t="s">
        <v>29</v>
      </c>
      <c r="I703" s="2" t="s">
        <v>95</v>
      </c>
      <c r="J703" s="2" t="s">
        <v>17</v>
      </c>
      <c r="K703" s="2" t="s">
        <v>35</v>
      </c>
    </row>
    <row r="704" spans="1:11" x14ac:dyDescent="0.3">
      <c r="A704" s="2" t="s">
        <v>1048</v>
      </c>
      <c r="B704" s="2" t="s">
        <v>1049</v>
      </c>
      <c r="C704" s="3">
        <v>45843.720833333333</v>
      </c>
      <c r="D704" s="2" t="s">
        <v>38</v>
      </c>
      <c r="E704" s="4">
        <v>20892.84</v>
      </c>
      <c r="F704" s="2" t="s">
        <v>14</v>
      </c>
      <c r="G704" s="5">
        <v>40</v>
      </c>
      <c r="H704" s="2" t="s">
        <v>15</v>
      </c>
      <c r="I704" s="2" t="s">
        <v>34</v>
      </c>
      <c r="J704" s="2" t="s">
        <v>52</v>
      </c>
      <c r="K704" s="2" t="s">
        <v>18</v>
      </c>
    </row>
    <row r="705" spans="1:11" x14ac:dyDescent="0.3">
      <c r="A705" s="2" t="s">
        <v>1050</v>
      </c>
      <c r="B705" s="2" t="s">
        <v>629</v>
      </c>
      <c r="C705" s="3">
        <v>45695.522222222222</v>
      </c>
      <c r="D705" s="2" t="s">
        <v>28</v>
      </c>
      <c r="E705" s="4">
        <v>18380.009999999998</v>
      </c>
      <c r="F705" s="2" t="s">
        <v>14</v>
      </c>
      <c r="G705" s="5">
        <v>22</v>
      </c>
      <c r="H705" s="2" t="s">
        <v>15</v>
      </c>
      <c r="I705" s="2" t="s">
        <v>21</v>
      </c>
      <c r="J705" s="2" t="s">
        <v>49</v>
      </c>
      <c r="K705" s="2" t="s">
        <v>45</v>
      </c>
    </row>
    <row r="706" spans="1:11" x14ac:dyDescent="0.3">
      <c r="A706" s="2" t="s">
        <v>1051</v>
      </c>
      <c r="B706" s="2" t="s">
        <v>454</v>
      </c>
      <c r="C706" s="3">
        <v>45888.720138888893</v>
      </c>
      <c r="D706" s="2" t="s">
        <v>13</v>
      </c>
      <c r="E706" s="4">
        <v>3186.83</v>
      </c>
      <c r="F706" s="2" t="s">
        <v>14</v>
      </c>
      <c r="G706" s="5">
        <v>35</v>
      </c>
      <c r="H706" s="2" t="s">
        <v>15</v>
      </c>
      <c r="I706" s="2" t="s">
        <v>21</v>
      </c>
      <c r="J706" s="2" t="s">
        <v>17</v>
      </c>
      <c r="K706" s="2" t="s">
        <v>35</v>
      </c>
    </row>
    <row r="707" spans="1:11" x14ac:dyDescent="0.3">
      <c r="A707" s="2" t="s">
        <v>1052</v>
      </c>
      <c r="B707" s="2" t="s">
        <v>88</v>
      </c>
      <c r="C707" s="3">
        <v>45977.902083333327</v>
      </c>
      <c r="D707" s="2" t="s">
        <v>28</v>
      </c>
      <c r="E707" s="4">
        <v>9787.59</v>
      </c>
      <c r="F707" s="2" t="s">
        <v>14</v>
      </c>
      <c r="G707" s="5">
        <v>25</v>
      </c>
      <c r="H707" s="2" t="s">
        <v>29</v>
      </c>
      <c r="I707" s="2" t="s">
        <v>34</v>
      </c>
      <c r="J707" s="2" t="s">
        <v>49</v>
      </c>
      <c r="K707" s="2" t="s">
        <v>18</v>
      </c>
    </row>
    <row r="708" spans="1:11" x14ac:dyDescent="0.3">
      <c r="A708" s="2" t="s">
        <v>1053</v>
      </c>
      <c r="B708" s="2" t="s">
        <v>769</v>
      </c>
      <c r="C708" s="3">
        <v>45718.17083333333</v>
      </c>
      <c r="D708" s="2" t="s">
        <v>28</v>
      </c>
      <c r="E708" s="4">
        <v>30914.17</v>
      </c>
      <c r="F708" s="2" t="s">
        <v>14</v>
      </c>
      <c r="G708" s="5">
        <v>38</v>
      </c>
      <c r="H708" s="2" t="s">
        <v>15</v>
      </c>
      <c r="I708" s="2" t="s">
        <v>34</v>
      </c>
      <c r="J708" s="2" t="s">
        <v>17</v>
      </c>
      <c r="K708" s="2" t="s">
        <v>18</v>
      </c>
    </row>
    <row r="709" spans="1:11" x14ac:dyDescent="0.3">
      <c r="A709" s="2" t="s">
        <v>1054</v>
      </c>
      <c r="B709" s="2" t="s">
        <v>829</v>
      </c>
      <c r="C709" s="3">
        <v>45859.493055555547</v>
      </c>
      <c r="D709" s="2" t="s">
        <v>38</v>
      </c>
      <c r="E709" s="4">
        <v>2794.75</v>
      </c>
      <c r="F709" s="2" t="s">
        <v>14</v>
      </c>
      <c r="G709" s="5">
        <v>43</v>
      </c>
      <c r="H709" s="2" t="s">
        <v>15</v>
      </c>
      <c r="I709" s="2" t="s">
        <v>25</v>
      </c>
      <c r="J709" s="2" t="s">
        <v>52</v>
      </c>
      <c r="K709" s="2" t="s">
        <v>35</v>
      </c>
    </row>
    <row r="710" spans="1:11" x14ac:dyDescent="0.3">
      <c r="A710" s="2" t="s">
        <v>1055</v>
      </c>
      <c r="B710" s="2" t="s">
        <v>215</v>
      </c>
      <c r="C710" s="3">
        <v>45831.724305555559</v>
      </c>
      <c r="D710" s="2" t="s">
        <v>28</v>
      </c>
      <c r="E710" s="4">
        <v>52273.5</v>
      </c>
      <c r="F710" s="2" t="s">
        <v>14</v>
      </c>
      <c r="G710" s="5">
        <v>28</v>
      </c>
      <c r="H710" s="2" t="s">
        <v>15</v>
      </c>
      <c r="I710" s="2" t="s">
        <v>30</v>
      </c>
      <c r="J710" s="2" t="s">
        <v>17</v>
      </c>
      <c r="K710" s="2" t="s">
        <v>35</v>
      </c>
    </row>
    <row r="711" spans="1:11" x14ac:dyDescent="0.3">
      <c r="A711" s="2" t="s">
        <v>1056</v>
      </c>
      <c r="B711" s="2" t="s">
        <v>183</v>
      </c>
      <c r="C711" s="3">
        <v>45731.276388888888</v>
      </c>
      <c r="D711" s="2" t="s">
        <v>28</v>
      </c>
      <c r="E711" s="4">
        <v>2589.5500000000002</v>
      </c>
      <c r="F711" s="2" t="s">
        <v>57</v>
      </c>
      <c r="G711" s="5">
        <v>19</v>
      </c>
      <c r="H711" s="2" t="s">
        <v>29</v>
      </c>
      <c r="I711" s="2" t="s">
        <v>78</v>
      </c>
      <c r="J711" s="2" t="s">
        <v>44</v>
      </c>
      <c r="K711" s="2" t="s">
        <v>18</v>
      </c>
    </row>
    <row r="712" spans="1:11" x14ac:dyDescent="0.3">
      <c r="A712" s="2" t="s">
        <v>1057</v>
      </c>
      <c r="B712" s="2" t="s">
        <v>47</v>
      </c>
      <c r="C712" s="3">
        <v>45918.522222222222</v>
      </c>
      <c r="D712" s="2" t="s">
        <v>33</v>
      </c>
      <c r="E712" s="4">
        <v>30777.71</v>
      </c>
      <c r="F712" s="2" t="s">
        <v>14</v>
      </c>
      <c r="G712" s="5">
        <v>53</v>
      </c>
      <c r="H712" s="2" t="s">
        <v>15</v>
      </c>
      <c r="I712" s="2" t="s">
        <v>48</v>
      </c>
      <c r="J712" s="2" t="s">
        <v>49</v>
      </c>
      <c r="K712" s="2" t="s">
        <v>45</v>
      </c>
    </row>
    <row r="713" spans="1:11" x14ac:dyDescent="0.3">
      <c r="A713" s="2" t="s">
        <v>1058</v>
      </c>
      <c r="B713" s="2" t="s">
        <v>360</v>
      </c>
      <c r="C713" s="3">
        <v>45678.043055555558</v>
      </c>
      <c r="D713" s="2" t="s">
        <v>38</v>
      </c>
      <c r="E713" s="4">
        <v>3792.13</v>
      </c>
      <c r="F713" s="2" t="s">
        <v>14</v>
      </c>
      <c r="G713" s="5">
        <v>40</v>
      </c>
      <c r="H713" s="2" t="s">
        <v>15</v>
      </c>
      <c r="I713" s="2" t="s">
        <v>34</v>
      </c>
      <c r="J713" s="2" t="s">
        <v>17</v>
      </c>
      <c r="K713" s="2" t="s">
        <v>18</v>
      </c>
    </row>
    <row r="714" spans="1:11" x14ac:dyDescent="0.3">
      <c r="A714" s="2" t="s">
        <v>1059</v>
      </c>
      <c r="B714" s="2" t="s">
        <v>266</v>
      </c>
      <c r="C714" s="3">
        <v>45728.931250000001</v>
      </c>
      <c r="D714" s="2" t="s">
        <v>13</v>
      </c>
      <c r="E714" s="4">
        <v>1106.27</v>
      </c>
      <c r="F714" s="2" t="s">
        <v>14</v>
      </c>
      <c r="G714" s="5">
        <v>47</v>
      </c>
      <c r="H714" s="2" t="s">
        <v>29</v>
      </c>
      <c r="I714" s="2" t="s">
        <v>95</v>
      </c>
      <c r="J714" s="2" t="s">
        <v>44</v>
      </c>
      <c r="K714" s="2" t="s">
        <v>35</v>
      </c>
    </row>
    <row r="715" spans="1:11" x14ac:dyDescent="0.3">
      <c r="A715" s="2" t="s">
        <v>1060</v>
      </c>
      <c r="B715" s="2" t="s">
        <v>315</v>
      </c>
      <c r="C715" s="3">
        <v>45900.686805555553</v>
      </c>
      <c r="D715" s="2" t="s">
        <v>13</v>
      </c>
      <c r="E715" s="4">
        <v>802.73</v>
      </c>
      <c r="F715" s="2" t="s">
        <v>14</v>
      </c>
      <c r="G715" s="5">
        <v>40</v>
      </c>
      <c r="H715" s="2" t="s">
        <v>15</v>
      </c>
      <c r="I715" s="2" t="s">
        <v>34</v>
      </c>
      <c r="J715" s="2" t="s">
        <v>17</v>
      </c>
      <c r="K715" s="2" t="s">
        <v>45</v>
      </c>
    </row>
    <row r="716" spans="1:11" x14ac:dyDescent="0.3">
      <c r="A716" s="2" t="s">
        <v>1061</v>
      </c>
      <c r="B716" s="2" t="s">
        <v>380</v>
      </c>
      <c r="C716" s="3">
        <v>45734.831250000003</v>
      </c>
      <c r="D716" s="2" t="s">
        <v>28</v>
      </c>
      <c r="E716" s="4">
        <v>26855.5</v>
      </c>
      <c r="F716" s="2" t="s">
        <v>14</v>
      </c>
      <c r="G716" s="5">
        <v>32</v>
      </c>
      <c r="H716" s="2" t="s">
        <v>29</v>
      </c>
      <c r="I716" s="2" t="s">
        <v>34</v>
      </c>
      <c r="J716" s="2" t="s">
        <v>17</v>
      </c>
      <c r="K716" s="2" t="s">
        <v>22</v>
      </c>
    </row>
    <row r="717" spans="1:11" x14ac:dyDescent="0.3">
      <c r="A717" s="2" t="s">
        <v>1062</v>
      </c>
      <c r="B717" s="2" t="s">
        <v>209</v>
      </c>
      <c r="C717" s="3">
        <v>45921.180555555547</v>
      </c>
      <c r="D717" s="2" t="s">
        <v>28</v>
      </c>
      <c r="E717" s="4">
        <v>4429.6499999999996</v>
      </c>
      <c r="F717" s="2" t="s">
        <v>14</v>
      </c>
      <c r="G717" s="5">
        <v>50</v>
      </c>
      <c r="H717" s="2" t="s">
        <v>15</v>
      </c>
      <c r="I717" s="2" t="s">
        <v>60</v>
      </c>
      <c r="J717" s="2" t="s">
        <v>44</v>
      </c>
      <c r="K717" s="2" t="s">
        <v>35</v>
      </c>
    </row>
    <row r="718" spans="1:11" x14ac:dyDescent="0.3">
      <c r="A718" s="2" t="s">
        <v>1063</v>
      </c>
      <c r="B718" s="2" t="s">
        <v>286</v>
      </c>
      <c r="C718" s="3">
        <v>45971.423611111109</v>
      </c>
      <c r="D718" s="2" t="s">
        <v>28</v>
      </c>
      <c r="E718" s="4">
        <v>6399.82</v>
      </c>
      <c r="F718" s="2" t="s">
        <v>122</v>
      </c>
      <c r="G718" s="5">
        <v>60</v>
      </c>
      <c r="H718" s="2" t="s">
        <v>29</v>
      </c>
      <c r="I718" s="2" t="s">
        <v>21</v>
      </c>
      <c r="J718" s="2" t="s">
        <v>17</v>
      </c>
      <c r="K718" s="2" t="s">
        <v>18</v>
      </c>
    </row>
    <row r="719" spans="1:11" x14ac:dyDescent="0.3">
      <c r="A719" s="2" t="s">
        <v>1064</v>
      </c>
      <c r="B719" s="2" t="s">
        <v>130</v>
      </c>
      <c r="C719" s="3">
        <v>45859.824305555558</v>
      </c>
      <c r="D719" s="2" t="s">
        <v>13</v>
      </c>
      <c r="E719" s="4">
        <v>3788.16</v>
      </c>
      <c r="F719" s="2" t="s">
        <v>122</v>
      </c>
      <c r="G719" s="5">
        <v>38</v>
      </c>
      <c r="H719" s="2" t="s">
        <v>29</v>
      </c>
      <c r="I719" s="2" t="s">
        <v>48</v>
      </c>
      <c r="J719" s="2" t="s">
        <v>17</v>
      </c>
      <c r="K719" s="2" t="s">
        <v>18</v>
      </c>
    </row>
    <row r="720" spans="1:11" x14ac:dyDescent="0.3">
      <c r="A720" s="2" t="s">
        <v>1065</v>
      </c>
      <c r="B720" s="2" t="s">
        <v>1066</v>
      </c>
      <c r="C720" s="3">
        <v>45811.76458333333</v>
      </c>
      <c r="D720" s="2" t="s">
        <v>38</v>
      </c>
      <c r="E720" s="4">
        <v>1527.36</v>
      </c>
      <c r="F720" s="2" t="s">
        <v>57</v>
      </c>
      <c r="G720" s="5">
        <v>28</v>
      </c>
      <c r="H720" s="2" t="s">
        <v>29</v>
      </c>
      <c r="I720" s="2" t="s">
        <v>43</v>
      </c>
      <c r="J720" s="2" t="s">
        <v>17</v>
      </c>
      <c r="K720" s="2" t="s">
        <v>18</v>
      </c>
    </row>
    <row r="721" spans="1:11" x14ac:dyDescent="0.3">
      <c r="A721" s="2" t="s">
        <v>1067</v>
      </c>
      <c r="B721" s="2" t="s">
        <v>1068</v>
      </c>
      <c r="C721" s="3">
        <v>45917.69027777778</v>
      </c>
      <c r="D721" s="2" t="s">
        <v>33</v>
      </c>
      <c r="E721" s="4">
        <v>6525.12</v>
      </c>
      <c r="F721" s="2" t="s">
        <v>14</v>
      </c>
      <c r="G721" s="5">
        <v>40</v>
      </c>
      <c r="H721" s="2" t="s">
        <v>29</v>
      </c>
      <c r="I721" s="2" t="s">
        <v>60</v>
      </c>
      <c r="J721" s="2" t="s">
        <v>44</v>
      </c>
      <c r="K721" s="2" t="s">
        <v>18</v>
      </c>
    </row>
    <row r="722" spans="1:11" x14ac:dyDescent="0.3">
      <c r="A722" s="2" t="s">
        <v>1069</v>
      </c>
      <c r="B722" s="2" t="s">
        <v>372</v>
      </c>
      <c r="C722" s="3">
        <v>45908.941666666673</v>
      </c>
      <c r="D722" s="2" t="s">
        <v>13</v>
      </c>
      <c r="E722" s="4">
        <v>935.31</v>
      </c>
      <c r="F722" s="2" t="s">
        <v>14</v>
      </c>
      <c r="G722" s="5">
        <v>28</v>
      </c>
      <c r="H722" s="2" t="s">
        <v>29</v>
      </c>
      <c r="I722" s="2" t="s">
        <v>25</v>
      </c>
      <c r="J722" s="2" t="s">
        <v>17</v>
      </c>
      <c r="K722" s="2" t="s">
        <v>22</v>
      </c>
    </row>
    <row r="723" spans="1:11" x14ac:dyDescent="0.3">
      <c r="A723" s="2" t="s">
        <v>1070</v>
      </c>
      <c r="B723" s="2" t="s">
        <v>99</v>
      </c>
      <c r="C723" s="3">
        <v>45811.661111111112</v>
      </c>
      <c r="D723" s="2" t="s">
        <v>13</v>
      </c>
      <c r="E723" s="4">
        <v>1895.26</v>
      </c>
      <c r="F723" s="2" t="s">
        <v>14</v>
      </c>
      <c r="G723" s="5">
        <v>36</v>
      </c>
      <c r="H723" s="2" t="s">
        <v>15</v>
      </c>
      <c r="I723" s="2" t="s">
        <v>30</v>
      </c>
      <c r="J723" s="2" t="s">
        <v>17</v>
      </c>
      <c r="K723" s="2" t="s">
        <v>45</v>
      </c>
    </row>
    <row r="724" spans="1:11" x14ac:dyDescent="0.3">
      <c r="A724" s="2" t="s">
        <v>1071</v>
      </c>
      <c r="B724" s="2" t="s">
        <v>829</v>
      </c>
      <c r="C724" s="3">
        <v>45666.472916666673</v>
      </c>
      <c r="D724" s="2" t="s">
        <v>13</v>
      </c>
      <c r="E724" s="4">
        <v>1978.81</v>
      </c>
      <c r="F724" s="2" t="s">
        <v>14</v>
      </c>
      <c r="G724" s="5">
        <v>43</v>
      </c>
      <c r="H724" s="2" t="s">
        <v>15</v>
      </c>
      <c r="I724" s="2" t="s">
        <v>25</v>
      </c>
      <c r="J724" s="2" t="s">
        <v>52</v>
      </c>
      <c r="K724" s="2" t="s">
        <v>45</v>
      </c>
    </row>
    <row r="725" spans="1:11" x14ac:dyDescent="0.3">
      <c r="A725" s="2" t="s">
        <v>1072</v>
      </c>
      <c r="B725" s="2" t="s">
        <v>217</v>
      </c>
      <c r="C725" s="3">
        <v>46002.143055555563</v>
      </c>
      <c r="D725" s="2" t="s">
        <v>28</v>
      </c>
      <c r="E725" s="4">
        <v>24432.92</v>
      </c>
      <c r="F725" s="2" t="s">
        <v>14</v>
      </c>
      <c r="G725" s="5">
        <v>57</v>
      </c>
      <c r="H725" s="2" t="s">
        <v>15</v>
      </c>
      <c r="I725" s="2" t="s">
        <v>34</v>
      </c>
      <c r="J725" s="2" t="s">
        <v>44</v>
      </c>
      <c r="K725" s="2" t="s">
        <v>18</v>
      </c>
    </row>
    <row r="726" spans="1:11" x14ac:dyDescent="0.3">
      <c r="A726" s="2" t="s">
        <v>1073</v>
      </c>
      <c r="B726" s="2" t="s">
        <v>377</v>
      </c>
      <c r="C726" s="3">
        <v>45956.409722222219</v>
      </c>
      <c r="D726" s="2" t="s">
        <v>13</v>
      </c>
      <c r="E726" s="4">
        <v>236.96</v>
      </c>
      <c r="F726" s="2" t="s">
        <v>14</v>
      </c>
      <c r="G726" s="5">
        <v>39</v>
      </c>
      <c r="H726" s="2" t="s">
        <v>15</v>
      </c>
      <c r="I726" s="2" t="s">
        <v>43</v>
      </c>
      <c r="J726" s="2" t="s">
        <v>17</v>
      </c>
      <c r="K726" s="2" t="s">
        <v>45</v>
      </c>
    </row>
    <row r="727" spans="1:11" x14ac:dyDescent="0.3">
      <c r="A727" s="2" t="s">
        <v>1074</v>
      </c>
      <c r="B727" s="2" t="s">
        <v>73</v>
      </c>
      <c r="C727" s="3">
        <v>46010.834027777782</v>
      </c>
      <c r="D727" s="2" t="s">
        <v>28</v>
      </c>
      <c r="E727" s="4">
        <v>57543.23</v>
      </c>
      <c r="F727" s="2" t="s">
        <v>14</v>
      </c>
      <c r="G727" s="5">
        <v>33</v>
      </c>
      <c r="H727" s="2" t="s">
        <v>15</v>
      </c>
      <c r="I727" s="2" t="s">
        <v>21</v>
      </c>
      <c r="J727" s="2" t="s">
        <v>49</v>
      </c>
      <c r="K727" s="2" t="s">
        <v>45</v>
      </c>
    </row>
    <row r="728" spans="1:11" x14ac:dyDescent="0.3">
      <c r="A728" s="2" t="s">
        <v>1075</v>
      </c>
      <c r="B728" s="2" t="s">
        <v>527</v>
      </c>
      <c r="C728" s="3">
        <v>45963.636111111111</v>
      </c>
      <c r="D728" s="2" t="s">
        <v>28</v>
      </c>
      <c r="E728" s="4">
        <v>1014.67</v>
      </c>
      <c r="F728" s="2" t="s">
        <v>14</v>
      </c>
      <c r="G728" s="5">
        <v>31</v>
      </c>
      <c r="H728" s="2" t="s">
        <v>15</v>
      </c>
      <c r="I728" s="2" t="s">
        <v>60</v>
      </c>
      <c r="J728" s="2" t="s">
        <v>17</v>
      </c>
      <c r="K728" s="2" t="s">
        <v>18</v>
      </c>
    </row>
    <row r="729" spans="1:11" x14ac:dyDescent="0.3">
      <c r="A729" s="2" t="s">
        <v>1076</v>
      </c>
      <c r="B729" s="2" t="s">
        <v>1077</v>
      </c>
      <c r="C729" s="3">
        <v>45993.775000000001</v>
      </c>
      <c r="D729" s="2" t="s">
        <v>13</v>
      </c>
      <c r="E729" s="4">
        <v>1680.82</v>
      </c>
      <c r="F729" s="2" t="s">
        <v>14</v>
      </c>
      <c r="G729" s="5">
        <v>30</v>
      </c>
      <c r="H729" s="2" t="s">
        <v>29</v>
      </c>
      <c r="I729" s="2" t="s">
        <v>60</v>
      </c>
      <c r="J729" s="2" t="s">
        <v>49</v>
      </c>
      <c r="K729" s="2" t="s">
        <v>22</v>
      </c>
    </row>
    <row r="730" spans="1:11" x14ac:dyDescent="0.3">
      <c r="A730" s="2" t="s">
        <v>1078</v>
      </c>
      <c r="B730" s="2" t="s">
        <v>86</v>
      </c>
      <c r="C730" s="3">
        <v>45774.960416666669</v>
      </c>
      <c r="D730" s="2" t="s">
        <v>38</v>
      </c>
      <c r="E730" s="4">
        <v>1198.3699999999999</v>
      </c>
      <c r="F730" s="2" t="s">
        <v>14</v>
      </c>
      <c r="G730" s="5">
        <v>41</v>
      </c>
      <c r="H730" s="2" t="s">
        <v>29</v>
      </c>
      <c r="I730" s="2" t="s">
        <v>60</v>
      </c>
      <c r="J730" s="2" t="s">
        <v>17</v>
      </c>
      <c r="K730" s="2" t="s">
        <v>35</v>
      </c>
    </row>
    <row r="731" spans="1:11" x14ac:dyDescent="0.3">
      <c r="A731" s="2" t="s">
        <v>1079</v>
      </c>
      <c r="B731" s="2" t="s">
        <v>146</v>
      </c>
      <c r="C731" s="3">
        <v>45956.631944444453</v>
      </c>
      <c r="D731" s="2" t="s">
        <v>13</v>
      </c>
      <c r="E731" s="4">
        <v>3258.45</v>
      </c>
      <c r="F731" s="2" t="s">
        <v>14</v>
      </c>
      <c r="G731" s="5">
        <v>24</v>
      </c>
      <c r="H731" s="2" t="s">
        <v>15</v>
      </c>
      <c r="I731" s="2" t="s">
        <v>60</v>
      </c>
      <c r="J731" s="2" t="s">
        <v>17</v>
      </c>
      <c r="K731" s="2" t="s">
        <v>18</v>
      </c>
    </row>
    <row r="732" spans="1:11" x14ac:dyDescent="0.3">
      <c r="A732" s="2" t="s">
        <v>1080</v>
      </c>
      <c r="B732" s="2" t="s">
        <v>746</v>
      </c>
      <c r="C732" s="3">
        <v>45926.865277777782</v>
      </c>
      <c r="D732" s="2" t="s">
        <v>28</v>
      </c>
      <c r="E732" s="4">
        <v>2566.44</v>
      </c>
      <c r="F732" s="2" t="s">
        <v>14</v>
      </c>
      <c r="G732" s="5">
        <v>44</v>
      </c>
      <c r="H732" s="2" t="s">
        <v>15</v>
      </c>
      <c r="I732" s="2" t="s">
        <v>21</v>
      </c>
      <c r="J732" s="2" t="s">
        <v>17</v>
      </c>
      <c r="K732" s="2" t="s">
        <v>18</v>
      </c>
    </row>
    <row r="733" spans="1:11" x14ac:dyDescent="0.3">
      <c r="A733" s="2" t="s">
        <v>1081</v>
      </c>
      <c r="B733" s="2" t="s">
        <v>201</v>
      </c>
      <c r="C733" s="3">
        <v>45975.506249999999</v>
      </c>
      <c r="D733" s="2" t="s">
        <v>13</v>
      </c>
      <c r="E733" s="4">
        <v>2051.8200000000002</v>
      </c>
      <c r="F733" s="2" t="s">
        <v>14</v>
      </c>
      <c r="G733" s="5">
        <v>38</v>
      </c>
      <c r="H733" s="2" t="s">
        <v>29</v>
      </c>
      <c r="I733" s="2" t="s">
        <v>34</v>
      </c>
      <c r="J733" s="2" t="s">
        <v>44</v>
      </c>
      <c r="K733" s="2" t="s">
        <v>45</v>
      </c>
    </row>
    <row r="734" spans="1:11" x14ac:dyDescent="0.3">
      <c r="A734" s="2" t="s">
        <v>1082</v>
      </c>
      <c r="B734" s="2" t="s">
        <v>868</v>
      </c>
      <c r="C734" s="3">
        <v>46006.293055555558</v>
      </c>
      <c r="D734" s="2" t="s">
        <v>38</v>
      </c>
      <c r="E734" s="4">
        <v>3054.35</v>
      </c>
      <c r="F734" s="2" t="s">
        <v>14</v>
      </c>
      <c r="G734" s="5">
        <v>32</v>
      </c>
      <c r="H734" s="2" t="s">
        <v>15</v>
      </c>
      <c r="I734" s="2" t="s">
        <v>34</v>
      </c>
      <c r="J734" s="2" t="s">
        <v>17</v>
      </c>
      <c r="K734" s="2" t="s">
        <v>22</v>
      </c>
    </row>
    <row r="735" spans="1:11" x14ac:dyDescent="0.3">
      <c r="A735" s="2" t="s">
        <v>1083</v>
      </c>
      <c r="B735" s="2" t="s">
        <v>860</v>
      </c>
      <c r="C735" s="3">
        <v>45951.921527777777</v>
      </c>
      <c r="D735" s="2" t="s">
        <v>33</v>
      </c>
      <c r="E735" s="4">
        <v>1921.57</v>
      </c>
      <c r="F735" s="2" t="s">
        <v>14</v>
      </c>
      <c r="G735" s="5">
        <v>29</v>
      </c>
      <c r="H735" s="2" t="s">
        <v>15</v>
      </c>
      <c r="I735" s="2" t="s">
        <v>21</v>
      </c>
      <c r="J735" s="2" t="s">
        <v>52</v>
      </c>
      <c r="K735" s="2" t="s">
        <v>18</v>
      </c>
    </row>
    <row r="736" spans="1:11" x14ac:dyDescent="0.3">
      <c r="A736" s="2" t="s">
        <v>1084</v>
      </c>
      <c r="B736" s="2" t="s">
        <v>360</v>
      </c>
      <c r="C736" s="3">
        <v>45755.019444444442</v>
      </c>
      <c r="D736" s="2" t="s">
        <v>33</v>
      </c>
      <c r="E736" s="4">
        <v>8210.27</v>
      </c>
      <c r="F736" s="2" t="s">
        <v>14</v>
      </c>
      <c r="G736" s="5">
        <v>40</v>
      </c>
      <c r="H736" s="2" t="s">
        <v>15</v>
      </c>
      <c r="I736" s="2" t="s">
        <v>34</v>
      </c>
      <c r="J736" s="2" t="s">
        <v>17</v>
      </c>
      <c r="K736" s="2" t="s">
        <v>18</v>
      </c>
    </row>
    <row r="737" spans="1:11" x14ac:dyDescent="0.3">
      <c r="A737" s="2" t="s">
        <v>1085</v>
      </c>
      <c r="B737" s="2" t="s">
        <v>1086</v>
      </c>
      <c r="C737" s="3">
        <v>45818.54791666667</v>
      </c>
      <c r="D737" s="2" t="s">
        <v>28</v>
      </c>
      <c r="E737" s="4">
        <v>34422.629999999997</v>
      </c>
      <c r="F737" s="2" t="s">
        <v>14</v>
      </c>
      <c r="G737" s="5">
        <v>60</v>
      </c>
      <c r="H737" s="2" t="s">
        <v>15</v>
      </c>
      <c r="I737" s="2" t="s">
        <v>34</v>
      </c>
      <c r="J737" s="2" t="s">
        <v>44</v>
      </c>
      <c r="K737" s="2" t="s">
        <v>45</v>
      </c>
    </row>
    <row r="738" spans="1:11" x14ac:dyDescent="0.3">
      <c r="A738" s="2" t="s">
        <v>1087</v>
      </c>
      <c r="B738" s="2" t="s">
        <v>105</v>
      </c>
      <c r="C738" s="3">
        <v>45869.925694444442</v>
      </c>
      <c r="D738" s="2" t="s">
        <v>28</v>
      </c>
      <c r="E738" s="4">
        <v>25748.12</v>
      </c>
      <c r="F738" s="2" t="s">
        <v>14</v>
      </c>
      <c r="G738" s="5">
        <v>42</v>
      </c>
      <c r="H738" s="2" t="s">
        <v>15</v>
      </c>
      <c r="I738" s="2" t="s">
        <v>34</v>
      </c>
      <c r="J738" s="2" t="s">
        <v>49</v>
      </c>
      <c r="K738" s="2" t="s">
        <v>18</v>
      </c>
    </row>
    <row r="739" spans="1:11" x14ac:dyDescent="0.3">
      <c r="A739" s="2" t="s">
        <v>1088</v>
      </c>
      <c r="B739" s="2" t="s">
        <v>816</v>
      </c>
      <c r="C739" s="3">
        <v>45868.700694444437</v>
      </c>
      <c r="D739" s="2" t="s">
        <v>28</v>
      </c>
      <c r="E739" s="4">
        <v>21164.17</v>
      </c>
      <c r="F739" s="2" t="s">
        <v>14</v>
      </c>
      <c r="G739" s="5">
        <v>37</v>
      </c>
      <c r="H739" s="2" t="s">
        <v>15</v>
      </c>
      <c r="I739" s="2" t="s">
        <v>60</v>
      </c>
      <c r="J739" s="2" t="s">
        <v>44</v>
      </c>
      <c r="K739" s="2" t="s">
        <v>22</v>
      </c>
    </row>
    <row r="740" spans="1:11" x14ac:dyDescent="0.3">
      <c r="A740" s="2" t="s">
        <v>1089</v>
      </c>
      <c r="B740" s="2" t="s">
        <v>954</v>
      </c>
      <c r="C740" s="3">
        <v>45971.663194444453</v>
      </c>
      <c r="D740" s="2" t="s">
        <v>38</v>
      </c>
      <c r="E740" s="4">
        <v>8774.91</v>
      </c>
      <c r="F740" s="2" t="s">
        <v>14</v>
      </c>
      <c r="G740" s="5">
        <v>39</v>
      </c>
      <c r="H740" s="2" t="s">
        <v>29</v>
      </c>
      <c r="I740" s="2" t="s">
        <v>21</v>
      </c>
      <c r="J740" s="2" t="s">
        <v>17</v>
      </c>
      <c r="K740" s="2" t="s">
        <v>18</v>
      </c>
    </row>
    <row r="741" spans="1:11" x14ac:dyDescent="0.3">
      <c r="A741" s="2" t="s">
        <v>1090</v>
      </c>
      <c r="B741" s="2" t="s">
        <v>585</v>
      </c>
      <c r="C741" s="3">
        <v>45689.922222222223</v>
      </c>
      <c r="D741" s="2" t="s">
        <v>13</v>
      </c>
      <c r="E741" s="4">
        <v>424.38</v>
      </c>
      <c r="F741" s="2" t="s">
        <v>14</v>
      </c>
      <c r="G741" s="5">
        <v>25</v>
      </c>
      <c r="H741" s="2" t="s">
        <v>15</v>
      </c>
      <c r="I741" s="2" t="s">
        <v>95</v>
      </c>
      <c r="J741" s="2" t="s">
        <v>49</v>
      </c>
      <c r="K741" s="2" t="s">
        <v>35</v>
      </c>
    </row>
    <row r="742" spans="1:11" x14ac:dyDescent="0.3">
      <c r="A742" s="2" t="s">
        <v>1091</v>
      </c>
      <c r="B742" s="2" t="s">
        <v>24</v>
      </c>
      <c r="C742" s="3">
        <v>45923.274305555547</v>
      </c>
      <c r="D742" s="2" t="s">
        <v>33</v>
      </c>
      <c r="E742" s="4">
        <v>60557.11</v>
      </c>
      <c r="F742" s="2" t="s">
        <v>14</v>
      </c>
      <c r="G742" s="5">
        <v>35</v>
      </c>
      <c r="H742" s="2" t="s">
        <v>15</v>
      </c>
      <c r="I742" s="2" t="s">
        <v>25</v>
      </c>
      <c r="J742" s="2" t="s">
        <v>17</v>
      </c>
      <c r="K742" s="2" t="s">
        <v>18</v>
      </c>
    </row>
    <row r="743" spans="1:11" x14ac:dyDescent="0.3">
      <c r="A743" s="2" t="s">
        <v>1092</v>
      </c>
      <c r="B743" s="2" t="s">
        <v>930</v>
      </c>
      <c r="C743" s="3">
        <v>45824.895833333343</v>
      </c>
      <c r="D743" s="2" t="s">
        <v>38</v>
      </c>
      <c r="E743" s="4">
        <v>1727.77</v>
      </c>
      <c r="F743" s="2" t="s">
        <v>14</v>
      </c>
      <c r="G743" s="5">
        <v>27</v>
      </c>
      <c r="H743" s="2" t="s">
        <v>29</v>
      </c>
      <c r="I743" s="2" t="s">
        <v>16</v>
      </c>
      <c r="J743" s="2" t="s">
        <v>52</v>
      </c>
      <c r="K743" s="2" t="s">
        <v>45</v>
      </c>
    </row>
    <row r="744" spans="1:11" x14ac:dyDescent="0.3">
      <c r="A744" s="2" t="s">
        <v>1093</v>
      </c>
      <c r="B744" s="2" t="s">
        <v>662</v>
      </c>
      <c r="C744" s="3">
        <v>45927.513888888891</v>
      </c>
      <c r="D744" s="2" t="s">
        <v>13</v>
      </c>
      <c r="E744" s="4">
        <v>2325.54</v>
      </c>
      <c r="F744" s="2" t="s">
        <v>14</v>
      </c>
      <c r="G744" s="5">
        <v>45</v>
      </c>
      <c r="H744" s="2" t="s">
        <v>15</v>
      </c>
      <c r="I744" s="2" t="s">
        <v>34</v>
      </c>
      <c r="J744" s="2" t="s">
        <v>52</v>
      </c>
      <c r="K744" s="2" t="s">
        <v>35</v>
      </c>
    </row>
    <row r="745" spans="1:11" x14ac:dyDescent="0.3">
      <c r="A745" s="2" t="s">
        <v>1094</v>
      </c>
      <c r="B745" s="2" t="s">
        <v>662</v>
      </c>
      <c r="C745" s="3">
        <v>45746.623611111107</v>
      </c>
      <c r="D745" s="2" t="s">
        <v>28</v>
      </c>
      <c r="E745" s="4">
        <v>3217.86</v>
      </c>
      <c r="F745" s="2" t="s">
        <v>14</v>
      </c>
      <c r="G745" s="5">
        <v>45</v>
      </c>
      <c r="H745" s="2" t="s">
        <v>15</v>
      </c>
      <c r="I745" s="2" t="s">
        <v>34</v>
      </c>
      <c r="J745" s="2" t="s">
        <v>52</v>
      </c>
      <c r="K745" s="2" t="s">
        <v>45</v>
      </c>
    </row>
    <row r="746" spans="1:11" x14ac:dyDescent="0.3">
      <c r="A746" s="2" t="s">
        <v>1095</v>
      </c>
      <c r="B746" s="2" t="s">
        <v>228</v>
      </c>
      <c r="C746" s="3">
        <v>45930.44027777778</v>
      </c>
      <c r="D746" s="2" t="s">
        <v>38</v>
      </c>
      <c r="E746" s="4">
        <v>4155.9399999999996</v>
      </c>
      <c r="F746" s="2" t="s">
        <v>14</v>
      </c>
      <c r="G746" s="5">
        <v>45</v>
      </c>
      <c r="H746" s="2" t="s">
        <v>15</v>
      </c>
      <c r="I746" s="2" t="s">
        <v>48</v>
      </c>
      <c r="J746" s="2" t="s">
        <v>44</v>
      </c>
      <c r="K746" s="2" t="s">
        <v>18</v>
      </c>
    </row>
    <row r="747" spans="1:11" x14ac:dyDescent="0.3">
      <c r="A747" s="2" t="s">
        <v>1096</v>
      </c>
      <c r="B747" s="2" t="s">
        <v>464</v>
      </c>
      <c r="C747" s="3">
        <v>45839.90902777778</v>
      </c>
      <c r="D747" s="2" t="s">
        <v>38</v>
      </c>
      <c r="E747" s="4">
        <v>2849.18</v>
      </c>
      <c r="F747" s="2" t="s">
        <v>14</v>
      </c>
      <c r="G747" s="5">
        <v>35</v>
      </c>
      <c r="H747" s="2" t="s">
        <v>29</v>
      </c>
      <c r="I747" s="2" t="s">
        <v>34</v>
      </c>
      <c r="J747" s="2" t="s">
        <v>44</v>
      </c>
      <c r="K747" s="2" t="s">
        <v>18</v>
      </c>
    </row>
    <row r="748" spans="1:11" x14ac:dyDescent="0.3">
      <c r="A748" s="2" t="s">
        <v>1097</v>
      </c>
      <c r="B748" s="2" t="s">
        <v>207</v>
      </c>
      <c r="C748" s="3">
        <v>46006.868750000001</v>
      </c>
      <c r="D748" s="2" t="s">
        <v>28</v>
      </c>
      <c r="E748" s="4">
        <v>6472.54</v>
      </c>
      <c r="F748" s="2" t="s">
        <v>14</v>
      </c>
      <c r="G748" s="5">
        <v>33</v>
      </c>
      <c r="H748" s="2" t="s">
        <v>15</v>
      </c>
      <c r="I748" s="2" t="s">
        <v>34</v>
      </c>
      <c r="J748" s="2" t="s">
        <v>49</v>
      </c>
      <c r="K748" s="2" t="s">
        <v>18</v>
      </c>
    </row>
    <row r="749" spans="1:11" x14ac:dyDescent="0.3">
      <c r="A749" s="2" t="s">
        <v>1098</v>
      </c>
      <c r="B749" s="2" t="s">
        <v>980</v>
      </c>
      <c r="C749" s="3">
        <v>46012.36041666667</v>
      </c>
      <c r="D749" s="2" t="s">
        <v>13</v>
      </c>
      <c r="E749" s="4">
        <v>649.13</v>
      </c>
      <c r="F749" s="2" t="s">
        <v>14</v>
      </c>
      <c r="G749" s="5">
        <v>43</v>
      </c>
      <c r="H749" s="2" t="s">
        <v>15</v>
      </c>
      <c r="I749" s="2" t="s">
        <v>78</v>
      </c>
      <c r="J749" s="2" t="s">
        <v>17</v>
      </c>
      <c r="K749" s="2" t="s">
        <v>18</v>
      </c>
    </row>
    <row r="750" spans="1:11" x14ac:dyDescent="0.3">
      <c r="A750" s="2" t="s">
        <v>1099</v>
      </c>
      <c r="B750" s="2" t="s">
        <v>315</v>
      </c>
      <c r="C750" s="3">
        <v>45905.260416666657</v>
      </c>
      <c r="D750" s="2" t="s">
        <v>38</v>
      </c>
      <c r="E750" s="4">
        <v>12220.23</v>
      </c>
      <c r="F750" s="2" t="s">
        <v>14</v>
      </c>
      <c r="G750" s="5">
        <v>40</v>
      </c>
      <c r="H750" s="2" t="s">
        <v>15</v>
      </c>
      <c r="I750" s="2" t="s">
        <v>34</v>
      </c>
      <c r="J750" s="2" t="s">
        <v>17</v>
      </c>
      <c r="K750" s="2" t="s">
        <v>22</v>
      </c>
    </row>
    <row r="751" spans="1:11" x14ac:dyDescent="0.3">
      <c r="A751" s="2" t="s">
        <v>1100</v>
      </c>
      <c r="B751" s="2" t="s">
        <v>1101</v>
      </c>
      <c r="C751" s="3">
        <v>45800.72152777778</v>
      </c>
      <c r="D751" s="2" t="s">
        <v>28</v>
      </c>
      <c r="E751" s="4">
        <v>9331.17</v>
      </c>
      <c r="F751" s="2" t="s">
        <v>14</v>
      </c>
      <c r="G751" s="5">
        <v>38</v>
      </c>
      <c r="H751" s="2" t="s">
        <v>15</v>
      </c>
      <c r="I751" s="2" t="s">
        <v>21</v>
      </c>
      <c r="J751" s="2" t="s">
        <v>44</v>
      </c>
      <c r="K751" s="2" t="s">
        <v>18</v>
      </c>
    </row>
    <row r="752" spans="1:11" x14ac:dyDescent="0.3">
      <c r="A752" s="2" t="s">
        <v>1102</v>
      </c>
      <c r="B752" s="2" t="s">
        <v>513</v>
      </c>
      <c r="C752" s="3">
        <v>45773.40902777778</v>
      </c>
      <c r="D752" s="2" t="s">
        <v>28</v>
      </c>
      <c r="E752" s="4">
        <v>68125.56</v>
      </c>
      <c r="F752" s="2" t="s">
        <v>14</v>
      </c>
      <c r="G752" s="5">
        <v>42</v>
      </c>
      <c r="H752" s="2" t="s">
        <v>29</v>
      </c>
      <c r="I752" s="2" t="s">
        <v>95</v>
      </c>
      <c r="J752" s="2" t="s">
        <v>44</v>
      </c>
      <c r="K752" s="2" t="s">
        <v>35</v>
      </c>
    </row>
    <row r="753" spans="1:11" x14ac:dyDescent="0.3">
      <c r="A753" s="2" t="s">
        <v>1103</v>
      </c>
      <c r="B753" s="2" t="s">
        <v>92</v>
      </c>
      <c r="C753" s="3">
        <v>45805.925694444442</v>
      </c>
      <c r="D753" s="2" t="s">
        <v>38</v>
      </c>
      <c r="E753" s="4">
        <v>7667.3</v>
      </c>
      <c r="F753" s="2" t="s">
        <v>14</v>
      </c>
      <c r="G753" s="5">
        <v>31</v>
      </c>
      <c r="H753" s="2" t="s">
        <v>29</v>
      </c>
      <c r="I753" s="2" t="s">
        <v>60</v>
      </c>
      <c r="J753" s="2" t="s">
        <v>44</v>
      </c>
      <c r="K753" s="2" t="s">
        <v>18</v>
      </c>
    </row>
    <row r="754" spans="1:11" x14ac:dyDescent="0.3">
      <c r="A754" s="2" t="s">
        <v>1104</v>
      </c>
      <c r="B754" s="2" t="s">
        <v>173</v>
      </c>
      <c r="C754" s="3">
        <v>46011.938194444447</v>
      </c>
      <c r="D754" s="2" t="s">
        <v>28</v>
      </c>
      <c r="E754" s="4">
        <v>24890.799999999999</v>
      </c>
      <c r="F754" s="2" t="s">
        <v>14</v>
      </c>
      <c r="G754" s="5">
        <v>24</v>
      </c>
      <c r="H754" s="2" t="s">
        <v>15</v>
      </c>
      <c r="I754" s="2" t="s">
        <v>30</v>
      </c>
      <c r="J754" s="2" t="s">
        <v>49</v>
      </c>
      <c r="K754" s="2" t="s">
        <v>45</v>
      </c>
    </row>
    <row r="755" spans="1:11" x14ac:dyDescent="0.3">
      <c r="A755" s="2" t="s">
        <v>1105</v>
      </c>
      <c r="B755" s="2" t="s">
        <v>485</v>
      </c>
      <c r="C755" s="3">
        <v>45820.640277777777</v>
      </c>
      <c r="D755" s="2" t="s">
        <v>33</v>
      </c>
      <c r="E755" s="4">
        <v>1657.63</v>
      </c>
      <c r="F755" s="2" t="s">
        <v>14</v>
      </c>
      <c r="G755" s="5">
        <v>20</v>
      </c>
      <c r="H755" s="2" t="s">
        <v>15</v>
      </c>
      <c r="I755" s="2" t="s">
        <v>60</v>
      </c>
      <c r="J755" s="2" t="s">
        <v>17</v>
      </c>
      <c r="K755" s="2" t="s">
        <v>18</v>
      </c>
    </row>
    <row r="756" spans="1:11" x14ac:dyDescent="0.3">
      <c r="A756" s="2" t="s">
        <v>1106</v>
      </c>
      <c r="B756" s="2" t="s">
        <v>642</v>
      </c>
      <c r="C756" s="3">
        <v>45944.970138888893</v>
      </c>
      <c r="D756" s="2" t="s">
        <v>13</v>
      </c>
      <c r="E756" s="4">
        <v>905.54</v>
      </c>
      <c r="F756" s="2" t="s">
        <v>14</v>
      </c>
      <c r="G756" s="5">
        <v>23</v>
      </c>
      <c r="H756" s="2" t="s">
        <v>29</v>
      </c>
      <c r="I756" s="2" t="s">
        <v>16</v>
      </c>
      <c r="J756" s="2" t="s">
        <v>44</v>
      </c>
      <c r="K756" s="2" t="s">
        <v>18</v>
      </c>
    </row>
    <row r="757" spans="1:11" x14ac:dyDescent="0.3">
      <c r="A757" s="2" t="s">
        <v>1107</v>
      </c>
      <c r="B757" s="2" t="s">
        <v>311</v>
      </c>
      <c r="C757" s="3">
        <v>45805.15</v>
      </c>
      <c r="D757" s="2" t="s">
        <v>13</v>
      </c>
      <c r="E757" s="4">
        <v>1018.04</v>
      </c>
      <c r="F757" s="2" t="s">
        <v>14</v>
      </c>
      <c r="G757" s="5">
        <v>56</v>
      </c>
      <c r="H757" s="2" t="s">
        <v>29</v>
      </c>
      <c r="I757" s="2" t="s">
        <v>60</v>
      </c>
      <c r="J757" s="2" t="s">
        <v>49</v>
      </c>
      <c r="K757" s="2" t="s">
        <v>18</v>
      </c>
    </row>
    <row r="758" spans="1:11" x14ac:dyDescent="0.3">
      <c r="A758" s="2" t="s">
        <v>1108</v>
      </c>
      <c r="B758" s="2" t="s">
        <v>128</v>
      </c>
      <c r="C758" s="3">
        <v>46004.724999999999</v>
      </c>
      <c r="D758" s="2" t="s">
        <v>28</v>
      </c>
      <c r="E758" s="4">
        <v>33711.300000000003</v>
      </c>
      <c r="F758" s="2" t="s">
        <v>14</v>
      </c>
      <c r="G758" s="5">
        <v>26</v>
      </c>
      <c r="H758" s="2" t="s">
        <v>15</v>
      </c>
      <c r="I758" s="2" t="s">
        <v>95</v>
      </c>
      <c r="J758" s="2" t="s">
        <v>44</v>
      </c>
      <c r="K758" s="2" t="s">
        <v>18</v>
      </c>
    </row>
    <row r="759" spans="1:11" x14ac:dyDescent="0.3">
      <c r="A759" s="2" t="s">
        <v>1109</v>
      </c>
      <c r="B759" s="2" t="s">
        <v>660</v>
      </c>
      <c r="C759" s="3">
        <v>45860.492361111108</v>
      </c>
      <c r="D759" s="2" t="s">
        <v>28</v>
      </c>
      <c r="E759" s="4">
        <v>12901.14</v>
      </c>
      <c r="F759" s="2" t="s">
        <v>14</v>
      </c>
      <c r="G759" s="5">
        <v>50</v>
      </c>
      <c r="H759" s="2" t="s">
        <v>15</v>
      </c>
      <c r="I759" s="2" t="s">
        <v>34</v>
      </c>
      <c r="J759" s="2" t="s">
        <v>49</v>
      </c>
      <c r="K759" s="2" t="s">
        <v>45</v>
      </c>
    </row>
    <row r="760" spans="1:11" x14ac:dyDescent="0.3">
      <c r="A760" s="2" t="s">
        <v>1110</v>
      </c>
      <c r="B760" s="2" t="s">
        <v>115</v>
      </c>
      <c r="C760" s="3">
        <v>45732.376388888893</v>
      </c>
      <c r="D760" s="2" t="s">
        <v>28</v>
      </c>
      <c r="E760" s="4">
        <v>8339.5</v>
      </c>
      <c r="F760" s="2" t="s">
        <v>14</v>
      </c>
      <c r="G760" s="5">
        <v>42</v>
      </c>
      <c r="H760" s="2" t="s">
        <v>29</v>
      </c>
      <c r="I760" s="2" t="s">
        <v>34</v>
      </c>
      <c r="J760" s="2" t="s">
        <v>44</v>
      </c>
      <c r="K760" s="2" t="s">
        <v>18</v>
      </c>
    </row>
    <row r="761" spans="1:11" x14ac:dyDescent="0.3">
      <c r="A761" s="2" t="s">
        <v>1111</v>
      </c>
      <c r="B761" s="2" t="s">
        <v>752</v>
      </c>
      <c r="C761" s="3">
        <v>45805.920138888891</v>
      </c>
      <c r="D761" s="2" t="s">
        <v>13</v>
      </c>
      <c r="E761" s="4">
        <v>814.52</v>
      </c>
      <c r="F761" s="2" t="s">
        <v>14</v>
      </c>
      <c r="G761" s="5">
        <v>20</v>
      </c>
      <c r="H761" s="2" t="s">
        <v>15</v>
      </c>
      <c r="I761" s="2" t="s">
        <v>48</v>
      </c>
      <c r="J761" s="2" t="s">
        <v>17</v>
      </c>
      <c r="K761" s="2" t="s">
        <v>18</v>
      </c>
    </row>
    <row r="762" spans="1:11" x14ac:dyDescent="0.3">
      <c r="A762" s="2" t="s">
        <v>1112</v>
      </c>
      <c r="B762" s="2" t="s">
        <v>103</v>
      </c>
      <c r="C762" s="3">
        <v>45835.611805555563</v>
      </c>
      <c r="D762" s="2" t="s">
        <v>28</v>
      </c>
      <c r="E762" s="4">
        <v>28213.599999999999</v>
      </c>
      <c r="F762" s="2" t="s">
        <v>14</v>
      </c>
      <c r="G762" s="5">
        <v>43</v>
      </c>
      <c r="H762" s="2" t="s">
        <v>29</v>
      </c>
      <c r="I762" s="2" t="s">
        <v>34</v>
      </c>
      <c r="J762" s="2" t="s">
        <v>17</v>
      </c>
      <c r="K762" s="2" t="s">
        <v>35</v>
      </c>
    </row>
    <row r="763" spans="1:11" x14ac:dyDescent="0.3">
      <c r="A763" s="2" t="s">
        <v>1113</v>
      </c>
      <c r="B763" s="2" t="s">
        <v>301</v>
      </c>
      <c r="C763" s="3">
        <v>45789.979166666657</v>
      </c>
      <c r="D763" s="2" t="s">
        <v>28</v>
      </c>
      <c r="E763" s="4">
        <v>26963.48</v>
      </c>
      <c r="F763" s="2" t="s">
        <v>14</v>
      </c>
      <c r="G763" s="5">
        <v>49</v>
      </c>
      <c r="H763" s="2" t="s">
        <v>15</v>
      </c>
      <c r="I763" s="2" t="s">
        <v>60</v>
      </c>
      <c r="J763" s="2" t="s">
        <v>17</v>
      </c>
      <c r="K763" s="2" t="s">
        <v>18</v>
      </c>
    </row>
    <row r="764" spans="1:11" x14ac:dyDescent="0.3">
      <c r="A764" s="2" t="s">
        <v>1114</v>
      </c>
      <c r="B764" s="2" t="s">
        <v>403</v>
      </c>
      <c r="C764" s="3">
        <v>45767.286111111112</v>
      </c>
      <c r="D764" s="2" t="s">
        <v>38</v>
      </c>
      <c r="E764" s="4">
        <v>2493.29</v>
      </c>
      <c r="F764" s="2" t="s">
        <v>14</v>
      </c>
      <c r="G764" s="5">
        <v>31</v>
      </c>
      <c r="H764" s="2" t="s">
        <v>15</v>
      </c>
      <c r="I764" s="2" t="s">
        <v>34</v>
      </c>
      <c r="J764" s="2" t="s">
        <v>52</v>
      </c>
      <c r="K764" s="2" t="s">
        <v>18</v>
      </c>
    </row>
    <row r="765" spans="1:11" x14ac:dyDescent="0.3">
      <c r="A765" s="2" t="s">
        <v>1115</v>
      </c>
      <c r="B765" s="2" t="s">
        <v>847</v>
      </c>
      <c r="C765" s="3">
        <v>45933.374305555553</v>
      </c>
      <c r="D765" s="2" t="s">
        <v>28</v>
      </c>
      <c r="E765" s="4">
        <v>47675.26</v>
      </c>
      <c r="F765" s="2" t="s">
        <v>14</v>
      </c>
      <c r="G765" s="5">
        <v>39</v>
      </c>
      <c r="H765" s="2" t="s">
        <v>15</v>
      </c>
      <c r="I765" s="2" t="s">
        <v>60</v>
      </c>
      <c r="J765" s="2" t="s">
        <v>17</v>
      </c>
      <c r="K765" s="2" t="s">
        <v>18</v>
      </c>
    </row>
    <row r="766" spans="1:11" x14ac:dyDescent="0.3">
      <c r="A766" s="2" t="s">
        <v>1116</v>
      </c>
      <c r="B766" s="2" t="s">
        <v>732</v>
      </c>
      <c r="C766" s="3">
        <v>45945.928472222222</v>
      </c>
      <c r="D766" s="2" t="s">
        <v>28</v>
      </c>
      <c r="E766" s="4">
        <v>32545.78</v>
      </c>
      <c r="F766" s="2" t="s">
        <v>14</v>
      </c>
      <c r="G766" s="5">
        <v>36</v>
      </c>
      <c r="H766" s="2" t="s">
        <v>29</v>
      </c>
      <c r="I766" s="2" t="s">
        <v>43</v>
      </c>
      <c r="J766" s="2" t="s">
        <v>49</v>
      </c>
      <c r="K766" s="2" t="s">
        <v>18</v>
      </c>
    </row>
    <row r="767" spans="1:11" x14ac:dyDescent="0.3">
      <c r="A767" s="2" t="s">
        <v>1117</v>
      </c>
      <c r="B767" s="2" t="s">
        <v>1118</v>
      </c>
      <c r="C767" s="3">
        <v>45728.152083333327</v>
      </c>
      <c r="D767" s="2" t="s">
        <v>13</v>
      </c>
      <c r="E767" s="4">
        <v>3546.87</v>
      </c>
      <c r="F767" s="2" t="s">
        <v>14</v>
      </c>
      <c r="G767" s="5">
        <v>33</v>
      </c>
      <c r="H767" s="2" t="s">
        <v>29</v>
      </c>
      <c r="I767" s="2" t="s">
        <v>34</v>
      </c>
      <c r="J767" s="2" t="s">
        <v>52</v>
      </c>
      <c r="K767" s="2" t="s">
        <v>45</v>
      </c>
    </row>
    <row r="768" spans="1:11" x14ac:dyDescent="0.3">
      <c r="A768" s="2" t="s">
        <v>1119</v>
      </c>
      <c r="B768" s="2" t="s">
        <v>440</v>
      </c>
      <c r="C768" s="3">
        <v>45958.302083333343</v>
      </c>
      <c r="D768" s="2" t="s">
        <v>13</v>
      </c>
      <c r="E768" s="4">
        <v>352.65</v>
      </c>
      <c r="F768" s="2" t="s">
        <v>14</v>
      </c>
      <c r="G768" s="5">
        <v>23</v>
      </c>
      <c r="H768" s="2" t="s">
        <v>29</v>
      </c>
      <c r="I768" s="2" t="s">
        <v>34</v>
      </c>
      <c r="J768" s="2" t="s">
        <v>49</v>
      </c>
      <c r="K768" s="2" t="s">
        <v>18</v>
      </c>
    </row>
    <row r="769" spans="1:11" x14ac:dyDescent="0.3">
      <c r="A769" s="2" t="s">
        <v>1120</v>
      </c>
      <c r="B769" s="2" t="s">
        <v>366</v>
      </c>
      <c r="C769" s="3">
        <v>45683.914583333331</v>
      </c>
      <c r="D769" s="2" t="s">
        <v>13</v>
      </c>
      <c r="E769" s="4">
        <v>3757.88</v>
      </c>
      <c r="F769" s="2" t="s">
        <v>14</v>
      </c>
      <c r="G769" s="5">
        <v>28</v>
      </c>
      <c r="H769" s="2" t="s">
        <v>15</v>
      </c>
      <c r="I769" s="2" t="s">
        <v>34</v>
      </c>
      <c r="J769" s="2" t="s">
        <v>49</v>
      </c>
      <c r="K769" s="2" t="s">
        <v>18</v>
      </c>
    </row>
    <row r="770" spans="1:11" x14ac:dyDescent="0.3">
      <c r="A770" s="2" t="s">
        <v>1121</v>
      </c>
      <c r="B770" s="2" t="s">
        <v>32</v>
      </c>
      <c r="C770" s="3">
        <v>45929.319444444453</v>
      </c>
      <c r="D770" s="2" t="s">
        <v>33</v>
      </c>
      <c r="E770" s="4">
        <v>1823.94</v>
      </c>
      <c r="F770" s="2" t="s">
        <v>57</v>
      </c>
      <c r="G770" s="5">
        <v>53</v>
      </c>
      <c r="H770" s="2" t="s">
        <v>15</v>
      </c>
      <c r="I770" s="2" t="s">
        <v>34</v>
      </c>
      <c r="J770" s="2" t="s">
        <v>17</v>
      </c>
      <c r="K770" s="2" t="s">
        <v>35</v>
      </c>
    </row>
    <row r="771" spans="1:11" x14ac:dyDescent="0.3">
      <c r="A771" s="2" t="s">
        <v>1122</v>
      </c>
      <c r="B771" s="2" t="s">
        <v>388</v>
      </c>
      <c r="C771" s="3">
        <v>45777.04583333333</v>
      </c>
      <c r="D771" s="2" t="s">
        <v>38</v>
      </c>
      <c r="E771" s="4">
        <v>11563.07</v>
      </c>
      <c r="F771" s="2" t="s">
        <v>14</v>
      </c>
      <c r="G771" s="5">
        <v>31</v>
      </c>
      <c r="H771" s="2" t="s">
        <v>15</v>
      </c>
      <c r="I771" s="2" t="s">
        <v>34</v>
      </c>
      <c r="J771" s="2" t="s">
        <v>17</v>
      </c>
      <c r="K771" s="2" t="s">
        <v>18</v>
      </c>
    </row>
    <row r="772" spans="1:11" x14ac:dyDescent="0.3">
      <c r="A772" s="2" t="s">
        <v>1123</v>
      </c>
      <c r="B772" s="2" t="s">
        <v>597</v>
      </c>
      <c r="C772" s="3">
        <v>45869.447916666657</v>
      </c>
      <c r="D772" s="2" t="s">
        <v>28</v>
      </c>
      <c r="E772" s="4">
        <v>39280.129999999997</v>
      </c>
      <c r="F772" s="2" t="s">
        <v>14</v>
      </c>
      <c r="G772" s="5">
        <v>43</v>
      </c>
      <c r="H772" s="2" t="s">
        <v>15</v>
      </c>
      <c r="I772" s="2" t="s">
        <v>48</v>
      </c>
      <c r="J772" s="2" t="s">
        <v>49</v>
      </c>
      <c r="K772" s="2" t="s">
        <v>35</v>
      </c>
    </row>
    <row r="773" spans="1:11" x14ac:dyDescent="0.3">
      <c r="A773" s="2" t="s">
        <v>1124</v>
      </c>
      <c r="B773" s="2" t="s">
        <v>12</v>
      </c>
      <c r="C773" s="3">
        <v>45899.154861111107</v>
      </c>
      <c r="D773" s="2" t="s">
        <v>33</v>
      </c>
      <c r="E773" s="4">
        <v>9467.41</v>
      </c>
      <c r="F773" s="2" t="s">
        <v>14</v>
      </c>
      <c r="G773" s="5">
        <v>47</v>
      </c>
      <c r="H773" s="2" t="s">
        <v>15</v>
      </c>
      <c r="I773" s="2" t="s">
        <v>16</v>
      </c>
      <c r="J773" s="2" t="s">
        <v>17</v>
      </c>
      <c r="K773" s="2" t="s">
        <v>35</v>
      </c>
    </row>
    <row r="774" spans="1:11" x14ac:dyDescent="0.3">
      <c r="A774" s="2" t="s">
        <v>1125</v>
      </c>
      <c r="B774" s="2" t="s">
        <v>730</v>
      </c>
      <c r="C774" s="3">
        <v>45728.024305555547</v>
      </c>
      <c r="D774" s="2" t="s">
        <v>38</v>
      </c>
      <c r="E774" s="4">
        <v>10542.39</v>
      </c>
      <c r="F774" s="2" t="s">
        <v>14</v>
      </c>
      <c r="G774" s="5">
        <v>40</v>
      </c>
      <c r="H774" s="2" t="s">
        <v>15</v>
      </c>
      <c r="I774" s="2" t="s">
        <v>34</v>
      </c>
      <c r="J774" s="2" t="s">
        <v>17</v>
      </c>
      <c r="K774" s="2" t="s">
        <v>18</v>
      </c>
    </row>
    <row r="775" spans="1:11" x14ac:dyDescent="0.3">
      <c r="A775" s="2" t="s">
        <v>1126</v>
      </c>
      <c r="B775" s="2" t="s">
        <v>752</v>
      </c>
      <c r="C775" s="3">
        <v>45738.570138888892</v>
      </c>
      <c r="D775" s="2" t="s">
        <v>38</v>
      </c>
      <c r="E775" s="4">
        <v>21621.74</v>
      </c>
      <c r="F775" s="2" t="s">
        <v>14</v>
      </c>
      <c r="G775" s="5">
        <v>20</v>
      </c>
      <c r="H775" s="2" t="s">
        <v>15</v>
      </c>
      <c r="I775" s="2" t="s">
        <v>48</v>
      </c>
      <c r="J775" s="2" t="s">
        <v>17</v>
      </c>
      <c r="K775" s="2" t="s">
        <v>45</v>
      </c>
    </row>
    <row r="776" spans="1:11" x14ac:dyDescent="0.3">
      <c r="A776" s="2" t="s">
        <v>1127</v>
      </c>
      <c r="B776" s="2" t="s">
        <v>732</v>
      </c>
      <c r="C776" s="3">
        <v>45901.65347222222</v>
      </c>
      <c r="D776" s="2" t="s">
        <v>33</v>
      </c>
      <c r="E776" s="4">
        <v>4794.99</v>
      </c>
      <c r="F776" s="2" t="s">
        <v>14</v>
      </c>
      <c r="G776" s="5">
        <v>36</v>
      </c>
      <c r="H776" s="2" t="s">
        <v>29</v>
      </c>
      <c r="I776" s="2" t="s">
        <v>43</v>
      </c>
      <c r="J776" s="2" t="s">
        <v>49</v>
      </c>
      <c r="K776" s="2" t="s">
        <v>18</v>
      </c>
    </row>
    <row r="777" spans="1:11" x14ac:dyDescent="0.3">
      <c r="A777" s="2" t="s">
        <v>1128</v>
      </c>
      <c r="B777" s="2" t="s">
        <v>211</v>
      </c>
      <c r="C777" s="3">
        <v>45760.388888888891</v>
      </c>
      <c r="D777" s="2" t="s">
        <v>28</v>
      </c>
      <c r="E777" s="4">
        <v>24704.39</v>
      </c>
      <c r="F777" s="2" t="s">
        <v>14</v>
      </c>
      <c r="G777" s="5">
        <v>30</v>
      </c>
      <c r="H777" s="2" t="s">
        <v>15</v>
      </c>
      <c r="I777" s="2" t="s">
        <v>16</v>
      </c>
      <c r="J777" s="2" t="s">
        <v>17</v>
      </c>
      <c r="K777" s="2" t="s">
        <v>18</v>
      </c>
    </row>
    <row r="778" spans="1:11" x14ac:dyDescent="0.3">
      <c r="A778" s="2" t="s">
        <v>1129</v>
      </c>
      <c r="B778" s="2" t="s">
        <v>1130</v>
      </c>
      <c r="C778" s="3">
        <v>45804.835416666669</v>
      </c>
      <c r="D778" s="2" t="s">
        <v>154</v>
      </c>
      <c r="E778" s="4">
        <v>40000</v>
      </c>
      <c r="F778" s="2" t="s">
        <v>14</v>
      </c>
      <c r="G778" s="5">
        <v>36</v>
      </c>
      <c r="H778" s="2" t="s">
        <v>29</v>
      </c>
      <c r="I778" s="2" t="s">
        <v>34</v>
      </c>
      <c r="J778" s="2" t="s">
        <v>52</v>
      </c>
      <c r="K778" s="2" t="s">
        <v>18</v>
      </c>
    </row>
    <row r="779" spans="1:11" x14ac:dyDescent="0.3">
      <c r="A779" s="2" t="s">
        <v>1131</v>
      </c>
      <c r="B779" s="2" t="s">
        <v>366</v>
      </c>
      <c r="C779" s="3">
        <v>45703.85833333333</v>
      </c>
      <c r="D779" s="2" t="s">
        <v>13</v>
      </c>
      <c r="E779" s="4">
        <v>1164.3800000000001</v>
      </c>
      <c r="F779" s="2" t="s">
        <v>14</v>
      </c>
      <c r="G779" s="5">
        <v>28</v>
      </c>
      <c r="H779" s="2" t="s">
        <v>15</v>
      </c>
      <c r="I779" s="2" t="s">
        <v>34</v>
      </c>
      <c r="J779" s="2" t="s">
        <v>49</v>
      </c>
      <c r="K779" s="2" t="s">
        <v>18</v>
      </c>
    </row>
    <row r="780" spans="1:11" x14ac:dyDescent="0.3">
      <c r="A780" s="2" t="s">
        <v>1132</v>
      </c>
      <c r="B780" s="2" t="s">
        <v>619</v>
      </c>
      <c r="C780" s="3">
        <v>45776.740972222222</v>
      </c>
      <c r="D780" s="2" t="s">
        <v>28</v>
      </c>
      <c r="E780" s="4">
        <v>9941.48</v>
      </c>
      <c r="F780" s="2" t="s">
        <v>14</v>
      </c>
      <c r="G780" s="5">
        <v>51</v>
      </c>
      <c r="H780" s="2" t="s">
        <v>15</v>
      </c>
      <c r="I780" s="2" t="s">
        <v>34</v>
      </c>
      <c r="J780" s="2" t="s">
        <v>17</v>
      </c>
      <c r="K780" s="2" t="s">
        <v>35</v>
      </c>
    </row>
    <row r="781" spans="1:11" x14ac:dyDescent="0.3">
      <c r="A781" s="2" t="s">
        <v>1133</v>
      </c>
      <c r="B781" s="2" t="s">
        <v>80</v>
      </c>
      <c r="C781" s="3">
        <v>45677.226388888892</v>
      </c>
      <c r="D781" s="2" t="s">
        <v>33</v>
      </c>
      <c r="E781" s="4">
        <v>6535.4</v>
      </c>
      <c r="F781" s="2" t="s">
        <v>14</v>
      </c>
      <c r="G781" s="5">
        <v>27</v>
      </c>
      <c r="H781" s="2" t="s">
        <v>29</v>
      </c>
      <c r="I781" s="2" t="s">
        <v>60</v>
      </c>
      <c r="J781" s="2" t="s">
        <v>17</v>
      </c>
      <c r="K781" s="2" t="s">
        <v>18</v>
      </c>
    </row>
    <row r="782" spans="1:11" x14ac:dyDescent="0.3">
      <c r="A782" s="2" t="s">
        <v>1134</v>
      </c>
      <c r="B782" s="2" t="s">
        <v>343</v>
      </c>
      <c r="C782" s="3">
        <v>45748.078472222223</v>
      </c>
      <c r="D782" s="2" t="s">
        <v>13</v>
      </c>
      <c r="E782" s="4">
        <v>235.22</v>
      </c>
      <c r="F782" s="2" t="s">
        <v>14</v>
      </c>
      <c r="G782" s="5">
        <v>38</v>
      </c>
      <c r="H782" s="2" t="s">
        <v>15</v>
      </c>
      <c r="I782" s="2" t="s">
        <v>34</v>
      </c>
      <c r="J782" s="2" t="s">
        <v>17</v>
      </c>
      <c r="K782" s="2" t="s">
        <v>22</v>
      </c>
    </row>
    <row r="783" spans="1:11" x14ac:dyDescent="0.3">
      <c r="A783" s="2" t="s">
        <v>1135</v>
      </c>
      <c r="B783" s="2" t="s">
        <v>354</v>
      </c>
      <c r="C783" s="3">
        <v>45861.632638888892</v>
      </c>
      <c r="D783" s="2" t="s">
        <v>13</v>
      </c>
      <c r="E783" s="4">
        <v>2423.0100000000002</v>
      </c>
      <c r="F783" s="2" t="s">
        <v>14</v>
      </c>
      <c r="G783" s="5">
        <v>22</v>
      </c>
      <c r="H783" s="2" t="s">
        <v>29</v>
      </c>
      <c r="I783" s="2" t="s">
        <v>16</v>
      </c>
      <c r="J783" s="2" t="s">
        <v>17</v>
      </c>
      <c r="K783" s="2" t="s">
        <v>18</v>
      </c>
    </row>
    <row r="784" spans="1:11" x14ac:dyDescent="0.3">
      <c r="A784" s="2" t="s">
        <v>1136</v>
      </c>
      <c r="B784" s="2" t="s">
        <v>152</v>
      </c>
      <c r="C784" s="3">
        <v>45806.041666666657</v>
      </c>
      <c r="D784" s="2" t="s">
        <v>28</v>
      </c>
      <c r="E784" s="4">
        <v>48810.080000000002</v>
      </c>
      <c r="F784" s="2" t="s">
        <v>14</v>
      </c>
      <c r="G784" s="5">
        <v>31</v>
      </c>
      <c r="H784" s="2" t="s">
        <v>15</v>
      </c>
      <c r="I784" s="2" t="s">
        <v>34</v>
      </c>
      <c r="J784" s="2" t="s">
        <v>49</v>
      </c>
      <c r="K784" s="2" t="s">
        <v>45</v>
      </c>
    </row>
    <row r="785" spans="1:11" x14ac:dyDescent="0.3">
      <c r="A785" s="2" t="s">
        <v>1137</v>
      </c>
      <c r="B785" s="2" t="s">
        <v>551</v>
      </c>
      <c r="C785" s="3">
        <v>45810.776388888888</v>
      </c>
      <c r="D785" s="2" t="s">
        <v>13</v>
      </c>
      <c r="E785" s="4">
        <v>382.36</v>
      </c>
      <c r="F785" s="2" t="s">
        <v>14</v>
      </c>
      <c r="G785" s="5">
        <v>32</v>
      </c>
      <c r="H785" s="2" t="s">
        <v>15</v>
      </c>
      <c r="I785" s="2" t="s">
        <v>34</v>
      </c>
      <c r="J785" s="2" t="s">
        <v>44</v>
      </c>
      <c r="K785" s="2" t="s">
        <v>18</v>
      </c>
    </row>
    <row r="786" spans="1:11" x14ac:dyDescent="0.3">
      <c r="A786" s="2" t="s">
        <v>1138</v>
      </c>
      <c r="B786" s="2" t="s">
        <v>258</v>
      </c>
      <c r="C786" s="3">
        <v>45712.429166666669</v>
      </c>
      <c r="D786" s="2" t="s">
        <v>28</v>
      </c>
      <c r="E786" s="4">
        <v>24965.919999999998</v>
      </c>
      <c r="F786" s="2" t="s">
        <v>14</v>
      </c>
      <c r="G786" s="5">
        <v>58</v>
      </c>
      <c r="H786" s="2" t="s">
        <v>29</v>
      </c>
      <c r="I786" s="2" t="s">
        <v>30</v>
      </c>
      <c r="J786" s="2" t="s">
        <v>49</v>
      </c>
      <c r="K786" s="2" t="s">
        <v>18</v>
      </c>
    </row>
    <row r="787" spans="1:11" x14ac:dyDescent="0.3">
      <c r="A787" s="2" t="s">
        <v>1139</v>
      </c>
      <c r="B787" s="2" t="s">
        <v>215</v>
      </c>
      <c r="C787" s="3">
        <v>45890.856944444437</v>
      </c>
      <c r="D787" s="2" t="s">
        <v>13</v>
      </c>
      <c r="E787" s="4">
        <v>3060.58</v>
      </c>
      <c r="F787" s="2" t="s">
        <v>14</v>
      </c>
      <c r="G787" s="5">
        <v>28</v>
      </c>
      <c r="H787" s="2" t="s">
        <v>15</v>
      </c>
      <c r="I787" s="2" t="s">
        <v>30</v>
      </c>
      <c r="J787" s="2" t="s">
        <v>17</v>
      </c>
      <c r="K787" s="2" t="s">
        <v>18</v>
      </c>
    </row>
    <row r="788" spans="1:11" x14ac:dyDescent="0.3">
      <c r="A788" s="2" t="s">
        <v>1140</v>
      </c>
      <c r="B788" s="2" t="s">
        <v>315</v>
      </c>
      <c r="C788" s="3">
        <v>45926.663888888892</v>
      </c>
      <c r="D788" s="2" t="s">
        <v>28</v>
      </c>
      <c r="E788" s="4">
        <v>4090.01</v>
      </c>
      <c r="F788" s="2" t="s">
        <v>14</v>
      </c>
      <c r="G788" s="5">
        <v>40</v>
      </c>
      <c r="H788" s="2" t="s">
        <v>15</v>
      </c>
      <c r="I788" s="2" t="s">
        <v>34</v>
      </c>
      <c r="J788" s="2" t="s">
        <v>17</v>
      </c>
      <c r="K788" s="2" t="s">
        <v>18</v>
      </c>
    </row>
    <row r="789" spans="1:11" x14ac:dyDescent="0.3">
      <c r="A789" s="2" t="s">
        <v>1141</v>
      </c>
      <c r="B789" s="2" t="s">
        <v>121</v>
      </c>
      <c r="C789" s="3">
        <v>45726.686805555553</v>
      </c>
      <c r="D789" s="2" t="s">
        <v>28</v>
      </c>
      <c r="E789" s="4">
        <v>21364.14</v>
      </c>
      <c r="F789" s="2" t="s">
        <v>14</v>
      </c>
      <c r="G789" s="5">
        <v>21</v>
      </c>
      <c r="H789" s="2" t="s">
        <v>29</v>
      </c>
      <c r="I789" s="2" t="s">
        <v>16</v>
      </c>
      <c r="J789" s="2" t="s">
        <v>17</v>
      </c>
      <c r="K789" s="2" t="s">
        <v>35</v>
      </c>
    </row>
    <row r="790" spans="1:11" x14ac:dyDescent="0.3">
      <c r="A790" s="2" t="s">
        <v>1142</v>
      </c>
      <c r="B790" s="2" t="s">
        <v>71</v>
      </c>
      <c r="C790" s="3">
        <v>45797.285416666673</v>
      </c>
      <c r="D790" s="2" t="s">
        <v>28</v>
      </c>
      <c r="E790" s="4">
        <v>25242.87</v>
      </c>
      <c r="F790" s="2" t="s">
        <v>14</v>
      </c>
      <c r="G790" s="5">
        <v>42</v>
      </c>
      <c r="H790" s="2" t="s">
        <v>15</v>
      </c>
      <c r="I790" s="2" t="s">
        <v>60</v>
      </c>
      <c r="J790" s="2" t="s">
        <v>17</v>
      </c>
      <c r="K790" s="2" t="s">
        <v>22</v>
      </c>
    </row>
    <row r="791" spans="1:11" x14ac:dyDescent="0.3">
      <c r="A791" s="2" t="s">
        <v>1143</v>
      </c>
      <c r="B791" s="2" t="s">
        <v>395</v>
      </c>
      <c r="C791" s="3">
        <v>45715.423611111109</v>
      </c>
      <c r="D791" s="2" t="s">
        <v>28</v>
      </c>
      <c r="E791" s="4">
        <v>8468.44</v>
      </c>
      <c r="F791" s="2" t="s">
        <v>14</v>
      </c>
      <c r="G791" s="5">
        <v>24</v>
      </c>
      <c r="H791" s="2" t="s">
        <v>15</v>
      </c>
      <c r="I791" s="2" t="s">
        <v>21</v>
      </c>
      <c r="J791" s="2" t="s">
        <v>17</v>
      </c>
      <c r="K791" s="2" t="s">
        <v>18</v>
      </c>
    </row>
    <row r="792" spans="1:11" x14ac:dyDescent="0.3">
      <c r="A792" s="2" t="s">
        <v>1144</v>
      </c>
      <c r="B792" s="2" t="s">
        <v>185</v>
      </c>
      <c r="C792" s="3">
        <v>45892.844444444447</v>
      </c>
      <c r="D792" s="2" t="s">
        <v>13</v>
      </c>
      <c r="E792" s="4">
        <v>2553.6</v>
      </c>
      <c r="F792" s="2" t="s">
        <v>14</v>
      </c>
      <c r="G792" s="5">
        <v>28</v>
      </c>
      <c r="H792" s="2" t="s">
        <v>29</v>
      </c>
      <c r="I792" s="2" t="s">
        <v>34</v>
      </c>
      <c r="J792" s="2" t="s">
        <v>17</v>
      </c>
      <c r="K792" s="2" t="s">
        <v>18</v>
      </c>
    </row>
    <row r="793" spans="1:11" x14ac:dyDescent="0.3">
      <c r="A793" s="2" t="s">
        <v>1145</v>
      </c>
      <c r="B793" s="2" t="s">
        <v>336</v>
      </c>
      <c r="C793" s="3">
        <v>45753.032638888893</v>
      </c>
      <c r="D793" s="2" t="s">
        <v>28</v>
      </c>
      <c r="E793" s="4">
        <v>30159.47</v>
      </c>
      <c r="F793" s="2" t="s">
        <v>14</v>
      </c>
      <c r="G793" s="5">
        <v>32</v>
      </c>
      <c r="H793" s="2" t="s">
        <v>29</v>
      </c>
      <c r="I793" s="2" t="s">
        <v>78</v>
      </c>
      <c r="J793" s="2" t="s">
        <v>52</v>
      </c>
      <c r="K793" s="2" t="s">
        <v>18</v>
      </c>
    </row>
    <row r="794" spans="1:11" x14ac:dyDescent="0.3">
      <c r="A794" s="2" t="s">
        <v>1146</v>
      </c>
      <c r="B794" s="2" t="s">
        <v>211</v>
      </c>
      <c r="C794" s="3">
        <v>45830.400000000001</v>
      </c>
      <c r="D794" s="2" t="s">
        <v>28</v>
      </c>
      <c r="E794" s="4">
        <v>26943.68</v>
      </c>
      <c r="F794" s="2" t="s">
        <v>14</v>
      </c>
      <c r="G794" s="5">
        <v>30</v>
      </c>
      <c r="H794" s="2" t="s">
        <v>15</v>
      </c>
      <c r="I794" s="2" t="s">
        <v>16</v>
      </c>
      <c r="J794" s="2" t="s">
        <v>17</v>
      </c>
      <c r="K794" s="2" t="s">
        <v>18</v>
      </c>
    </row>
    <row r="795" spans="1:11" x14ac:dyDescent="0.3">
      <c r="A795" s="2" t="s">
        <v>1147</v>
      </c>
      <c r="B795" s="2" t="s">
        <v>307</v>
      </c>
      <c r="C795" s="3">
        <v>46003.257638888892</v>
      </c>
      <c r="D795" s="2" t="s">
        <v>33</v>
      </c>
      <c r="E795" s="4">
        <v>14814.42</v>
      </c>
      <c r="F795" s="2" t="s">
        <v>14</v>
      </c>
      <c r="G795" s="5">
        <v>53</v>
      </c>
      <c r="H795" s="2" t="s">
        <v>29</v>
      </c>
      <c r="I795" s="2" t="s">
        <v>34</v>
      </c>
      <c r="J795" s="2" t="s">
        <v>52</v>
      </c>
      <c r="K795" s="2" t="s">
        <v>18</v>
      </c>
    </row>
    <row r="796" spans="1:11" x14ac:dyDescent="0.3">
      <c r="A796" s="2" t="s">
        <v>1148</v>
      </c>
      <c r="B796" s="2" t="s">
        <v>393</v>
      </c>
      <c r="C796" s="3">
        <v>45970.872916666667</v>
      </c>
      <c r="D796" s="2" t="s">
        <v>28</v>
      </c>
      <c r="E796" s="4">
        <v>4433.1499999999996</v>
      </c>
      <c r="F796" s="2" t="s">
        <v>14</v>
      </c>
      <c r="G796" s="5">
        <v>52</v>
      </c>
      <c r="H796" s="2" t="s">
        <v>29</v>
      </c>
      <c r="I796" s="2" t="s">
        <v>48</v>
      </c>
      <c r="J796" s="2" t="s">
        <v>49</v>
      </c>
      <c r="K796" s="2" t="s">
        <v>18</v>
      </c>
    </row>
    <row r="797" spans="1:11" x14ac:dyDescent="0.3">
      <c r="A797" s="2" t="s">
        <v>1149</v>
      </c>
      <c r="B797" s="2" t="s">
        <v>541</v>
      </c>
      <c r="C797" s="3">
        <v>45865.563888888893</v>
      </c>
      <c r="D797" s="2" t="s">
        <v>13</v>
      </c>
      <c r="E797" s="4">
        <v>1002.25</v>
      </c>
      <c r="F797" s="2" t="s">
        <v>57</v>
      </c>
      <c r="G797" s="5">
        <v>57</v>
      </c>
      <c r="H797" s="2" t="s">
        <v>15</v>
      </c>
      <c r="I797" s="2" t="s">
        <v>34</v>
      </c>
      <c r="J797" s="2" t="s">
        <v>44</v>
      </c>
      <c r="K797" s="2" t="s">
        <v>18</v>
      </c>
    </row>
    <row r="798" spans="1:11" x14ac:dyDescent="0.3">
      <c r="A798" s="2" t="s">
        <v>1150</v>
      </c>
      <c r="B798" s="2" t="s">
        <v>71</v>
      </c>
      <c r="C798" s="3">
        <v>45825.100694444453</v>
      </c>
      <c r="D798" s="2" t="s">
        <v>33</v>
      </c>
      <c r="E798" s="4">
        <v>2123.79</v>
      </c>
      <c r="F798" s="2" t="s">
        <v>14</v>
      </c>
      <c r="G798" s="5">
        <v>42</v>
      </c>
      <c r="H798" s="2" t="s">
        <v>15</v>
      </c>
      <c r="I798" s="2" t="s">
        <v>60</v>
      </c>
      <c r="J798" s="2" t="s">
        <v>17</v>
      </c>
      <c r="K798" s="2" t="s">
        <v>45</v>
      </c>
    </row>
    <row r="799" spans="1:11" x14ac:dyDescent="0.3">
      <c r="A799" s="2" t="s">
        <v>1151</v>
      </c>
      <c r="B799" s="2" t="s">
        <v>67</v>
      </c>
      <c r="C799" s="3">
        <v>46000.132638888892</v>
      </c>
      <c r="D799" s="2" t="s">
        <v>28</v>
      </c>
      <c r="E799" s="4">
        <v>5958.02</v>
      </c>
      <c r="F799" s="2" t="s">
        <v>14</v>
      </c>
      <c r="G799" s="5">
        <v>29</v>
      </c>
      <c r="H799" s="2" t="s">
        <v>15</v>
      </c>
      <c r="I799" s="2" t="s">
        <v>34</v>
      </c>
      <c r="J799" s="2" t="s">
        <v>44</v>
      </c>
      <c r="K799" s="2" t="s">
        <v>18</v>
      </c>
    </row>
    <row r="800" spans="1:11" x14ac:dyDescent="0.3">
      <c r="A800" s="2" t="s">
        <v>1152</v>
      </c>
      <c r="B800" s="2" t="s">
        <v>240</v>
      </c>
      <c r="C800" s="3">
        <v>45729.638888888891</v>
      </c>
      <c r="D800" s="2" t="s">
        <v>13</v>
      </c>
      <c r="E800" s="4">
        <v>2805.85</v>
      </c>
      <c r="F800" s="2" t="s">
        <v>14</v>
      </c>
      <c r="G800" s="5">
        <v>37</v>
      </c>
      <c r="H800" s="2" t="s">
        <v>15</v>
      </c>
      <c r="I800" s="2" t="s">
        <v>34</v>
      </c>
      <c r="J800" s="2" t="s">
        <v>44</v>
      </c>
      <c r="K800" s="2" t="s">
        <v>18</v>
      </c>
    </row>
    <row r="801" spans="1:11" x14ac:dyDescent="0.3">
      <c r="A801" s="2" t="s">
        <v>1153</v>
      </c>
      <c r="B801" s="2" t="s">
        <v>808</v>
      </c>
      <c r="C801" s="3">
        <v>45785.011111111111</v>
      </c>
      <c r="D801" s="2" t="s">
        <v>33</v>
      </c>
      <c r="E801" s="4">
        <v>4997.6899999999996</v>
      </c>
      <c r="F801" s="2" t="s">
        <v>14</v>
      </c>
      <c r="G801" s="5">
        <v>26</v>
      </c>
      <c r="H801" s="2" t="s">
        <v>15</v>
      </c>
      <c r="I801" s="2" t="s">
        <v>34</v>
      </c>
      <c r="J801" s="2" t="s">
        <v>17</v>
      </c>
      <c r="K801" s="2" t="s">
        <v>35</v>
      </c>
    </row>
    <row r="802" spans="1:11" x14ac:dyDescent="0.3">
      <c r="A802" s="2" t="s">
        <v>1154</v>
      </c>
      <c r="B802" s="2" t="s">
        <v>374</v>
      </c>
      <c r="C802" s="3">
        <v>45854.311111111107</v>
      </c>
      <c r="D802" s="2" t="s">
        <v>28</v>
      </c>
      <c r="E802" s="4">
        <v>4502.97</v>
      </c>
      <c r="F802" s="2" t="s">
        <v>57</v>
      </c>
      <c r="G802" s="5">
        <v>28</v>
      </c>
      <c r="H802" s="2" t="s">
        <v>29</v>
      </c>
      <c r="I802" s="2" t="s">
        <v>21</v>
      </c>
      <c r="J802" s="2" t="s">
        <v>17</v>
      </c>
      <c r="K802" s="2" t="s">
        <v>18</v>
      </c>
    </row>
    <row r="803" spans="1:11" x14ac:dyDescent="0.3">
      <c r="A803" s="2" t="s">
        <v>1155</v>
      </c>
      <c r="B803" s="2" t="s">
        <v>357</v>
      </c>
      <c r="C803" s="3">
        <v>45794.429861111108</v>
      </c>
      <c r="D803" s="2" t="s">
        <v>28</v>
      </c>
      <c r="E803" s="4">
        <v>42894.559999999998</v>
      </c>
      <c r="F803" s="2" t="s">
        <v>14</v>
      </c>
      <c r="G803" s="5">
        <v>57</v>
      </c>
      <c r="H803" s="2" t="s">
        <v>15</v>
      </c>
      <c r="I803" s="2" t="s">
        <v>16</v>
      </c>
      <c r="J803" s="2" t="s">
        <v>44</v>
      </c>
      <c r="K803" s="2" t="s">
        <v>45</v>
      </c>
    </row>
    <row r="804" spans="1:11" x14ac:dyDescent="0.3">
      <c r="A804" s="2" t="s">
        <v>1156</v>
      </c>
      <c r="B804" s="2" t="s">
        <v>524</v>
      </c>
      <c r="C804" s="3">
        <v>45956.98333333333</v>
      </c>
      <c r="D804" s="2" t="s">
        <v>13</v>
      </c>
      <c r="E804" s="4">
        <v>2812.76</v>
      </c>
      <c r="F804" s="2" t="s">
        <v>57</v>
      </c>
      <c r="G804" s="5">
        <v>42</v>
      </c>
      <c r="H804" s="2" t="s">
        <v>15</v>
      </c>
      <c r="I804" s="2" t="s">
        <v>34</v>
      </c>
      <c r="J804" s="2" t="s">
        <v>52</v>
      </c>
      <c r="K804" s="2" t="s">
        <v>45</v>
      </c>
    </row>
    <row r="805" spans="1:11" x14ac:dyDescent="0.3">
      <c r="A805" s="2" t="s">
        <v>1157</v>
      </c>
      <c r="B805" s="2" t="s">
        <v>440</v>
      </c>
      <c r="C805" s="3">
        <v>45663.361805555563</v>
      </c>
      <c r="D805" s="2" t="s">
        <v>33</v>
      </c>
      <c r="E805" s="4">
        <v>12771.43</v>
      </c>
      <c r="F805" s="2" t="s">
        <v>14</v>
      </c>
      <c r="G805" s="5">
        <v>23</v>
      </c>
      <c r="H805" s="2" t="s">
        <v>29</v>
      </c>
      <c r="I805" s="2" t="s">
        <v>34</v>
      </c>
      <c r="J805" s="2" t="s">
        <v>49</v>
      </c>
      <c r="K805" s="2" t="s">
        <v>18</v>
      </c>
    </row>
    <row r="806" spans="1:11" x14ac:dyDescent="0.3">
      <c r="A806" s="2" t="s">
        <v>1158</v>
      </c>
      <c r="B806" s="2" t="s">
        <v>126</v>
      </c>
      <c r="C806" s="3">
        <v>45842.927083333343</v>
      </c>
      <c r="D806" s="2" t="s">
        <v>13</v>
      </c>
      <c r="E806" s="4">
        <v>2927.32</v>
      </c>
      <c r="F806" s="2" t="s">
        <v>14</v>
      </c>
      <c r="G806" s="5">
        <v>49</v>
      </c>
      <c r="H806" s="2" t="s">
        <v>29</v>
      </c>
      <c r="I806" s="2" t="s">
        <v>16</v>
      </c>
      <c r="J806" s="2" t="s">
        <v>17</v>
      </c>
      <c r="K806" s="2" t="s">
        <v>18</v>
      </c>
    </row>
    <row r="807" spans="1:11" x14ac:dyDescent="0.3">
      <c r="A807" s="2" t="s">
        <v>1159</v>
      </c>
      <c r="B807" s="2" t="s">
        <v>623</v>
      </c>
      <c r="C807" s="3">
        <v>45689.879861111112</v>
      </c>
      <c r="D807" s="2" t="s">
        <v>28</v>
      </c>
      <c r="E807" s="4">
        <v>18934.46</v>
      </c>
      <c r="F807" s="2" t="s">
        <v>57</v>
      </c>
      <c r="G807" s="5">
        <v>47</v>
      </c>
      <c r="H807" s="2" t="s">
        <v>15</v>
      </c>
      <c r="I807" s="2" t="s">
        <v>48</v>
      </c>
      <c r="J807" s="2" t="s">
        <v>49</v>
      </c>
      <c r="K807" s="2" t="s">
        <v>18</v>
      </c>
    </row>
    <row r="808" spans="1:11" x14ac:dyDescent="0.3">
      <c r="A808" s="2" t="s">
        <v>1160</v>
      </c>
      <c r="B808" s="2" t="s">
        <v>784</v>
      </c>
      <c r="C808" s="3">
        <v>45896.381944444453</v>
      </c>
      <c r="D808" s="2" t="s">
        <v>154</v>
      </c>
      <c r="E808" s="4">
        <v>5000</v>
      </c>
      <c r="F808" s="2" t="s">
        <v>14</v>
      </c>
      <c r="G808" s="5">
        <v>24</v>
      </c>
      <c r="H808" s="2" t="s">
        <v>15</v>
      </c>
      <c r="I808" s="2" t="s">
        <v>34</v>
      </c>
      <c r="J808" s="2" t="s">
        <v>17</v>
      </c>
      <c r="K808" s="2" t="s">
        <v>35</v>
      </c>
    </row>
    <row r="809" spans="1:11" x14ac:dyDescent="0.3">
      <c r="A809" s="2" t="s">
        <v>1161</v>
      </c>
      <c r="B809" s="2" t="s">
        <v>452</v>
      </c>
      <c r="C809" s="3">
        <v>45865.897222222222</v>
      </c>
      <c r="D809" s="2" t="s">
        <v>28</v>
      </c>
      <c r="E809" s="4">
        <v>3406.54</v>
      </c>
      <c r="F809" s="2" t="s">
        <v>14</v>
      </c>
      <c r="G809" s="5">
        <v>47</v>
      </c>
      <c r="H809" s="2" t="s">
        <v>15</v>
      </c>
      <c r="I809" s="2" t="s">
        <v>34</v>
      </c>
      <c r="J809" s="2" t="s">
        <v>17</v>
      </c>
      <c r="K809" s="2" t="s">
        <v>22</v>
      </c>
    </row>
    <row r="810" spans="1:11" x14ac:dyDescent="0.3">
      <c r="A810" s="2" t="s">
        <v>1162</v>
      </c>
      <c r="B810" s="2" t="s">
        <v>513</v>
      </c>
      <c r="C810" s="3">
        <v>46018.405555555553</v>
      </c>
      <c r="D810" s="2" t="s">
        <v>28</v>
      </c>
      <c r="E810" s="4">
        <v>3377.01</v>
      </c>
      <c r="F810" s="2" t="s">
        <v>14</v>
      </c>
      <c r="G810" s="5">
        <v>42</v>
      </c>
      <c r="H810" s="2" t="s">
        <v>29</v>
      </c>
      <c r="I810" s="2" t="s">
        <v>95</v>
      </c>
      <c r="J810" s="2" t="s">
        <v>44</v>
      </c>
      <c r="K810" s="2" t="s">
        <v>18</v>
      </c>
    </row>
    <row r="811" spans="1:11" x14ac:dyDescent="0.3">
      <c r="A811" s="2" t="s">
        <v>1163</v>
      </c>
      <c r="B811" s="2" t="s">
        <v>543</v>
      </c>
      <c r="C811" s="3">
        <v>45718.873611111107</v>
      </c>
      <c r="D811" s="2" t="s">
        <v>28</v>
      </c>
      <c r="E811" s="4">
        <v>18765.599999999999</v>
      </c>
      <c r="F811" s="2" t="s">
        <v>14</v>
      </c>
      <c r="G811" s="5">
        <v>41</v>
      </c>
      <c r="H811" s="2" t="s">
        <v>15</v>
      </c>
      <c r="I811" s="2" t="s">
        <v>34</v>
      </c>
      <c r="J811" s="2" t="s">
        <v>44</v>
      </c>
      <c r="K811" s="2" t="s">
        <v>18</v>
      </c>
    </row>
    <row r="812" spans="1:11" x14ac:dyDescent="0.3">
      <c r="A812" s="2" t="s">
        <v>1164</v>
      </c>
      <c r="B812" s="2" t="s">
        <v>390</v>
      </c>
      <c r="C812" s="3">
        <v>45809.48541666667</v>
      </c>
      <c r="D812" s="2" t="s">
        <v>33</v>
      </c>
      <c r="E812" s="4">
        <v>29599.37</v>
      </c>
      <c r="F812" s="2" t="s">
        <v>14</v>
      </c>
      <c r="G812" s="5">
        <v>35</v>
      </c>
      <c r="H812" s="2" t="s">
        <v>15</v>
      </c>
      <c r="I812" s="2" t="s">
        <v>25</v>
      </c>
      <c r="J812" s="2" t="s">
        <v>17</v>
      </c>
      <c r="K812" s="2" t="s">
        <v>45</v>
      </c>
    </row>
    <row r="813" spans="1:11" x14ac:dyDescent="0.3">
      <c r="A813" s="2" t="s">
        <v>1165</v>
      </c>
      <c r="B813" s="2" t="s">
        <v>64</v>
      </c>
      <c r="C813" s="3">
        <v>45771.297222222223</v>
      </c>
      <c r="D813" s="2" t="s">
        <v>28</v>
      </c>
      <c r="E813" s="4">
        <v>15722.14</v>
      </c>
      <c r="F813" s="2" t="s">
        <v>14</v>
      </c>
      <c r="G813" s="5">
        <v>51</v>
      </c>
      <c r="H813" s="2" t="s">
        <v>29</v>
      </c>
      <c r="I813" s="2" t="s">
        <v>25</v>
      </c>
      <c r="J813" s="2" t="s">
        <v>44</v>
      </c>
      <c r="K813" s="2" t="s">
        <v>18</v>
      </c>
    </row>
    <row r="814" spans="1:11" x14ac:dyDescent="0.3">
      <c r="A814" s="2" t="s">
        <v>1166</v>
      </c>
      <c r="B814" s="2" t="s">
        <v>806</v>
      </c>
      <c r="C814" s="3">
        <v>45902.186805555553</v>
      </c>
      <c r="D814" s="2" t="s">
        <v>33</v>
      </c>
      <c r="E814" s="4">
        <v>9491.24</v>
      </c>
      <c r="F814" s="2" t="s">
        <v>14</v>
      </c>
      <c r="G814" s="5">
        <v>35</v>
      </c>
      <c r="H814" s="2" t="s">
        <v>29</v>
      </c>
      <c r="I814" s="2" t="s">
        <v>21</v>
      </c>
      <c r="J814" s="2" t="s">
        <v>52</v>
      </c>
      <c r="K814" s="2" t="s">
        <v>18</v>
      </c>
    </row>
    <row r="815" spans="1:11" x14ac:dyDescent="0.3">
      <c r="A815" s="2" t="s">
        <v>1167</v>
      </c>
      <c r="B815" s="2" t="s">
        <v>327</v>
      </c>
      <c r="C815" s="3">
        <v>45968.476388888892</v>
      </c>
      <c r="D815" s="2" t="s">
        <v>33</v>
      </c>
      <c r="E815" s="4">
        <v>1723.75</v>
      </c>
      <c r="F815" s="2" t="s">
        <v>14</v>
      </c>
      <c r="G815" s="5">
        <v>48</v>
      </c>
      <c r="H815" s="2" t="s">
        <v>15</v>
      </c>
      <c r="I815" s="2" t="s">
        <v>34</v>
      </c>
      <c r="J815" s="2" t="s">
        <v>17</v>
      </c>
      <c r="K815" s="2" t="s">
        <v>45</v>
      </c>
    </row>
    <row r="816" spans="1:11" x14ac:dyDescent="0.3">
      <c r="A816" s="2" t="s">
        <v>1168</v>
      </c>
      <c r="B816" s="2" t="s">
        <v>246</v>
      </c>
      <c r="C816" s="3">
        <v>46017.748611111107</v>
      </c>
      <c r="D816" s="2" t="s">
        <v>38</v>
      </c>
      <c r="E816" s="4">
        <v>10727.16</v>
      </c>
      <c r="F816" s="2" t="s">
        <v>14</v>
      </c>
      <c r="G816" s="5">
        <v>30</v>
      </c>
      <c r="H816" s="2" t="s">
        <v>15</v>
      </c>
      <c r="I816" s="2" t="s">
        <v>60</v>
      </c>
      <c r="J816" s="2" t="s">
        <v>49</v>
      </c>
      <c r="K816" s="2" t="s">
        <v>35</v>
      </c>
    </row>
    <row r="817" spans="1:11" x14ac:dyDescent="0.3">
      <c r="A817" s="2" t="s">
        <v>1169</v>
      </c>
      <c r="B817" s="2" t="s">
        <v>181</v>
      </c>
      <c r="C817" s="3">
        <v>45899.743750000001</v>
      </c>
      <c r="D817" s="2" t="s">
        <v>13</v>
      </c>
      <c r="E817" s="4">
        <v>760.63</v>
      </c>
      <c r="F817" s="2" t="s">
        <v>14</v>
      </c>
      <c r="G817" s="5">
        <v>34</v>
      </c>
      <c r="H817" s="2" t="s">
        <v>15</v>
      </c>
      <c r="I817" s="2" t="s">
        <v>48</v>
      </c>
      <c r="J817" s="2" t="s">
        <v>17</v>
      </c>
      <c r="K817" s="2" t="s">
        <v>18</v>
      </c>
    </row>
    <row r="818" spans="1:11" x14ac:dyDescent="0.3">
      <c r="A818" s="2" t="s">
        <v>1170</v>
      </c>
      <c r="B818" s="2" t="s">
        <v>1171</v>
      </c>
      <c r="C818" s="3">
        <v>45998.283333333333</v>
      </c>
      <c r="D818" s="2" t="s">
        <v>33</v>
      </c>
      <c r="E818" s="4">
        <v>3707.4</v>
      </c>
      <c r="F818" s="2" t="s">
        <v>14</v>
      </c>
      <c r="G818" s="5">
        <v>32</v>
      </c>
      <c r="H818" s="2" t="s">
        <v>29</v>
      </c>
      <c r="I818" s="2" t="s">
        <v>34</v>
      </c>
      <c r="J818" s="2" t="s">
        <v>17</v>
      </c>
      <c r="K818" s="2" t="s">
        <v>35</v>
      </c>
    </row>
    <row r="819" spans="1:11" x14ac:dyDescent="0.3">
      <c r="A819" s="2" t="s">
        <v>1172</v>
      </c>
      <c r="B819" s="2" t="s">
        <v>947</v>
      </c>
      <c r="C819" s="3">
        <v>45784.908333333333</v>
      </c>
      <c r="D819" s="2" t="s">
        <v>13</v>
      </c>
      <c r="E819" s="4">
        <v>258.49</v>
      </c>
      <c r="F819" s="2" t="s">
        <v>14</v>
      </c>
      <c r="G819" s="5">
        <v>25</v>
      </c>
      <c r="H819" s="2" t="s">
        <v>29</v>
      </c>
      <c r="I819" s="2" t="s">
        <v>34</v>
      </c>
      <c r="J819" s="2" t="s">
        <v>17</v>
      </c>
      <c r="K819" s="2" t="s">
        <v>45</v>
      </c>
    </row>
    <row r="820" spans="1:11" x14ac:dyDescent="0.3">
      <c r="A820" s="2" t="s">
        <v>1173</v>
      </c>
      <c r="B820" s="2" t="s">
        <v>963</v>
      </c>
      <c r="C820" s="3">
        <v>45963.106249999997</v>
      </c>
      <c r="D820" s="2" t="s">
        <v>38</v>
      </c>
      <c r="E820" s="4">
        <v>12987.58</v>
      </c>
      <c r="F820" s="2" t="s">
        <v>14</v>
      </c>
      <c r="G820" s="5">
        <v>51</v>
      </c>
      <c r="H820" s="2" t="s">
        <v>29</v>
      </c>
      <c r="I820" s="2" t="s">
        <v>48</v>
      </c>
      <c r="J820" s="2" t="s">
        <v>49</v>
      </c>
      <c r="K820" s="2" t="s">
        <v>35</v>
      </c>
    </row>
    <row r="821" spans="1:11" x14ac:dyDescent="0.3">
      <c r="A821" s="2" t="s">
        <v>1174</v>
      </c>
      <c r="B821" s="2" t="s">
        <v>1175</v>
      </c>
      <c r="C821" s="3">
        <v>45886.697916666657</v>
      </c>
      <c r="D821" s="2" t="s">
        <v>13</v>
      </c>
      <c r="E821" s="4">
        <v>2052.14</v>
      </c>
      <c r="F821" s="2" t="s">
        <v>14</v>
      </c>
      <c r="G821" s="5">
        <v>22</v>
      </c>
      <c r="H821" s="2" t="s">
        <v>15</v>
      </c>
      <c r="I821" s="2" t="s">
        <v>43</v>
      </c>
      <c r="J821" s="2" t="s">
        <v>17</v>
      </c>
      <c r="K821" s="2" t="s">
        <v>18</v>
      </c>
    </row>
    <row r="822" spans="1:11" x14ac:dyDescent="0.3">
      <c r="A822" s="2" t="s">
        <v>1176</v>
      </c>
      <c r="B822" s="2" t="s">
        <v>772</v>
      </c>
      <c r="C822" s="3">
        <v>45843.123611111107</v>
      </c>
      <c r="D822" s="2" t="s">
        <v>38</v>
      </c>
      <c r="E822" s="4">
        <v>42112.45</v>
      </c>
      <c r="F822" s="2" t="s">
        <v>14</v>
      </c>
      <c r="G822" s="5">
        <v>31</v>
      </c>
      <c r="H822" s="2" t="s">
        <v>15</v>
      </c>
      <c r="I822" s="2" t="s">
        <v>34</v>
      </c>
      <c r="J822" s="2" t="s">
        <v>52</v>
      </c>
      <c r="K822" s="2" t="s">
        <v>18</v>
      </c>
    </row>
    <row r="823" spans="1:11" x14ac:dyDescent="0.3">
      <c r="A823" s="2" t="s">
        <v>1177</v>
      </c>
      <c r="B823" s="2" t="s">
        <v>109</v>
      </c>
      <c r="C823" s="3">
        <v>45946.127083333333</v>
      </c>
      <c r="D823" s="2" t="s">
        <v>33</v>
      </c>
      <c r="E823" s="4">
        <v>14871.32</v>
      </c>
      <c r="F823" s="2" t="s">
        <v>57</v>
      </c>
      <c r="G823" s="5">
        <v>38</v>
      </c>
      <c r="H823" s="2" t="s">
        <v>15</v>
      </c>
      <c r="I823" s="2" t="s">
        <v>21</v>
      </c>
      <c r="J823" s="2" t="s">
        <v>17</v>
      </c>
      <c r="K823" s="2" t="s">
        <v>18</v>
      </c>
    </row>
    <row r="824" spans="1:11" x14ac:dyDescent="0.3">
      <c r="A824" s="2" t="s">
        <v>1178</v>
      </c>
      <c r="B824" s="2" t="s">
        <v>893</v>
      </c>
      <c r="C824" s="3">
        <v>45938.675000000003</v>
      </c>
      <c r="D824" s="2" t="s">
        <v>28</v>
      </c>
      <c r="E824" s="4">
        <v>2725.83</v>
      </c>
      <c r="F824" s="2" t="s">
        <v>14</v>
      </c>
      <c r="G824" s="5">
        <v>26</v>
      </c>
      <c r="H824" s="2" t="s">
        <v>15</v>
      </c>
      <c r="I824" s="2" t="s">
        <v>34</v>
      </c>
      <c r="J824" s="2" t="s">
        <v>17</v>
      </c>
      <c r="K824" s="2" t="s">
        <v>18</v>
      </c>
    </row>
    <row r="825" spans="1:11" x14ac:dyDescent="0.3">
      <c r="A825" s="2" t="s">
        <v>1179</v>
      </c>
      <c r="B825" s="2" t="s">
        <v>988</v>
      </c>
      <c r="C825" s="3">
        <v>45951.714583333327</v>
      </c>
      <c r="D825" s="2" t="s">
        <v>38</v>
      </c>
      <c r="E825" s="4">
        <v>8225.5499999999993</v>
      </c>
      <c r="F825" s="2" t="s">
        <v>14</v>
      </c>
      <c r="G825" s="5">
        <v>35</v>
      </c>
      <c r="H825" s="2" t="s">
        <v>29</v>
      </c>
      <c r="I825" s="2" t="s">
        <v>34</v>
      </c>
      <c r="J825" s="2" t="s">
        <v>49</v>
      </c>
      <c r="K825" s="2" t="s">
        <v>18</v>
      </c>
    </row>
    <row r="826" spans="1:11" x14ac:dyDescent="0.3">
      <c r="A826" s="2" t="s">
        <v>1180</v>
      </c>
      <c r="B826" s="2" t="s">
        <v>92</v>
      </c>
      <c r="C826" s="3">
        <v>45742.45416666667</v>
      </c>
      <c r="D826" s="2" t="s">
        <v>28</v>
      </c>
      <c r="E826" s="4">
        <v>10911.15</v>
      </c>
      <c r="F826" s="2" t="s">
        <v>14</v>
      </c>
      <c r="G826" s="5">
        <v>31</v>
      </c>
      <c r="H826" s="2" t="s">
        <v>29</v>
      </c>
      <c r="I826" s="2" t="s">
        <v>60</v>
      </c>
      <c r="J826" s="2" t="s">
        <v>44</v>
      </c>
      <c r="K826" s="2" t="s">
        <v>18</v>
      </c>
    </row>
    <row r="827" spans="1:11" x14ac:dyDescent="0.3">
      <c r="A827" s="2" t="s">
        <v>1181</v>
      </c>
      <c r="B827" s="2" t="s">
        <v>236</v>
      </c>
      <c r="C827" s="3">
        <v>45924.588194444441</v>
      </c>
      <c r="D827" s="2" t="s">
        <v>38</v>
      </c>
      <c r="E827" s="4">
        <v>17633.79</v>
      </c>
      <c r="F827" s="2" t="s">
        <v>14</v>
      </c>
      <c r="G827" s="5">
        <v>27</v>
      </c>
      <c r="H827" s="2" t="s">
        <v>29</v>
      </c>
      <c r="I827" s="2" t="s">
        <v>34</v>
      </c>
      <c r="J827" s="2" t="s">
        <v>17</v>
      </c>
      <c r="K827" s="2" t="s">
        <v>18</v>
      </c>
    </row>
    <row r="828" spans="1:11" x14ac:dyDescent="0.3">
      <c r="A828" s="2" t="s">
        <v>1182</v>
      </c>
      <c r="B828" s="2" t="s">
        <v>138</v>
      </c>
      <c r="C828" s="3">
        <v>46006.28125</v>
      </c>
      <c r="D828" s="2" t="s">
        <v>28</v>
      </c>
      <c r="E828" s="4">
        <v>114987.73</v>
      </c>
      <c r="F828" s="2" t="s">
        <v>14</v>
      </c>
      <c r="G828" s="5">
        <v>39</v>
      </c>
      <c r="H828" s="2" t="s">
        <v>15</v>
      </c>
      <c r="I828" s="2" t="s">
        <v>21</v>
      </c>
      <c r="J828" s="2" t="s">
        <v>52</v>
      </c>
      <c r="K828" s="2" t="s">
        <v>18</v>
      </c>
    </row>
    <row r="829" spans="1:11" x14ac:dyDescent="0.3">
      <c r="A829" s="2" t="s">
        <v>1183</v>
      </c>
      <c r="B829" s="2" t="s">
        <v>348</v>
      </c>
      <c r="C829" s="3">
        <v>45956.628472222219</v>
      </c>
      <c r="D829" s="2" t="s">
        <v>154</v>
      </c>
      <c r="E829" s="4">
        <v>2000</v>
      </c>
      <c r="F829" s="2" t="s">
        <v>14</v>
      </c>
      <c r="G829" s="5">
        <v>39</v>
      </c>
      <c r="H829" s="2" t="s">
        <v>29</v>
      </c>
      <c r="I829" s="2" t="s">
        <v>16</v>
      </c>
      <c r="J829" s="2" t="s">
        <v>44</v>
      </c>
      <c r="K829" s="2" t="s">
        <v>45</v>
      </c>
    </row>
    <row r="830" spans="1:11" x14ac:dyDescent="0.3">
      <c r="A830" s="2" t="s">
        <v>1184</v>
      </c>
      <c r="B830" s="2" t="s">
        <v>393</v>
      </c>
      <c r="C830" s="3">
        <v>45919.618750000001</v>
      </c>
      <c r="D830" s="2" t="s">
        <v>28</v>
      </c>
      <c r="E830" s="4">
        <v>20917.759999999998</v>
      </c>
      <c r="F830" s="2" t="s">
        <v>14</v>
      </c>
      <c r="G830" s="5">
        <v>52</v>
      </c>
      <c r="H830" s="2" t="s">
        <v>29</v>
      </c>
      <c r="I830" s="2" t="s">
        <v>48</v>
      </c>
      <c r="J830" s="2" t="s">
        <v>49</v>
      </c>
      <c r="K830" s="2" t="s">
        <v>18</v>
      </c>
    </row>
    <row r="831" spans="1:11" x14ac:dyDescent="0.3">
      <c r="A831" s="2" t="s">
        <v>1185</v>
      </c>
      <c r="B831" s="2" t="s">
        <v>769</v>
      </c>
      <c r="C831" s="3">
        <v>45686.588888888888</v>
      </c>
      <c r="D831" s="2" t="s">
        <v>13</v>
      </c>
      <c r="E831" s="4">
        <v>2019.76</v>
      </c>
      <c r="F831" s="2" t="s">
        <v>122</v>
      </c>
      <c r="G831" s="5">
        <v>38</v>
      </c>
      <c r="H831" s="2" t="s">
        <v>15</v>
      </c>
      <c r="I831" s="2" t="s">
        <v>34</v>
      </c>
      <c r="J831" s="2" t="s">
        <v>17</v>
      </c>
      <c r="K831" s="2" t="s">
        <v>45</v>
      </c>
    </row>
    <row r="832" spans="1:11" x14ac:dyDescent="0.3">
      <c r="A832" s="2" t="s">
        <v>1186</v>
      </c>
      <c r="B832" s="2" t="s">
        <v>868</v>
      </c>
      <c r="C832" s="3">
        <v>45920.561805555553</v>
      </c>
      <c r="D832" s="2" t="s">
        <v>13</v>
      </c>
      <c r="E832" s="4">
        <v>962.17</v>
      </c>
      <c r="F832" s="2" t="s">
        <v>14</v>
      </c>
      <c r="G832" s="5">
        <v>32</v>
      </c>
      <c r="H832" s="2" t="s">
        <v>15</v>
      </c>
      <c r="I832" s="2" t="s">
        <v>34</v>
      </c>
      <c r="J832" s="2" t="s">
        <v>17</v>
      </c>
      <c r="K832" s="2" t="s">
        <v>35</v>
      </c>
    </row>
    <row r="833" spans="1:11" x14ac:dyDescent="0.3">
      <c r="A833" s="2" t="s">
        <v>1187</v>
      </c>
      <c r="B833" s="2" t="s">
        <v>357</v>
      </c>
      <c r="C833" s="3">
        <v>45946.065972222219</v>
      </c>
      <c r="D833" s="2" t="s">
        <v>33</v>
      </c>
      <c r="E833" s="4">
        <v>6442.52</v>
      </c>
      <c r="F833" s="2" t="s">
        <v>122</v>
      </c>
      <c r="G833" s="5">
        <v>57</v>
      </c>
      <c r="H833" s="2" t="s">
        <v>15</v>
      </c>
      <c r="I833" s="2" t="s">
        <v>16</v>
      </c>
      <c r="J833" s="2" t="s">
        <v>44</v>
      </c>
      <c r="K833" s="2" t="s">
        <v>45</v>
      </c>
    </row>
    <row r="834" spans="1:11" x14ac:dyDescent="0.3">
      <c r="A834" s="2" t="s">
        <v>1188</v>
      </c>
      <c r="B834" s="2" t="s">
        <v>958</v>
      </c>
      <c r="C834" s="3">
        <v>45894.910416666673</v>
      </c>
      <c r="D834" s="2" t="s">
        <v>33</v>
      </c>
      <c r="E834" s="4">
        <v>4462.76</v>
      </c>
      <c r="F834" s="2" t="s">
        <v>14</v>
      </c>
      <c r="G834" s="5">
        <v>37</v>
      </c>
      <c r="H834" s="2" t="s">
        <v>29</v>
      </c>
      <c r="I834" s="2" t="s">
        <v>34</v>
      </c>
      <c r="J834" s="2" t="s">
        <v>49</v>
      </c>
      <c r="K834" s="2" t="s">
        <v>45</v>
      </c>
    </row>
    <row r="835" spans="1:11" x14ac:dyDescent="0.3">
      <c r="A835" s="2" t="s">
        <v>1189</v>
      </c>
      <c r="B835" s="2" t="s">
        <v>225</v>
      </c>
      <c r="C835" s="3">
        <v>45815.959027777782</v>
      </c>
      <c r="D835" s="2" t="s">
        <v>33</v>
      </c>
      <c r="E835" s="4">
        <v>6511.66</v>
      </c>
      <c r="F835" s="2" t="s">
        <v>57</v>
      </c>
      <c r="G835" s="5">
        <v>35</v>
      </c>
      <c r="H835" s="2" t="s">
        <v>29</v>
      </c>
      <c r="I835" s="2" t="s">
        <v>78</v>
      </c>
      <c r="J835" s="2" t="s">
        <v>17</v>
      </c>
      <c r="K835" s="2" t="s">
        <v>22</v>
      </c>
    </row>
    <row r="836" spans="1:11" x14ac:dyDescent="0.3">
      <c r="A836" s="2" t="s">
        <v>1190</v>
      </c>
      <c r="B836" s="2" t="s">
        <v>1191</v>
      </c>
      <c r="C836" s="3">
        <v>45860.369444444441</v>
      </c>
      <c r="D836" s="2" t="s">
        <v>33</v>
      </c>
      <c r="E836" s="4">
        <v>7620.61</v>
      </c>
      <c r="F836" s="2" t="s">
        <v>14</v>
      </c>
      <c r="G836" s="5">
        <v>25</v>
      </c>
      <c r="H836" s="2" t="s">
        <v>29</v>
      </c>
      <c r="I836" s="2" t="s">
        <v>34</v>
      </c>
      <c r="J836" s="2" t="s">
        <v>17</v>
      </c>
      <c r="K836" s="2" t="s">
        <v>18</v>
      </c>
    </row>
    <row r="837" spans="1:11" x14ac:dyDescent="0.3">
      <c r="A837" s="2" t="s">
        <v>1192</v>
      </c>
      <c r="B837" s="2" t="s">
        <v>152</v>
      </c>
      <c r="C837" s="3">
        <v>45659.967361111107</v>
      </c>
      <c r="D837" s="2" t="s">
        <v>28</v>
      </c>
      <c r="E837" s="4">
        <v>12609.68</v>
      </c>
      <c r="F837" s="2" t="s">
        <v>57</v>
      </c>
      <c r="G837" s="5">
        <v>31</v>
      </c>
      <c r="H837" s="2" t="s">
        <v>15</v>
      </c>
      <c r="I837" s="2" t="s">
        <v>34</v>
      </c>
      <c r="J837" s="2" t="s">
        <v>49</v>
      </c>
      <c r="K837" s="2" t="s">
        <v>18</v>
      </c>
    </row>
    <row r="838" spans="1:11" x14ac:dyDescent="0.3">
      <c r="A838" s="2" t="s">
        <v>1193</v>
      </c>
      <c r="B838" s="2" t="s">
        <v>1194</v>
      </c>
      <c r="C838" s="3">
        <v>45954.084722222222</v>
      </c>
      <c r="D838" s="2" t="s">
        <v>33</v>
      </c>
      <c r="E838" s="4">
        <v>4872.83</v>
      </c>
      <c r="F838" s="2" t="s">
        <v>14</v>
      </c>
      <c r="G838" s="5">
        <v>57</v>
      </c>
      <c r="H838" s="2" t="s">
        <v>29</v>
      </c>
      <c r="I838" s="2" t="s">
        <v>16</v>
      </c>
      <c r="J838" s="2" t="s">
        <v>44</v>
      </c>
      <c r="K838" s="2" t="s">
        <v>45</v>
      </c>
    </row>
    <row r="839" spans="1:11" x14ac:dyDescent="0.3">
      <c r="A839" s="2" t="s">
        <v>1195</v>
      </c>
      <c r="B839" s="2" t="s">
        <v>173</v>
      </c>
      <c r="C839" s="3">
        <v>45874.488888888889</v>
      </c>
      <c r="D839" s="2" t="s">
        <v>13</v>
      </c>
      <c r="E839" s="4">
        <v>636.95000000000005</v>
      </c>
      <c r="F839" s="2" t="s">
        <v>14</v>
      </c>
      <c r="G839" s="5">
        <v>24</v>
      </c>
      <c r="H839" s="2" t="s">
        <v>15</v>
      </c>
      <c r="I839" s="2" t="s">
        <v>30</v>
      </c>
      <c r="J839" s="2" t="s">
        <v>49</v>
      </c>
      <c r="K839" s="2" t="s">
        <v>22</v>
      </c>
    </row>
    <row r="840" spans="1:11" x14ac:dyDescent="0.3">
      <c r="A840" s="2" t="s">
        <v>1196</v>
      </c>
      <c r="B840" s="2" t="s">
        <v>246</v>
      </c>
      <c r="C840" s="3">
        <v>45690.710416666669</v>
      </c>
      <c r="D840" s="2" t="s">
        <v>33</v>
      </c>
      <c r="E840" s="4">
        <v>45741.98</v>
      </c>
      <c r="F840" s="2" t="s">
        <v>14</v>
      </c>
      <c r="G840" s="5">
        <v>30</v>
      </c>
      <c r="H840" s="2" t="s">
        <v>15</v>
      </c>
      <c r="I840" s="2" t="s">
        <v>60</v>
      </c>
      <c r="J840" s="2" t="s">
        <v>49</v>
      </c>
      <c r="K840" s="2" t="s">
        <v>35</v>
      </c>
    </row>
    <row r="841" spans="1:11" x14ac:dyDescent="0.3">
      <c r="A841" s="2" t="s">
        <v>1197</v>
      </c>
      <c r="B841" s="2" t="s">
        <v>128</v>
      </c>
      <c r="C841" s="3">
        <v>45693.626388888893</v>
      </c>
      <c r="D841" s="2" t="s">
        <v>13</v>
      </c>
      <c r="E841" s="4">
        <v>432.21</v>
      </c>
      <c r="F841" s="2" t="s">
        <v>14</v>
      </c>
      <c r="G841" s="5">
        <v>26</v>
      </c>
      <c r="H841" s="2" t="s">
        <v>15</v>
      </c>
      <c r="I841" s="2" t="s">
        <v>95</v>
      </c>
      <c r="J841" s="2" t="s">
        <v>44</v>
      </c>
      <c r="K841" s="2" t="s">
        <v>18</v>
      </c>
    </row>
    <row r="842" spans="1:11" x14ac:dyDescent="0.3">
      <c r="A842" s="2" t="s">
        <v>1198</v>
      </c>
      <c r="B842" s="2" t="s">
        <v>223</v>
      </c>
      <c r="C842" s="3">
        <v>45804.549305555563</v>
      </c>
      <c r="D842" s="2" t="s">
        <v>13</v>
      </c>
      <c r="E842" s="4">
        <v>1645.34</v>
      </c>
      <c r="F842" s="2" t="s">
        <v>14</v>
      </c>
      <c r="G842" s="5">
        <v>40</v>
      </c>
      <c r="H842" s="2" t="s">
        <v>15</v>
      </c>
      <c r="I842" s="2" t="s">
        <v>34</v>
      </c>
      <c r="J842" s="2" t="s">
        <v>49</v>
      </c>
      <c r="K842" s="2" t="s">
        <v>18</v>
      </c>
    </row>
    <row r="843" spans="1:11" x14ac:dyDescent="0.3">
      <c r="A843" s="2" t="s">
        <v>1199</v>
      </c>
      <c r="B843" s="2" t="s">
        <v>140</v>
      </c>
      <c r="C843" s="3">
        <v>45727.865277777782</v>
      </c>
      <c r="D843" s="2" t="s">
        <v>38</v>
      </c>
      <c r="E843" s="4">
        <v>6139.28</v>
      </c>
      <c r="F843" s="2" t="s">
        <v>14</v>
      </c>
      <c r="G843" s="5">
        <v>49</v>
      </c>
      <c r="H843" s="2" t="s">
        <v>15</v>
      </c>
      <c r="I843" s="2" t="s">
        <v>21</v>
      </c>
      <c r="J843" s="2" t="s">
        <v>44</v>
      </c>
      <c r="K843" s="2" t="s">
        <v>18</v>
      </c>
    </row>
    <row r="844" spans="1:11" x14ac:dyDescent="0.3">
      <c r="A844" s="2" t="s">
        <v>1200</v>
      </c>
      <c r="B844" s="2" t="s">
        <v>1201</v>
      </c>
      <c r="C844" s="3">
        <v>45988.557638888888</v>
      </c>
      <c r="D844" s="2" t="s">
        <v>13</v>
      </c>
      <c r="E844" s="4">
        <v>2977.42</v>
      </c>
      <c r="F844" s="2" t="s">
        <v>14</v>
      </c>
      <c r="G844" s="5">
        <v>44</v>
      </c>
      <c r="H844" s="2" t="s">
        <v>15</v>
      </c>
      <c r="I844" s="2" t="s">
        <v>25</v>
      </c>
      <c r="J844" s="2" t="s">
        <v>44</v>
      </c>
      <c r="K844" s="2" t="s">
        <v>18</v>
      </c>
    </row>
    <row r="845" spans="1:11" x14ac:dyDescent="0.3">
      <c r="A845" s="2" t="s">
        <v>1202</v>
      </c>
      <c r="B845" s="2" t="s">
        <v>909</v>
      </c>
      <c r="C845" s="3">
        <v>45853.621527777781</v>
      </c>
      <c r="D845" s="2" t="s">
        <v>154</v>
      </c>
      <c r="E845" s="4">
        <v>10000</v>
      </c>
      <c r="F845" s="2" t="s">
        <v>14</v>
      </c>
      <c r="G845" s="5">
        <v>39</v>
      </c>
      <c r="H845" s="2" t="s">
        <v>29</v>
      </c>
      <c r="I845" s="2" t="s">
        <v>48</v>
      </c>
      <c r="J845" s="2" t="s">
        <v>44</v>
      </c>
      <c r="K845" s="2" t="s">
        <v>18</v>
      </c>
    </row>
    <row r="846" spans="1:11" x14ac:dyDescent="0.3">
      <c r="A846" s="2" t="s">
        <v>1203</v>
      </c>
      <c r="B846" s="2" t="s">
        <v>73</v>
      </c>
      <c r="C846" s="3">
        <v>45851.503472222219</v>
      </c>
      <c r="D846" s="2" t="s">
        <v>28</v>
      </c>
      <c r="E846" s="4">
        <v>7766.48</v>
      </c>
      <c r="F846" s="2" t="s">
        <v>14</v>
      </c>
      <c r="G846" s="5">
        <v>33</v>
      </c>
      <c r="H846" s="2" t="s">
        <v>15</v>
      </c>
      <c r="I846" s="2" t="s">
        <v>21</v>
      </c>
      <c r="J846" s="2" t="s">
        <v>49</v>
      </c>
      <c r="K846" s="2" t="s">
        <v>18</v>
      </c>
    </row>
    <row r="847" spans="1:11" x14ac:dyDescent="0.3">
      <c r="A847" s="2" t="s">
        <v>1204</v>
      </c>
      <c r="B847" s="2" t="s">
        <v>1205</v>
      </c>
      <c r="C847" s="3">
        <v>46007.913194444453</v>
      </c>
      <c r="D847" s="2" t="s">
        <v>28</v>
      </c>
      <c r="E847" s="4">
        <v>1161.6500000000001</v>
      </c>
      <c r="F847" s="2" t="s">
        <v>57</v>
      </c>
      <c r="G847" s="5">
        <v>42</v>
      </c>
      <c r="H847" s="2" t="s">
        <v>29</v>
      </c>
      <c r="I847" s="2" t="s">
        <v>21</v>
      </c>
      <c r="J847" s="2" t="s">
        <v>17</v>
      </c>
      <c r="K847" s="2" t="s">
        <v>18</v>
      </c>
    </row>
    <row r="848" spans="1:11" x14ac:dyDescent="0.3">
      <c r="A848" s="2" t="s">
        <v>1206</v>
      </c>
      <c r="B848" s="2" t="s">
        <v>179</v>
      </c>
      <c r="C848" s="3">
        <v>45934.195138888892</v>
      </c>
      <c r="D848" s="2" t="s">
        <v>28</v>
      </c>
      <c r="E848" s="4">
        <v>44539.73</v>
      </c>
      <c r="F848" s="2" t="s">
        <v>14</v>
      </c>
      <c r="G848" s="5">
        <v>38</v>
      </c>
      <c r="H848" s="2" t="s">
        <v>15</v>
      </c>
      <c r="I848" s="2" t="s">
        <v>34</v>
      </c>
      <c r="J848" s="2" t="s">
        <v>17</v>
      </c>
      <c r="K848" s="2" t="s">
        <v>22</v>
      </c>
    </row>
    <row r="849" spans="1:11" x14ac:dyDescent="0.3">
      <c r="A849" s="2" t="s">
        <v>1207</v>
      </c>
      <c r="B849" s="2" t="s">
        <v>179</v>
      </c>
      <c r="C849" s="3">
        <v>45836.132638888892</v>
      </c>
      <c r="D849" s="2" t="s">
        <v>28</v>
      </c>
      <c r="E849" s="4">
        <v>2894.04</v>
      </c>
      <c r="F849" s="2" t="s">
        <v>14</v>
      </c>
      <c r="G849" s="5">
        <v>38</v>
      </c>
      <c r="H849" s="2" t="s">
        <v>15</v>
      </c>
      <c r="I849" s="2" t="s">
        <v>34</v>
      </c>
      <c r="J849" s="2" t="s">
        <v>17</v>
      </c>
      <c r="K849" s="2" t="s">
        <v>45</v>
      </c>
    </row>
    <row r="850" spans="1:11" x14ac:dyDescent="0.3">
      <c r="A850" s="2" t="s">
        <v>1208</v>
      </c>
      <c r="B850" s="2" t="s">
        <v>939</v>
      </c>
      <c r="C850" s="3">
        <v>45933.522916666669</v>
      </c>
      <c r="D850" s="2" t="s">
        <v>28</v>
      </c>
      <c r="E850" s="4">
        <v>3438.74</v>
      </c>
      <c r="F850" s="2" t="s">
        <v>14</v>
      </c>
      <c r="G850" s="5">
        <v>29</v>
      </c>
      <c r="H850" s="2" t="s">
        <v>15</v>
      </c>
      <c r="I850" s="2" t="s">
        <v>21</v>
      </c>
      <c r="J850" s="2" t="s">
        <v>17</v>
      </c>
      <c r="K850" s="2" t="s">
        <v>35</v>
      </c>
    </row>
    <row r="851" spans="1:11" x14ac:dyDescent="0.3">
      <c r="A851" s="2" t="s">
        <v>1209</v>
      </c>
      <c r="B851" s="2" t="s">
        <v>464</v>
      </c>
      <c r="C851" s="3">
        <v>45723.968055555553</v>
      </c>
      <c r="D851" s="2" t="s">
        <v>33</v>
      </c>
      <c r="E851" s="4">
        <v>17536.490000000002</v>
      </c>
      <c r="F851" s="2" t="s">
        <v>14</v>
      </c>
      <c r="G851" s="5">
        <v>35</v>
      </c>
      <c r="H851" s="2" t="s">
        <v>29</v>
      </c>
      <c r="I851" s="2" t="s">
        <v>34</v>
      </c>
      <c r="J851" s="2" t="s">
        <v>44</v>
      </c>
      <c r="K851" s="2" t="s">
        <v>18</v>
      </c>
    </row>
    <row r="852" spans="1:11" x14ac:dyDescent="0.3">
      <c r="A852" s="2" t="s">
        <v>1210</v>
      </c>
      <c r="B852" s="2" t="s">
        <v>194</v>
      </c>
      <c r="C852" s="3">
        <v>45659.013194444437</v>
      </c>
      <c r="D852" s="2" t="s">
        <v>28</v>
      </c>
      <c r="E852" s="4">
        <v>6710.88</v>
      </c>
      <c r="F852" s="2" t="s">
        <v>14</v>
      </c>
      <c r="G852" s="5">
        <v>31</v>
      </c>
      <c r="H852" s="2" t="s">
        <v>29</v>
      </c>
      <c r="I852" s="2" t="s">
        <v>16</v>
      </c>
      <c r="J852" s="2" t="s">
        <v>17</v>
      </c>
      <c r="K852" s="2" t="s">
        <v>18</v>
      </c>
    </row>
    <row r="853" spans="1:11" x14ac:dyDescent="0.3">
      <c r="A853" s="2" t="s">
        <v>1211</v>
      </c>
      <c r="B853" s="2" t="s">
        <v>1066</v>
      </c>
      <c r="C853" s="3">
        <v>45895.906944444447</v>
      </c>
      <c r="D853" s="2" t="s">
        <v>154</v>
      </c>
      <c r="E853" s="4">
        <v>40000</v>
      </c>
      <c r="F853" s="2" t="s">
        <v>14</v>
      </c>
      <c r="G853" s="5">
        <v>28</v>
      </c>
      <c r="H853" s="2" t="s">
        <v>29</v>
      </c>
      <c r="I853" s="2" t="s">
        <v>43</v>
      </c>
      <c r="J853" s="2" t="s">
        <v>17</v>
      </c>
      <c r="K853" s="2" t="s">
        <v>22</v>
      </c>
    </row>
    <row r="854" spans="1:11" x14ac:dyDescent="0.3">
      <c r="A854" s="2" t="s">
        <v>1212</v>
      </c>
      <c r="B854" s="2" t="s">
        <v>225</v>
      </c>
      <c r="C854" s="3">
        <v>45936.56527777778</v>
      </c>
      <c r="D854" s="2" t="s">
        <v>28</v>
      </c>
      <c r="E854" s="4">
        <v>1481.75</v>
      </c>
      <c r="F854" s="2" t="s">
        <v>14</v>
      </c>
      <c r="G854" s="5">
        <v>35</v>
      </c>
      <c r="H854" s="2" t="s">
        <v>29</v>
      </c>
      <c r="I854" s="2" t="s">
        <v>78</v>
      </c>
      <c r="J854" s="2" t="s">
        <v>17</v>
      </c>
      <c r="K854" s="2" t="s">
        <v>18</v>
      </c>
    </row>
    <row r="855" spans="1:11" x14ac:dyDescent="0.3">
      <c r="A855" s="2" t="s">
        <v>1213</v>
      </c>
      <c r="B855" s="2" t="s">
        <v>1214</v>
      </c>
      <c r="C855" s="3">
        <v>45852.302083333343</v>
      </c>
      <c r="D855" s="2" t="s">
        <v>13</v>
      </c>
      <c r="E855" s="4">
        <v>857.71</v>
      </c>
      <c r="F855" s="2" t="s">
        <v>14</v>
      </c>
      <c r="G855" s="5">
        <v>54</v>
      </c>
      <c r="H855" s="2" t="s">
        <v>29</v>
      </c>
      <c r="I855" s="2" t="s">
        <v>95</v>
      </c>
      <c r="J855" s="2" t="s">
        <v>52</v>
      </c>
      <c r="K855" s="2" t="s">
        <v>18</v>
      </c>
    </row>
    <row r="856" spans="1:11" x14ac:dyDescent="0.3">
      <c r="A856" s="2" t="s">
        <v>1215</v>
      </c>
      <c r="B856" s="2" t="s">
        <v>325</v>
      </c>
      <c r="C856" s="3">
        <v>45893.464583333327</v>
      </c>
      <c r="D856" s="2" t="s">
        <v>33</v>
      </c>
      <c r="E856" s="4">
        <v>8284.2999999999993</v>
      </c>
      <c r="F856" s="2" t="s">
        <v>14</v>
      </c>
      <c r="G856" s="5">
        <v>48</v>
      </c>
      <c r="H856" s="2" t="s">
        <v>15</v>
      </c>
      <c r="I856" s="2" t="s">
        <v>34</v>
      </c>
      <c r="J856" s="2" t="s">
        <v>17</v>
      </c>
      <c r="K856" s="2" t="s">
        <v>18</v>
      </c>
    </row>
    <row r="857" spans="1:11" x14ac:dyDescent="0.3">
      <c r="A857" s="2" t="s">
        <v>1216</v>
      </c>
      <c r="B857" s="2" t="s">
        <v>311</v>
      </c>
      <c r="C857" s="3">
        <v>45799.290972222218</v>
      </c>
      <c r="D857" s="2" t="s">
        <v>38</v>
      </c>
      <c r="E857" s="4">
        <v>1627.41</v>
      </c>
      <c r="F857" s="2" t="s">
        <v>14</v>
      </c>
      <c r="G857" s="5">
        <v>56</v>
      </c>
      <c r="H857" s="2" t="s">
        <v>29</v>
      </c>
      <c r="I857" s="2" t="s">
        <v>60</v>
      </c>
      <c r="J857" s="2" t="s">
        <v>49</v>
      </c>
      <c r="K857" s="2" t="s">
        <v>18</v>
      </c>
    </row>
    <row r="858" spans="1:11" x14ac:dyDescent="0.3">
      <c r="A858" s="2" t="s">
        <v>1217</v>
      </c>
      <c r="B858" s="2" t="s">
        <v>362</v>
      </c>
      <c r="C858" s="3">
        <v>45715.07708333333</v>
      </c>
      <c r="D858" s="2" t="s">
        <v>28</v>
      </c>
      <c r="E858" s="4">
        <v>89689.49</v>
      </c>
      <c r="F858" s="2" t="s">
        <v>57</v>
      </c>
      <c r="G858" s="5">
        <v>25</v>
      </c>
      <c r="H858" s="2" t="s">
        <v>29</v>
      </c>
      <c r="I858" s="2" t="s">
        <v>34</v>
      </c>
      <c r="J858" s="2" t="s">
        <v>44</v>
      </c>
      <c r="K858" s="2" t="s">
        <v>18</v>
      </c>
    </row>
    <row r="859" spans="1:11" x14ac:dyDescent="0.3">
      <c r="A859" s="2" t="s">
        <v>1218</v>
      </c>
      <c r="B859" s="2" t="s">
        <v>346</v>
      </c>
      <c r="C859" s="3">
        <v>45996.568749999999</v>
      </c>
      <c r="D859" s="2" t="s">
        <v>28</v>
      </c>
      <c r="E859" s="4">
        <v>5520.2</v>
      </c>
      <c r="F859" s="2" t="s">
        <v>14</v>
      </c>
      <c r="G859" s="5">
        <v>55</v>
      </c>
      <c r="H859" s="2" t="s">
        <v>29</v>
      </c>
      <c r="I859" s="2" t="s">
        <v>95</v>
      </c>
      <c r="J859" s="2" t="s">
        <v>49</v>
      </c>
      <c r="K859" s="2" t="s">
        <v>18</v>
      </c>
    </row>
    <row r="860" spans="1:11" x14ac:dyDescent="0.3">
      <c r="A860" s="2" t="s">
        <v>1219</v>
      </c>
      <c r="B860" s="2" t="s">
        <v>343</v>
      </c>
      <c r="C860" s="3">
        <v>45666.300694444442</v>
      </c>
      <c r="D860" s="2" t="s">
        <v>13</v>
      </c>
      <c r="E860" s="4">
        <v>1949.03</v>
      </c>
      <c r="F860" s="2" t="s">
        <v>14</v>
      </c>
      <c r="G860" s="5">
        <v>38</v>
      </c>
      <c r="H860" s="2" t="s">
        <v>15</v>
      </c>
      <c r="I860" s="2" t="s">
        <v>34</v>
      </c>
      <c r="J860" s="2" t="s">
        <v>17</v>
      </c>
      <c r="K860" s="2" t="s">
        <v>45</v>
      </c>
    </row>
    <row r="861" spans="1:11" x14ac:dyDescent="0.3">
      <c r="A861" s="2" t="s">
        <v>1220</v>
      </c>
      <c r="B861" s="2" t="s">
        <v>146</v>
      </c>
      <c r="C861" s="3">
        <v>45692.151388888888</v>
      </c>
      <c r="D861" s="2" t="s">
        <v>13</v>
      </c>
      <c r="E861" s="4">
        <v>1638.81</v>
      </c>
      <c r="F861" s="2" t="s">
        <v>14</v>
      </c>
      <c r="G861" s="5">
        <v>24</v>
      </c>
      <c r="H861" s="2" t="s">
        <v>15</v>
      </c>
      <c r="I861" s="2" t="s">
        <v>60</v>
      </c>
      <c r="J861" s="2" t="s">
        <v>17</v>
      </c>
      <c r="K861" s="2" t="s">
        <v>45</v>
      </c>
    </row>
    <row r="862" spans="1:11" x14ac:dyDescent="0.3">
      <c r="A862" s="2" t="s">
        <v>1221</v>
      </c>
      <c r="B862" s="2" t="s">
        <v>535</v>
      </c>
      <c r="C862" s="3">
        <v>45675.609722222223</v>
      </c>
      <c r="D862" s="2" t="s">
        <v>13</v>
      </c>
      <c r="E862" s="4">
        <v>225.32</v>
      </c>
      <c r="F862" s="2" t="s">
        <v>14</v>
      </c>
      <c r="G862" s="5">
        <v>28</v>
      </c>
      <c r="H862" s="2" t="s">
        <v>15</v>
      </c>
      <c r="I862" s="2" t="s">
        <v>34</v>
      </c>
      <c r="J862" s="2" t="s">
        <v>49</v>
      </c>
      <c r="K862" s="2" t="s">
        <v>45</v>
      </c>
    </row>
    <row r="863" spans="1:11" x14ac:dyDescent="0.3">
      <c r="A863" s="2" t="s">
        <v>1222</v>
      </c>
      <c r="B863" s="2" t="s">
        <v>502</v>
      </c>
      <c r="C863" s="3">
        <v>46002.954861111109</v>
      </c>
      <c r="D863" s="2" t="s">
        <v>33</v>
      </c>
      <c r="E863" s="4">
        <v>3797.45</v>
      </c>
      <c r="F863" s="2" t="s">
        <v>14</v>
      </c>
      <c r="G863" s="5">
        <v>26</v>
      </c>
      <c r="H863" s="2" t="s">
        <v>29</v>
      </c>
      <c r="I863" s="2" t="s">
        <v>95</v>
      </c>
      <c r="J863" s="2" t="s">
        <v>17</v>
      </c>
      <c r="K863" s="2" t="s">
        <v>18</v>
      </c>
    </row>
    <row r="864" spans="1:11" x14ac:dyDescent="0.3">
      <c r="A864" s="2" t="s">
        <v>1223</v>
      </c>
      <c r="B864" s="2" t="s">
        <v>1201</v>
      </c>
      <c r="C864" s="3">
        <v>45682.324305555558</v>
      </c>
      <c r="D864" s="2" t="s">
        <v>28</v>
      </c>
      <c r="E864" s="4">
        <v>11586.76</v>
      </c>
      <c r="F864" s="2" t="s">
        <v>14</v>
      </c>
      <c r="G864" s="5">
        <v>44</v>
      </c>
      <c r="H864" s="2" t="s">
        <v>15</v>
      </c>
      <c r="I864" s="2" t="s">
        <v>25</v>
      </c>
      <c r="J864" s="2" t="s">
        <v>44</v>
      </c>
      <c r="K864" s="2" t="s">
        <v>18</v>
      </c>
    </row>
    <row r="865" spans="1:11" x14ac:dyDescent="0.3">
      <c r="A865" s="2" t="s">
        <v>1224</v>
      </c>
      <c r="B865" s="2" t="s">
        <v>1194</v>
      </c>
      <c r="C865" s="3">
        <v>45680.519444444442</v>
      </c>
      <c r="D865" s="2" t="s">
        <v>13</v>
      </c>
      <c r="E865" s="4">
        <v>1502.85</v>
      </c>
      <c r="F865" s="2" t="s">
        <v>14</v>
      </c>
      <c r="G865" s="5">
        <v>57</v>
      </c>
      <c r="H865" s="2" t="s">
        <v>29</v>
      </c>
      <c r="I865" s="2" t="s">
        <v>16</v>
      </c>
      <c r="J865" s="2" t="s">
        <v>44</v>
      </c>
      <c r="K865" s="2" t="s">
        <v>45</v>
      </c>
    </row>
    <row r="866" spans="1:11" x14ac:dyDescent="0.3">
      <c r="A866" s="2" t="s">
        <v>1225</v>
      </c>
      <c r="B866" s="2" t="s">
        <v>225</v>
      </c>
      <c r="C866" s="3">
        <v>45777.717361111107</v>
      </c>
      <c r="D866" s="2" t="s">
        <v>28</v>
      </c>
      <c r="E866" s="4">
        <v>6614.09</v>
      </c>
      <c r="F866" s="2" t="s">
        <v>57</v>
      </c>
      <c r="G866" s="5">
        <v>35</v>
      </c>
      <c r="H866" s="2" t="s">
        <v>29</v>
      </c>
      <c r="I866" s="2" t="s">
        <v>78</v>
      </c>
      <c r="J866" s="2" t="s">
        <v>17</v>
      </c>
      <c r="K866" s="2" t="s">
        <v>45</v>
      </c>
    </row>
    <row r="867" spans="1:11" x14ac:dyDescent="0.3">
      <c r="A867" s="2" t="s">
        <v>1226</v>
      </c>
      <c r="B867" s="2" t="s">
        <v>386</v>
      </c>
      <c r="C867" s="3">
        <v>45686.188888888893</v>
      </c>
      <c r="D867" s="2" t="s">
        <v>28</v>
      </c>
      <c r="E867" s="4">
        <v>16328.96</v>
      </c>
      <c r="F867" s="2" t="s">
        <v>14</v>
      </c>
      <c r="G867" s="5">
        <v>26</v>
      </c>
      <c r="H867" s="2" t="s">
        <v>15</v>
      </c>
      <c r="I867" s="2" t="s">
        <v>25</v>
      </c>
      <c r="J867" s="2" t="s">
        <v>17</v>
      </c>
      <c r="K867" s="2" t="s">
        <v>18</v>
      </c>
    </row>
    <row r="868" spans="1:11" x14ac:dyDescent="0.3">
      <c r="A868" s="2" t="s">
        <v>1227</v>
      </c>
      <c r="B868" s="2" t="s">
        <v>930</v>
      </c>
      <c r="C868" s="3">
        <v>45806.327777777777</v>
      </c>
      <c r="D868" s="2" t="s">
        <v>28</v>
      </c>
      <c r="E868" s="4">
        <v>29334.93</v>
      </c>
      <c r="F868" s="2" t="s">
        <v>57</v>
      </c>
      <c r="G868" s="5">
        <v>27</v>
      </c>
      <c r="H868" s="2" t="s">
        <v>29</v>
      </c>
      <c r="I868" s="2" t="s">
        <v>16</v>
      </c>
      <c r="J868" s="2" t="s">
        <v>52</v>
      </c>
      <c r="K868" s="2" t="s">
        <v>45</v>
      </c>
    </row>
    <row r="869" spans="1:11" x14ac:dyDescent="0.3">
      <c r="A869" s="2" t="s">
        <v>1228</v>
      </c>
      <c r="B869" s="2" t="s">
        <v>1229</v>
      </c>
      <c r="C869" s="3">
        <v>45952.441666666673</v>
      </c>
      <c r="D869" s="2" t="s">
        <v>28</v>
      </c>
      <c r="E869" s="4">
        <v>48609.98</v>
      </c>
      <c r="F869" s="2" t="s">
        <v>14</v>
      </c>
      <c r="G869" s="5">
        <v>31</v>
      </c>
      <c r="H869" s="2" t="s">
        <v>15</v>
      </c>
      <c r="I869" s="2" t="s">
        <v>34</v>
      </c>
      <c r="J869" s="2" t="s">
        <v>44</v>
      </c>
      <c r="K869" s="2" t="s">
        <v>18</v>
      </c>
    </row>
    <row r="870" spans="1:11" x14ac:dyDescent="0.3">
      <c r="A870" s="2" t="s">
        <v>1230</v>
      </c>
      <c r="B870" s="2" t="s">
        <v>194</v>
      </c>
      <c r="C870" s="3">
        <v>45964.911111111112</v>
      </c>
      <c r="D870" s="2" t="s">
        <v>13</v>
      </c>
      <c r="E870" s="4">
        <v>2041.12</v>
      </c>
      <c r="F870" s="2" t="s">
        <v>14</v>
      </c>
      <c r="G870" s="5">
        <v>31</v>
      </c>
      <c r="H870" s="2" t="s">
        <v>29</v>
      </c>
      <c r="I870" s="2" t="s">
        <v>16</v>
      </c>
      <c r="J870" s="2" t="s">
        <v>17</v>
      </c>
      <c r="K870" s="2" t="s">
        <v>45</v>
      </c>
    </row>
    <row r="871" spans="1:11" x14ac:dyDescent="0.3">
      <c r="A871" s="2" t="s">
        <v>1231</v>
      </c>
      <c r="B871" s="2" t="s">
        <v>165</v>
      </c>
      <c r="C871" s="3">
        <v>45822.304861111108</v>
      </c>
      <c r="D871" s="2" t="s">
        <v>154</v>
      </c>
      <c r="E871" s="4">
        <v>10000</v>
      </c>
      <c r="F871" s="2" t="s">
        <v>14</v>
      </c>
      <c r="G871" s="5">
        <v>31</v>
      </c>
      <c r="H871" s="2" t="s">
        <v>29</v>
      </c>
      <c r="I871" s="2" t="s">
        <v>30</v>
      </c>
      <c r="J871" s="2" t="s">
        <v>52</v>
      </c>
      <c r="K871" s="2" t="s">
        <v>18</v>
      </c>
    </row>
    <row r="872" spans="1:11" x14ac:dyDescent="0.3">
      <c r="A872" s="2" t="s">
        <v>1232</v>
      </c>
      <c r="B872" s="2" t="s">
        <v>541</v>
      </c>
      <c r="C872" s="3">
        <v>45731.897916666669</v>
      </c>
      <c r="D872" s="2" t="s">
        <v>13</v>
      </c>
      <c r="E872" s="4">
        <v>1427.06</v>
      </c>
      <c r="F872" s="2" t="s">
        <v>14</v>
      </c>
      <c r="G872" s="5">
        <v>57</v>
      </c>
      <c r="H872" s="2" t="s">
        <v>15</v>
      </c>
      <c r="I872" s="2" t="s">
        <v>34</v>
      </c>
      <c r="J872" s="2" t="s">
        <v>44</v>
      </c>
      <c r="K872" s="2" t="s">
        <v>45</v>
      </c>
    </row>
    <row r="873" spans="1:11" x14ac:dyDescent="0.3">
      <c r="A873" s="2" t="s">
        <v>1233</v>
      </c>
      <c r="B873" s="2" t="s">
        <v>399</v>
      </c>
      <c r="C873" s="3">
        <v>45771.554861111108</v>
      </c>
      <c r="D873" s="2" t="s">
        <v>28</v>
      </c>
      <c r="E873" s="4">
        <v>15815.83</v>
      </c>
      <c r="F873" s="2" t="s">
        <v>14</v>
      </c>
      <c r="G873" s="5">
        <v>53</v>
      </c>
      <c r="H873" s="2" t="s">
        <v>29</v>
      </c>
      <c r="I873" s="2" t="s">
        <v>34</v>
      </c>
      <c r="J873" s="2" t="s">
        <v>17</v>
      </c>
      <c r="K873" s="2" t="s">
        <v>18</v>
      </c>
    </row>
    <row r="874" spans="1:11" x14ac:dyDescent="0.3">
      <c r="A874" s="2" t="s">
        <v>1234</v>
      </c>
      <c r="B874" s="2" t="s">
        <v>734</v>
      </c>
      <c r="C874" s="3">
        <v>45798.065972222219</v>
      </c>
      <c r="D874" s="2" t="s">
        <v>28</v>
      </c>
      <c r="E874" s="4">
        <v>28772.29</v>
      </c>
      <c r="F874" s="2" t="s">
        <v>14</v>
      </c>
      <c r="G874" s="5">
        <v>45</v>
      </c>
      <c r="H874" s="2" t="s">
        <v>15</v>
      </c>
      <c r="I874" s="2" t="s">
        <v>95</v>
      </c>
      <c r="J874" s="2" t="s">
        <v>44</v>
      </c>
      <c r="K874" s="2" t="s">
        <v>18</v>
      </c>
    </row>
    <row r="875" spans="1:11" x14ac:dyDescent="0.3">
      <c r="A875" s="2" t="s">
        <v>1235</v>
      </c>
      <c r="B875" s="2" t="s">
        <v>816</v>
      </c>
      <c r="C875" s="3">
        <v>45960.998611111107</v>
      </c>
      <c r="D875" s="2" t="s">
        <v>38</v>
      </c>
      <c r="E875" s="4">
        <v>9134.8700000000008</v>
      </c>
      <c r="F875" s="2" t="s">
        <v>14</v>
      </c>
      <c r="G875" s="5">
        <v>37</v>
      </c>
      <c r="H875" s="2" t="s">
        <v>15</v>
      </c>
      <c r="I875" s="2" t="s">
        <v>60</v>
      </c>
      <c r="J875" s="2" t="s">
        <v>44</v>
      </c>
      <c r="K875" s="2" t="s">
        <v>45</v>
      </c>
    </row>
    <row r="876" spans="1:11" x14ac:dyDescent="0.3">
      <c r="A876" s="2" t="s">
        <v>1236</v>
      </c>
      <c r="B876" s="2" t="s">
        <v>567</v>
      </c>
      <c r="C876" s="3">
        <v>45747.863194444442</v>
      </c>
      <c r="D876" s="2" t="s">
        <v>28</v>
      </c>
      <c r="E876" s="4">
        <v>7823.9</v>
      </c>
      <c r="F876" s="2" t="s">
        <v>14</v>
      </c>
      <c r="G876" s="5">
        <v>39</v>
      </c>
      <c r="H876" s="2" t="s">
        <v>15</v>
      </c>
      <c r="I876" s="2" t="s">
        <v>48</v>
      </c>
      <c r="J876" s="2" t="s">
        <v>17</v>
      </c>
      <c r="K876" s="2" t="s">
        <v>18</v>
      </c>
    </row>
    <row r="877" spans="1:11" x14ac:dyDescent="0.3">
      <c r="A877" s="2" t="s">
        <v>1237</v>
      </c>
      <c r="B877" s="2" t="s">
        <v>435</v>
      </c>
      <c r="C877" s="3">
        <v>45876.729861111111</v>
      </c>
      <c r="D877" s="2" t="s">
        <v>28</v>
      </c>
      <c r="E877" s="4">
        <v>48260.29</v>
      </c>
      <c r="F877" s="2" t="s">
        <v>14</v>
      </c>
      <c r="G877" s="5">
        <v>30</v>
      </c>
      <c r="H877" s="2" t="s">
        <v>15</v>
      </c>
      <c r="I877" s="2" t="s">
        <v>48</v>
      </c>
      <c r="J877" s="2" t="s">
        <v>44</v>
      </c>
      <c r="K877" s="2" t="s">
        <v>18</v>
      </c>
    </row>
    <row r="878" spans="1:11" x14ac:dyDescent="0.3">
      <c r="A878" s="2" t="s">
        <v>1238</v>
      </c>
      <c r="B878" s="2" t="s">
        <v>179</v>
      </c>
      <c r="C878" s="3">
        <v>45682.486805555563</v>
      </c>
      <c r="D878" s="2" t="s">
        <v>28</v>
      </c>
      <c r="E878" s="4">
        <v>52454.94</v>
      </c>
      <c r="F878" s="2" t="s">
        <v>14</v>
      </c>
      <c r="G878" s="5">
        <v>38</v>
      </c>
      <c r="H878" s="2" t="s">
        <v>15</v>
      </c>
      <c r="I878" s="2" t="s">
        <v>34</v>
      </c>
      <c r="J878" s="2" t="s">
        <v>17</v>
      </c>
      <c r="K878" s="2" t="s">
        <v>18</v>
      </c>
    </row>
    <row r="879" spans="1:11" x14ac:dyDescent="0.3">
      <c r="A879" s="2" t="s">
        <v>1239</v>
      </c>
      <c r="B879" s="2" t="s">
        <v>634</v>
      </c>
      <c r="C879" s="3">
        <v>46001.534722222219</v>
      </c>
      <c r="D879" s="2" t="s">
        <v>28</v>
      </c>
      <c r="E879" s="4">
        <v>17292.95</v>
      </c>
      <c r="F879" s="2" t="s">
        <v>14</v>
      </c>
      <c r="G879" s="5">
        <v>56</v>
      </c>
      <c r="H879" s="2" t="s">
        <v>29</v>
      </c>
      <c r="I879" s="2" t="s">
        <v>25</v>
      </c>
      <c r="J879" s="2" t="s">
        <v>17</v>
      </c>
      <c r="K879" s="2" t="s">
        <v>45</v>
      </c>
    </row>
    <row r="880" spans="1:11" x14ac:dyDescent="0.3">
      <c r="A880" s="2" t="s">
        <v>1240</v>
      </c>
      <c r="B880" s="2" t="s">
        <v>494</v>
      </c>
      <c r="C880" s="3">
        <v>45926.447222222218</v>
      </c>
      <c r="D880" s="2" t="s">
        <v>33</v>
      </c>
      <c r="E880" s="4">
        <v>890.55</v>
      </c>
      <c r="F880" s="2" t="s">
        <v>14</v>
      </c>
      <c r="G880" s="5">
        <v>42</v>
      </c>
      <c r="H880" s="2" t="s">
        <v>29</v>
      </c>
      <c r="I880" s="2" t="s">
        <v>34</v>
      </c>
      <c r="J880" s="2" t="s">
        <v>17</v>
      </c>
      <c r="K880" s="2" t="s">
        <v>45</v>
      </c>
    </row>
    <row r="881" spans="1:11" x14ac:dyDescent="0.3">
      <c r="A881" s="2" t="s">
        <v>1241</v>
      </c>
      <c r="B881" s="2" t="s">
        <v>1242</v>
      </c>
      <c r="C881" s="3">
        <v>45871.54791666667</v>
      </c>
      <c r="D881" s="2" t="s">
        <v>38</v>
      </c>
      <c r="E881" s="4">
        <v>9698.17</v>
      </c>
      <c r="F881" s="2" t="s">
        <v>14</v>
      </c>
      <c r="G881" s="5">
        <v>21</v>
      </c>
      <c r="H881" s="2" t="s">
        <v>29</v>
      </c>
      <c r="I881" s="2" t="s">
        <v>34</v>
      </c>
      <c r="J881" s="2" t="s">
        <v>44</v>
      </c>
      <c r="K881" s="2" t="s">
        <v>18</v>
      </c>
    </row>
    <row r="882" spans="1:11" x14ac:dyDescent="0.3">
      <c r="A882" s="2" t="s">
        <v>1243</v>
      </c>
      <c r="B882" s="2" t="s">
        <v>194</v>
      </c>
      <c r="C882" s="3">
        <v>45811.507638888892</v>
      </c>
      <c r="D882" s="2" t="s">
        <v>13</v>
      </c>
      <c r="E882" s="4">
        <v>3696.13</v>
      </c>
      <c r="F882" s="2" t="s">
        <v>57</v>
      </c>
      <c r="G882" s="5">
        <v>31</v>
      </c>
      <c r="H882" s="2" t="s">
        <v>29</v>
      </c>
      <c r="I882" s="2" t="s">
        <v>16</v>
      </c>
      <c r="J882" s="2" t="s">
        <v>17</v>
      </c>
      <c r="K882" s="2" t="s">
        <v>45</v>
      </c>
    </row>
    <row r="883" spans="1:11" x14ac:dyDescent="0.3">
      <c r="A883" s="2" t="s">
        <v>1244</v>
      </c>
      <c r="B883" s="2" t="s">
        <v>939</v>
      </c>
      <c r="C883" s="3">
        <v>45933.635416666657</v>
      </c>
      <c r="D883" s="2" t="s">
        <v>28</v>
      </c>
      <c r="E883" s="4">
        <v>4724.8</v>
      </c>
      <c r="F883" s="2" t="s">
        <v>14</v>
      </c>
      <c r="G883" s="5">
        <v>29</v>
      </c>
      <c r="H883" s="2" t="s">
        <v>15</v>
      </c>
      <c r="I883" s="2" t="s">
        <v>21</v>
      </c>
      <c r="J883" s="2" t="s">
        <v>17</v>
      </c>
      <c r="K883" s="2" t="s">
        <v>45</v>
      </c>
    </row>
    <row r="884" spans="1:11" x14ac:dyDescent="0.3">
      <c r="A884" s="2" t="s">
        <v>1245</v>
      </c>
      <c r="B884" s="2" t="s">
        <v>124</v>
      </c>
      <c r="C884" s="3">
        <v>45773.412499999999</v>
      </c>
      <c r="D884" s="2" t="s">
        <v>13</v>
      </c>
      <c r="E884" s="4">
        <v>895.87</v>
      </c>
      <c r="F884" s="2" t="s">
        <v>57</v>
      </c>
      <c r="G884" s="5">
        <v>39</v>
      </c>
      <c r="H884" s="2" t="s">
        <v>15</v>
      </c>
      <c r="I884" s="2" t="s">
        <v>16</v>
      </c>
      <c r="J884" s="2" t="s">
        <v>52</v>
      </c>
      <c r="K884" s="2" t="s">
        <v>35</v>
      </c>
    </row>
    <row r="885" spans="1:11" x14ac:dyDescent="0.3">
      <c r="A885" s="2" t="s">
        <v>1246</v>
      </c>
      <c r="B885" s="2" t="s">
        <v>185</v>
      </c>
      <c r="C885" s="3">
        <v>46020.20208333333</v>
      </c>
      <c r="D885" s="2" t="s">
        <v>33</v>
      </c>
      <c r="E885" s="4">
        <v>4888.88</v>
      </c>
      <c r="F885" s="2" t="s">
        <v>14</v>
      </c>
      <c r="G885" s="5">
        <v>28</v>
      </c>
      <c r="H885" s="2" t="s">
        <v>29</v>
      </c>
      <c r="I885" s="2" t="s">
        <v>34</v>
      </c>
      <c r="J885" s="2" t="s">
        <v>17</v>
      </c>
      <c r="K885" s="2" t="s">
        <v>18</v>
      </c>
    </row>
    <row r="886" spans="1:11" x14ac:dyDescent="0.3">
      <c r="A886" s="2" t="s">
        <v>1247</v>
      </c>
      <c r="B886" s="2" t="s">
        <v>248</v>
      </c>
      <c r="C886" s="3">
        <v>45895.065972222219</v>
      </c>
      <c r="D886" s="2" t="s">
        <v>28</v>
      </c>
      <c r="E886" s="4">
        <v>4954.75</v>
      </c>
      <c r="F886" s="2" t="s">
        <v>14</v>
      </c>
      <c r="G886" s="5">
        <v>35</v>
      </c>
      <c r="H886" s="2" t="s">
        <v>15</v>
      </c>
      <c r="I886" s="2" t="s">
        <v>25</v>
      </c>
      <c r="J886" s="2" t="s">
        <v>17</v>
      </c>
      <c r="K886" s="2" t="s">
        <v>35</v>
      </c>
    </row>
    <row r="887" spans="1:11" x14ac:dyDescent="0.3">
      <c r="A887" s="2" t="s">
        <v>1248</v>
      </c>
      <c r="B887" s="2" t="s">
        <v>258</v>
      </c>
      <c r="C887" s="3">
        <v>45869.565972222219</v>
      </c>
      <c r="D887" s="2" t="s">
        <v>33</v>
      </c>
      <c r="E887" s="4">
        <v>41365.9</v>
      </c>
      <c r="F887" s="2" t="s">
        <v>14</v>
      </c>
      <c r="G887" s="5">
        <v>58</v>
      </c>
      <c r="H887" s="2" t="s">
        <v>29</v>
      </c>
      <c r="I887" s="2" t="s">
        <v>30</v>
      </c>
      <c r="J887" s="2" t="s">
        <v>49</v>
      </c>
      <c r="K887" s="2" t="s">
        <v>45</v>
      </c>
    </row>
    <row r="888" spans="1:11" x14ac:dyDescent="0.3">
      <c r="A888" s="2" t="s">
        <v>1249</v>
      </c>
      <c r="B888" s="2" t="s">
        <v>429</v>
      </c>
      <c r="C888" s="3">
        <v>45929.183333333327</v>
      </c>
      <c r="D888" s="2" t="s">
        <v>33</v>
      </c>
      <c r="E888" s="4">
        <v>4349.13</v>
      </c>
      <c r="F888" s="2" t="s">
        <v>14</v>
      </c>
      <c r="G888" s="5">
        <v>31</v>
      </c>
      <c r="H888" s="2" t="s">
        <v>29</v>
      </c>
      <c r="I888" s="2" t="s">
        <v>25</v>
      </c>
      <c r="J888" s="2" t="s">
        <v>49</v>
      </c>
      <c r="K888" s="2" t="s">
        <v>18</v>
      </c>
    </row>
    <row r="889" spans="1:11" x14ac:dyDescent="0.3">
      <c r="A889" s="2" t="s">
        <v>1250</v>
      </c>
      <c r="B889" s="2" t="s">
        <v>690</v>
      </c>
      <c r="C889" s="3">
        <v>45782.342361111107</v>
      </c>
      <c r="D889" s="2" t="s">
        <v>38</v>
      </c>
      <c r="E889" s="4">
        <v>6967.41</v>
      </c>
      <c r="F889" s="2" t="s">
        <v>14</v>
      </c>
      <c r="G889" s="5">
        <v>33</v>
      </c>
      <c r="H889" s="2" t="s">
        <v>15</v>
      </c>
      <c r="I889" s="2" t="s">
        <v>43</v>
      </c>
      <c r="J889" s="2" t="s">
        <v>17</v>
      </c>
      <c r="K889" s="2" t="s">
        <v>45</v>
      </c>
    </row>
    <row r="890" spans="1:11" x14ac:dyDescent="0.3">
      <c r="A890" s="2" t="s">
        <v>1251</v>
      </c>
      <c r="B890" s="2" t="s">
        <v>47</v>
      </c>
      <c r="C890" s="3">
        <v>45827.836805555547</v>
      </c>
      <c r="D890" s="2" t="s">
        <v>13</v>
      </c>
      <c r="E890" s="4">
        <v>3764.79</v>
      </c>
      <c r="F890" s="2" t="s">
        <v>14</v>
      </c>
      <c r="G890" s="5">
        <v>53</v>
      </c>
      <c r="H890" s="2" t="s">
        <v>15</v>
      </c>
      <c r="I890" s="2" t="s">
        <v>48</v>
      </c>
      <c r="J890" s="2" t="s">
        <v>49</v>
      </c>
      <c r="K890" s="2" t="s">
        <v>18</v>
      </c>
    </row>
    <row r="891" spans="1:11" x14ac:dyDescent="0.3">
      <c r="A891" s="2" t="s">
        <v>1252</v>
      </c>
      <c r="B891" s="2" t="s">
        <v>1013</v>
      </c>
      <c r="C891" s="3">
        <v>45888.461805555547</v>
      </c>
      <c r="D891" s="2" t="s">
        <v>13</v>
      </c>
      <c r="E891" s="4">
        <v>1797.02</v>
      </c>
      <c r="F891" s="2" t="s">
        <v>14</v>
      </c>
      <c r="G891" s="5">
        <v>39</v>
      </c>
      <c r="H891" s="2" t="s">
        <v>15</v>
      </c>
      <c r="I891" s="2" t="s">
        <v>21</v>
      </c>
      <c r="J891" s="2" t="s">
        <v>49</v>
      </c>
      <c r="K891" s="2" t="s">
        <v>45</v>
      </c>
    </row>
    <row r="892" spans="1:11" x14ac:dyDescent="0.3">
      <c r="A892" s="2" t="s">
        <v>1253</v>
      </c>
      <c r="B892" s="2" t="s">
        <v>759</v>
      </c>
      <c r="C892" s="3">
        <v>45932.995138888888</v>
      </c>
      <c r="D892" s="2" t="s">
        <v>28</v>
      </c>
      <c r="E892" s="4">
        <v>4465.95</v>
      </c>
      <c r="F892" s="2" t="s">
        <v>14</v>
      </c>
      <c r="G892" s="5">
        <v>28</v>
      </c>
      <c r="H892" s="2" t="s">
        <v>29</v>
      </c>
      <c r="I892" s="2" t="s">
        <v>60</v>
      </c>
      <c r="J892" s="2" t="s">
        <v>17</v>
      </c>
      <c r="K892" s="2" t="s">
        <v>18</v>
      </c>
    </row>
    <row r="893" spans="1:11" x14ac:dyDescent="0.3">
      <c r="A893" s="2" t="s">
        <v>1254</v>
      </c>
      <c r="B893" s="2" t="s">
        <v>27</v>
      </c>
      <c r="C893" s="3">
        <v>45755.053472222222</v>
      </c>
      <c r="D893" s="2" t="s">
        <v>38</v>
      </c>
      <c r="E893" s="4">
        <v>4020.63</v>
      </c>
      <c r="F893" s="2" t="s">
        <v>122</v>
      </c>
      <c r="G893" s="5">
        <v>35</v>
      </c>
      <c r="H893" s="2" t="s">
        <v>29</v>
      </c>
      <c r="I893" s="2" t="s">
        <v>30</v>
      </c>
      <c r="J893" s="2" t="s">
        <v>17</v>
      </c>
      <c r="K893" s="2" t="s">
        <v>18</v>
      </c>
    </row>
    <row r="894" spans="1:11" x14ac:dyDescent="0.3">
      <c r="A894" s="2" t="s">
        <v>1255</v>
      </c>
      <c r="B894" s="2" t="s">
        <v>254</v>
      </c>
      <c r="C894" s="3">
        <v>45851.901388888888</v>
      </c>
      <c r="D894" s="2" t="s">
        <v>28</v>
      </c>
      <c r="E894" s="4">
        <v>15751.25</v>
      </c>
      <c r="F894" s="2" t="s">
        <v>14</v>
      </c>
      <c r="G894" s="5">
        <v>36</v>
      </c>
      <c r="H894" s="2" t="s">
        <v>29</v>
      </c>
      <c r="I894" s="2" t="s">
        <v>34</v>
      </c>
      <c r="J894" s="2" t="s">
        <v>17</v>
      </c>
      <c r="K894" s="2" t="s">
        <v>45</v>
      </c>
    </row>
    <row r="895" spans="1:11" x14ac:dyDescent="0.3">
      <c r="A895" s="2" t="s">
        <v>1256</v>
      </c>
      <c r="B895" s="2" t="s">
        <v>560</v>
      </c>
      <c r="C895" s="3">
        <v>45966.079861111109</v>
      </c>
      <c r="D895" s="2" t="s">
        <v>13</v>
      </c>
      <c r="E895" s="4">
        <v>414.98</v>
      </c>
      <c r="F895" s="2" t="s">
        <v>14</v>
      </c>
      <c r="G895" s="5">
        <v>23</v>
      </c>
      <c r="H895" s="2" t="s">
        <v>15</v>
      </c>
      <c r="I895" s="2" t="s">
        <v>25</v>
      </c>
      <c r="J895" s="2" t="s">
        <v>17</v>
      </c>
      <c r="K895" s="2" t="s">
        <v>18</v>
      </c>
    </row>
    <row r="896" spans="1:11" x14ac:dyDescent="0.3">
      <c r="A896" s="2" t="s">
        <v>1257</v>
      </c>
      <c r="B896" s="2" t="s">
        <v>185</v>
      </c>
      <c r="C896" s="3">
        <v>45695.285416666673</v>
      </c>
      <c r="D896" s="2" t="s">
        <v>28</v>
      </c>
      <c r="E896" s="4">
        <v>2309.7800000000002</v>
      </c>
      <c r="F896" s="2" t="s">
        <v>14</v>
      </c>
      <c r="G896" s="5">
        <v>28</v>
      </c>
      <c r="H896" s="2" t="s">
        <v>29</v>
      </c>
      <c r="I896" s="2" t="s">
        <v>34</v>
      </c>
      <c r="J896" s="2" t="s">
        <v>17</v>
      </c>
      <c r="K896" s="2" t="s">
        <v>18</v>
      </c>
    </row>
    <row r="897" spans="1:11" x14ac:dyDescent="0.3">
      <c r="A897" s="2" t="s">
        <v>1258</v>
      </c>
      <c r="B897" s="2" t="s">
        <v>230</v>
      </c>
      <c r="C897" s="3">
        <v>45958.987500000003</v>
      </c>
      <c r="D897" s="2" t="s">
        <v>13</v>
      </c>
      <c r="E897" s="4">
        <v>3333.71</v>
      </c>
      <c r="F897" s="2" t="s">
        <v>14</v>
      </c>
      <c r="G897" s="5">
        <v>35</v>
      </c>
      <c r="H897" s="2" t="s">
        <v>15</v>
      </c>
      <c r="I897" s="2" t="s">
        <v>34</v>
      </c>
      <c r="J897" s="2" t="s">
        <v>17</v>
      </c>
      <c r="K897" s="2" t="s">
        <v>22</v>
      </c>
    </row>
    <row r="898" spans="1:11" x14ac:dyDescent="0.3">
      <c r="A898" s="2" t="s">
        <v>1259</v>
      </c>
      <c r="B898" s="2" t="s">
        <v>939</v>
      </c>
      <c r="C898" s="3">
        <v>45944.270833333343</v>
      </c>
      <c r="D898" s="2" t="s">
        <v>13</v>
      </c>
      <c r="E898" s="4">
        <v>686.62</v>
      </c>
      <c r="F898" s="2" t="s">
        <v>14</v>
      </c>
      <c r="G898" s="5">
        <v>29</v>
      </c>
      <c r="H898" s="2" t="s">
        <v>15</v>
      </c>
      <c r="I898" s="2" t="s">
        <v>21</v>
      </c>
      <c r="J898" s="2" t="s">
        <v>17</v>
      </c>
      <c r="K898" s="2" t="s">
        <v>45</v>
      </c>
    </row>
    <row r="899" spans="1:11" x14ac:dyDescent="0.3">
      <c r="A899" s="2" t="s">
        <v>1260</v>
      </c>
      <c r="B899" s="2" t="s">
        <v>500</v>
      </c>
      <c r="C899" s="3">
        <v>45764.429861111108</v>
      </c>
      <c r="D899" s="2" t="s">
        <v>13</v>
      </c>
      <c r="E899" s="4">
        <v>2346.19</v>
      </c>
      <c r="F899" s="2" t="s">
        <v>14</v>
      </c>
      <c r="G899" s="5">
        <v>27</v>
      </c>
      <c r="H899" s="2" t="s">
        <v>15</v>
      </c>
      <c r="I899" s="2" t="s">
        <v>60</v>
      </c>
      <c r="J899" s="2" t="s">
        <v>44</v>
      </c>
      <c r="K899" s="2" t="s">
        <v>18</v>
      </c>
    </row>
    <row r="900" spans="1:11" x14ac:dyDescent="0.3">
      <c r="A900" s="2" t="s">
        <v>1261</v>
      </c>
      <c r="B900" s="2" t="s">
        <v>136</v>
      </c>
      <c r="C900" s="3">
        <v>45665.290972222218</v>
      </c>
      <c r="D900" s="2" t="s">
        <v>28</v>
      </c>
      <c r="E900" s="4">
        <v>7921.61</v>
      </c>
      <c r="F900" s="2" t="s">
        <v>14</v>
      </c>
      <c r="G900" s="5">
        <v>59</v>
      </c>
      <c r="H900" s="2" t="s">
        <v>15</v>
      </c>
      <c r="I900" s="2" t="s">
        <v>16</v>
      </c>
      <c r="J900" s="2" t="s">
        <v>17</v>
      </c>
      <c r="K900" s="2" t="s">
        <v>18</v>
      </c>
    </row>
    <row r="901" spans="1:11" x14ac:dyDescent="0.3">
      <c r="A901" s="2" t="s">
        <v>1262</v>
      </c>
      <c r="B901" s="2" t="s">
        <v>619</v>
      </c>
      <c r="C901" s="3">
        <v>45755.963194444441</v>
      </c>
      <c r="D901" s="2" t="s">
        <v>13</v>
      </c>
      <c r="E901" s="4">
        <v>361.92</v>
      </c>
      <c r="F901" s="2" t="s">
        <v>14</v>
      </c>
      <c r="G901" s="5">
        <v>51</v>
      </c>
      <c r="H901" s="2" t="s">
        <v>15</v>
      </c>
      <c r="I901" s="2" t="s">
        <v>34</v>
      </c>
      <c r="J901" s="2" t="s">
        <v>17</v>
      </c>
      <c r="K901" s="2" t="s">
        <v>18</v>
      </c>
    </row>
    <row r="902" spans="1:11" x14ac:dyDescent="0.3">
      <c r="A902" s="2" t="s">
        <v>1263</v>
      </c>
      <c r="B902" s="2" t="s">
        <v>176</v>
      </c>
      <c r="C902" s="3">
        <v>45903.322222222218</v>
      </c>
      <c r="D902" s="2" t="s">
        <v>28</v>
      </c>
      <c r="E902" s="4">
        <v>14587.64</v>
      </c>
      <c r="F902" s="2" t="s">
        <v>14</v>
      </c>
      <c r="G902" s="5">
        <v>32</v>
      </c>
      <c r="H902" s="2" t="s">
        <v>15</v>
      </c>
      <c r="I902" s="2" t="s">
        <v>34</v>
      </c>
      <c r="J902" s="2" t="s">
        <v>49</v>
      </c>
      <c r="K902" s="2" t="s">
        <v>45</v>
      </c>
    </row>
    <row r="903" spans="1:11" x14ac:dyDescent="0.3">
      <c r="A903" s="2" t="s">
        <v>1264</v>
      </c>
      <c r="B903" s="2" t="s">
        <v>489</v>
      </c>
      <c r="C903" s="3">
        <v>45967.925694444442</v>
      </c>
      <c r="D903" s="2" t="s">
        <v>28</v>
      </c>
      <c r="E903" s="4">
        <v>26296.85</v>
      </c>
      <c r="F903" s="2" t="s">
        <v>14</v>
      </c>
      <c r="G903" s="5">
        <v>28</v>
      </c>
      <c r="H903" s="2" t="s">
        <v>15</v>
      </c>
      <c r="I903" s="2" t="s">
        <v>30</v>
      </c>
      <c r="J903" s="2" t="s">
        <v>17</v>
      </c>
      <c r="K903" s="2" t="s">
        <v>18</v>
      </c>
    </row>
    <row r="904" spans="1:11" x14ac:dyDescent="0.3">
      <c r="A904" s="2" t="s">
        <v>1265</v>
      </c>
      <c r="B904" s="2" t="s">
        <v>947</v>
      </c>
      <c r="C904" s="3">
        <v>45861.315972222219</v>
      </c>
      <c r="D904" s="2" t="s">
        <v>33</v>
      </c>
      <c r="E904" s="4">
        <v>4956.47</v>
      </c>
      <c r="F904" s="2" t="s">
        <v>14</v>
      </c>
      <c r="G904" s="5">
        <v>25</v>
      </c>
      <c r="H904" s="2" t="s">
        <v>29</v>
      </c>
      <c r="I904" s="2" t="s">
        <v>34</v>
      </c>
      <c r="J904" s="2" t="s">
        <v>17</v>
      </c>
      <c r="K904" s="2" t="s">
        <v>22</v>
      </c>
    </row>
    <row r="905" spans="1:11" x14ac:dyDescent="0.3">
      <c r="A905" s="2" t="s">
        <v>1266</v>
      </c>
      <c r="B905" s="2" t="s">
        <v>291</v>
      </c>
      <c r="C905" s="3">
        <v>45822.39166666667</v>
      </c>
      <c r="D905" s="2" t="s">
        <v>28</v>
      </c>
      <c r="E905" s="4">
        <v>94960.05</v>
      </c>
      <c r="F905" s="2" t="s">
        <v>14</v>
      </c>
      <c r="G905" s="5">
        <v>39</v>
      </c>
      <c r="H905" s="2" t="s">
        <v>15</v>
      </c>
      <c r="I905" s="2" t="s">
        <v>25</v>
      </c>
      <c r="J905" s="2" t="s">
        <v>17</v>
      </c>
      <c r="K905" s="2" t="s">
        <v>18</v>
      </c>
    </row>
    <row r="906" spans="1:11" x14ac:dyDescent="0.3">
      <c r="A906" s="2" t="s">
        <v>1267</v>
      </c>
      <c r="B906" s="2" t="s">
        <v>399</v>
      </c>
      <c r="C906" s="3">
        <v>45896.736805555563</v>
      </c>
      <c r="D906" s="2" t="s">
        <v>28</v>
      </c>
      <c r="E906" s="4">
        <v>6680.16</v>
      </c>
      <c r="F906" s="2" t="s">
        <v>14</v>
      </c>
      <c r="G906" s="5">
        <v>53</v>
      </c>
      <c r="H906" s="2" t="s">
        <v>29</v>
      </c>
      <c r="I906" s="2" t="s">
        <v>34</v>
      </c>
      <c r="J906" s="2" t="s">
        <v>17</v>
      </c>
      <c r="K906" s="2" t="s">
        <v>18</v>
      </c>
    </row>
    <row r="907" spans="1:11" x14ac:dyDescent="0.3">
      <c r="A907" s="2" t="s">
        <v>1268</v>
      </c>
      <c r="B907" s="2" t="s">
        <v>1130</v>
      </c>
      <c r="C907" s="3">
        <v>45841.386111111111</v>
      </c>
      <c r="D907" s="2" t="s">
        <v>28</v>
      </c>
      <c r="E907" s="4">
        <v>8824.7800000000007</v>
      </c>
      <c r="F907" s="2" t="s">
        <v>14</v>
      </c>
      <c r="G907" s="5">
        <v>36</v>
      </c>
      <c r="H907" s="2" t="s">
        <v>29</v>
      </c>
      <c r="I907" s="2" t="s">
        <v>34</v>
      </c>
      <c r="J907" s="2" t="s">
        <v>52</v>
      </c>
      <c r="K907" s="2" t="s">
        <v>18</v>
      </c>
    </row>
    <row r="908" spans="1:11" x14ac:dyDescent="0.3">
      <c r="A908" s="2" t="s">
        <v>1269</v>
      </c>
      <c r="B908" s="2" t="s">
        <v>603</v>
      </c>
      <c r="C908" s="3">
        <v>45842.705555555563</v>
      </c>
      <c r="D908" s="2" t="s">
        <v>154</v>
      </c>
      <c r="E908" s="4">
        <v>2000</v>
      </c>
      <c r="F908" s="2" t="s">
        <v>14</v>
      </c>
      <c r="G908" s="5">
        <v>49</v>
      </c>
      <c r="H908" s="2" t="s">
        <v>15</v>
      </c>
      <c r="I908" s="2" t="s">
        <v>34</v>
      </c>
      <c r="J908" s="2" t="s">
        <v>17</v>
      </c>
      <c r="K908" s="2" t="s">
        <v>18</v>
      </c>
    </row>
    <row r="909" spans="1:11" x14ac:dyDescent="0.3">
      <c r="A909" s="2" t="s">
        <v>1270</v>
      </c>
      <c r="B909" s="2" t="s">
        <v>772</v>
      </c>
      <c r="C909" s="3">
        <v>45912.587500000001</v>
      </c>
      <c r="D909" s="2" t="s">
        <v>154</v>
      </c>
      <c r="E909" s="4">
        <v>2000</v>
      </c>
      <c r="F909" s="2" t="s">
        <v>14</v>
      </c>
      <c r="G909" s="5">
        <v>31</v>
      </c>
      <c r="H909" s="2" t="s">
        <v>15</v>
      </c>
      <c r="I909" s="2" t="s">
        <v>34</v>
      </c>
      <c r="J909" s="2" t="s">
        <v>52</v>
      </c>
      <c r="K909" s="2" t="s">
        <v>18</v>
      </c>
    </row>
    <row r="910" spans="1:11" x14ac:dyDescent="0.3">
      <c r="A910" s="2" t="s">
        <v>1271</v>
      </c>
      <c r="B910" s="2" t="s">
        <v>752</v>
      </c>
      <c r="C910" s="3">
        <v>45898.456944444442</v>
      </c>
      <c r="D910" s="2" t="s">
        <v>13</v>
      </c>
      <c r="E910" s="4">
        <v>1184.4000000000001</v>
      </c>
      <c r="F910" s="2" t="s">
        <v>14</v>
      </c>
      <c r="G910" s="5">
        <v>20</v>
      </c>
      <c r="H910" s="2" t="s">
        <v>15</v>
      </c>
      <c r="I910" s="2" t="s">
        <v>48</v>
      </c>
      <c r="J910" s="2" t="s">
        <v>17</v>
      </c>
      <c r="K910" s="2" t="s">
        <v>18</v>
      </c>
    </row>
    <row r="911" spans="1:11" x14ac:dyDescent="0.3">
      <c r="A911" s="2" t="s">
        <v>1272</v>
      </c>
      <c r="B911" s="2" t="s">
        <v>707</v>
      </c>
      <c r="C911" s="3">
        <v>45762.472222222219</v>
      </c>
      <c r="D911" s="2" t="s">
        <v>13</v>
      </c>
      <c r="E911" s="4">
        <v>939.54</v>
      </c>
      <c r="F911" s="2" t="s">
        <v>14</v>
      </c>
      <c r="G911" s="5">
        <v>35</v>
      </c>
      <c r="H911" s="2" t="s">
        <v>15</v>
      </c>
      <c r="I911" s="2" t="s">
        <v>25</v>
      </c>
      <c r="J911" s="2" t="s">
        <v>17</v>
      </c>
      <c r="K911" s="2" t="s">
        <v>45</v>
      </c>
    </row>
    <row r="912" spans="1:11" x14ac:dyDescent="0.3">
      <c r="A912" s="2" t="s">
        <v>1273</v>
      </c>
      <c r="B912" s="2" t="s">
        <v>1274</v>
      </c>
      <c r="C912" s="3">
        <v>45869.066666666673</v>
      </c>
      <c r="D912" s="2" t="s">
        <v>38</v>
      </c>
      <c r="E912" s="4">
        <v>17107.34</v>
      </c>
      <c r="F912" s="2" t="s">
        <v>14</v>
      </c>
      <c r="G912" s="5">
        <v>32</v>
      </c>
      <c r="H912" s="2" t="s">
        <v>15</v>
      </c>
      <c r="I912" s="2" t="s">
        <v>95</v>
      </c>
      <c r="J912" s="2" t="s">
        <v>17</v>
      </c>
      <c r="K912" s="2" t="s">
        <v>18</v>
      </c>
    </row>
    <row r="913" spans="1:11" x14ac:dyDescent="0.3">
      <c r="A913" s="2" t="s">
        <v>1275</v>
      </c>
      <c r="B913" s="2" t="s">
        <v>291</v>
      </c>
      <c r="C913" s="3">
        <v>45771.964583333327</v>
      </c>
      <c r="D913" s="2" t="s">
        <v>28</v>
      </c>
      <c r="E913" s="4">
        <v>41561.879999999997</v>
      </c>
      <c r="F913" s="2" t="s">
        <v>14</v>
      </c>
      <c r="G913" s="5">
        <v>39</v>
      </c>
      <c r="H913" s="2" t="s">
        <v>15</v>
      </c>
      <c r="I913" s="2" t="s">
        <v>25</v>
      </c>
      <c r="J913" s="2" t="s">
        <v>17</v>
      </c>
      <c r="K913" s="2" t="s">
        <v>22</v>
      </c>
    </row>
    <row r="914" spans="1:11" x14ac:dyDescent="0.3">
      <c r="A914" s="2" t="s">
        <v>1276</v>
      </c>
      <c r="B914" s="2" t="s">
        <v>564</v>
      </c>
      <c r="C914" s="3">
        <v>45666.357638888891</v>
      </c>
      <c r="D914" s="2" t="s">
        <v>38</v>
      </c>
      <c r="E914" s="4">
        <v>37019.050000000003</v>
      </c>
      <c r="F914" s="2" t="s">
        <v>14</v>
      </c>
      <c r="G914" s="5">
        <v>46</v>
      </c>
      <c r="H914" s="2" t="s">
        <v>15</v>
      </c>
      <c r="I914" s="2" t="s">
        <v>25</v>
      </c>
      <c r="J914" s="2" t="s">
        <v>44</v>
      </c>
      <c r="K914" s="2" t="s">
        <v>18</v>
      </c>
    </row>
    <row r="915" spans="1:11" x14ac:dyDescent="0.3">
      <c r="A915" s="2" t="s">
        <v>1277</v>
      </c>
      <c r="B915" s="2" t="s">
        <v>926</v>
      </c>
      <c r="C915" s="3">
        <v>45957.781944444447</v>
      </c>
      <c r="D915" s="2" t="s">
        <v>13</v>
      </c>
      <c r="E915" s="4">
        <v>916.52</v>
      </c>
      <c r="F915" s="2" t="s">
        <v>14</v>
      </c>
      <c r="G915" s="5">
        <v>27</v>
      </c>
      <c r="H915" s="2" t="s">
        <v>29</v>
      </c>
      <c r="I915" s="2" t="s">
        <v>34</v>
      </c>
      <c r="J915" s="2" t="s">
        <v>17</v>
      </c>
      <c r="K915" s="2" t="s">
        <v>35</v>
      </c>
    </row>
    <row r="916" spans="1:11" x14ac:dyDescent="0.3">
      <c r="A916" s="2" t="s">
        <v>1278</v>
      </c>
      <c r="B916" s="2" t="s">
        <v>988</v>
      </c>
      <c r="C916" s="3">
        <v>45871.381249999999</v>
      </c>
      <c r="D916" s="2" t="s">
        <v>28</v>
      </c>
      <c r="E916" s="4">
        <v>9909.76</v>
      </c>
      <c r="F916" s="2" t="s">
        <v>14</v>
      </c>
      <c r="G916" s="5">
        <v>35</v>
      </c>
      <c r="H916" s="2" t="s">
        <v>29</v>
      </c>
      <c r="I916" s="2" t="s">
        <v>34</v>
      </c>
      <c r="J916" s="2" t="s">
        <v>49</v>
      </c>
      <c r="K916" s="2" t="s">
        <v>18</v>
      </c>
    </row>
    <row r="917" spans="1:11" x14ac:dyDescent="0.3">
      <c r="A917" s="2" t="s">
        <v>1279</v>
      </c>
      <c r="B917" s="2" t="s">
        <v>179</v>
      </c>
      <c r="C917" s="3">
        <v>45758.426388888889</v>
      </c>
      <c r="D917" s="2" t="s">
        <v>13</v>
      </c>
      <c r="E917" s="4">
        <v>2060.35</v>
      </c>
      <c r="F917" s="2" t="s">
        <v>57</v>
      </c>
      <c r="G917" s="5">
        <v>38</v>
      </c>
      <c r="H917" s="2" t="s">
        <v>15</v>
      </c>
      <c r="I917" s="2" t="s">
        <v>34</v>
      </c>
      <c r="J917" s="2" t="s">
        <v>17</v>
      </c>
      <c r="K917" s="2" t="s">
        <v>18</v>
      </c>
    </row>
    <row r="918" spans="1:11" x14ac:dyDescent="0.3">
      <c r="A918" s="2" t="s">
        <v>1280</v>
      </c>
      <c r="B918" s="2" t="s">
        <v>575</v>
      </c>
      <c r="C918" s="3">
        <v>45852.786805555559</v>
      </c>
      <c r="D918" s="2" t="s">
        <v>13</v>
      </c>
      <c r="E918" s="4">
        <v>1238.82</v>
      </c>
      <c r="F918" s="2" t="s">
        <v>14</v>
      </c>
      <c r="G918" s="5">
        <v>48</v>
      </c>
      <c r="H918" s="2" t="s">
        <v>29</v>
      </c>
      <c r="I918" s="2" t="s">
        <v>34</v>
      </c>
      <c r="J918" s="2" t="s">
        <v>17</v>
      </c>
      <c r="K918" s="2" t="s">
        <v>18</v>
      </c>
    </row>
    <row r="919" spans="1:11" x14ac:dyDescent="0.3">
      <c r="A919" s="2" t="s">
        <v>1281</v>
      </c>
      <c r="B919" s="2" t="s">
        <v>631</v>
      </c>
      <c r="C919" s="3">
        <v>45783.649305555547</v>
      </c>
      <c r="D919" s="2" t="s">
        <v>28</v>
      </c>
      <c r="E919" s="4">
        <v>19162.509999999998</v>
      </c>
      <c r="F919" s="2" t="s">
        <v>14</v>
      </c>
      <c r="G919" s="5">
        <v>27</v>
      </c>
      <c r="H919" s="2" t="s">
        <v>29</v>
      </c>
      <c r="I919" s="2" t="s">
        <v>34</v>
      </c>
      <c r="J919" s="2" t="s">
        <v>17</v>
      </c>
      <c r="K919" s="2" t="s">
        <v>45</v>
      </c>
    </row>
    <row r="920" spans="1:11" x14ac:dyDescent="0.3">
      <c r="A920" s="2" t="s">
        <v>1282</v>
      </c>
      <c r="B920" s="2" t="s">
        <v>117</v>
      </c>
      <c r="C920" s="3">
        <v>45993.88958333333</v>
      </c>
      <c r="D920" s="2" t="s">
        <v>38</v>
      </c>
      <c r="E920" s="4">
        <v>509.45</v>
      </c>
      <c r="F920" s="2" t="s">
        <v>57</v>
      </c>
      <c r="G920" s="5">
        <v>47</v>
      </c>
      <c r="H920" s="2" t="s">
        <v>29</v>
      </c>
      <c r="I920" s="2" t="s">
        <v>34</v>
      </c>
      <c r="J920" s="2" t="s">
        <v>17</v>
      </c>
      <c r="K920" s="2" t="s">
        <v>18</v>
      </c>
    </row>
    <row r="921" spans="1:11" x14ac:dyDescent="0.3">
      <c r="A921" s="2" t="s">
        <v>1283</v>
      </c>
      <c r="B921" s="2" t="s">
        <v>949</v>
      </c>
      <c r="C921" s="3">
        <v>45789.656944444447</v>
      </c>
      <c r="D921" s="2" t="s">
        <v>28</v>
      </c>
      <c r="E921" s="4">
        <v>15972.13</v>
      </c>
      <c r="F921" s="2" t="s">
        <v>14</v>
      </c>
      <c r="G921" s="5">
        <v>45</v>
      </c>
      <c r="H921" s="2" t="s">
        <v>29</v>
      </c>
      <c r="I921" s="2" t="s">
        <v>34</v>
      </c>
      <c r="J921" s="2" t="s">
        <v>17</v>
      </c>
      <c r="K921" s="2" t="s">
        <v>18</v>
      </c>
    </row>
    <row r="922" spans="1:11" x14ac:dyDescent="0.3">
      <c r="A922" s="2" t="s">
        <v>1284</v>
      </c>
      <c r="B922" s="2" t="s">
        <v>327</v>
      </c>
      <c r="C922" s="3">
        <v>45986.979861111111</v>
      </c>
      <c r="D922" s="2" t="s">
        <v>33</v>
      </c>
      <c r="E922" s="4">
        <v>3005.5</v>
      </c>
      <c r="F922" s="2" t="s">
        <v>14</v>
      </c>
      <c r="G922" s="5">
        <v>48</v>
      </c>
      <c r="H922" s="2" t="s">
        <v>15</v>
      </c>
      <c r="I922" s="2" t="s">
        <v>34</v>
      </c>
      <c r="J922" s="2" t="s">
        <v>17</v>
      </c>
      <c r="K922" s="2" t="s">
        <v>18</v>
      </c>
    </row>
    <row r="923" spans="1:11" x14ac:dyDescent="0.3">
      <c r="A923" s="2" t="s">
        <v>1285</v>
      </c>
      <c r="B923" s="2" t="s">
        <v>837</v>
      </c>
      <c r="C923" s="3">
        <v>45893.240277777782</v>
      </c>
      <c r="D923" s="2" t="s">
        <v>13</v>
      </c>
      <c r="E923" s="4">
        <v>1877.32</v>
      </c>
      <c r="F923" s="2" t="s">
        <v>14</v>
      </c>
      <c r="G923" s="5">
        <v>37</v>
      </c>
      <c r="H923" s="2" t="s">
        <v>15</v>
      </c>
      <c r="I923" s="2" t="s">
        <v>78</v>
      </c>
      <c r="J923" s="2" t="s">
        <v>17</v>
      </c>
      <c r="K923" s="2" t="s">
        <v>18</v>
      </c>
    </row>
    <row r="924" spans="1:11" x14ac:dyDescent="0.3">
      <c r="A924" s="2" t="s">
        <v>1286</v>
      </c>
      <c r="B924" s="2" t="s">
        <v>289</v>
      </c>
      <c r="C924" s="3">
        <v>45838.213888888888</v>
      </c>
      <c r="D924" s="2" t="s">
        <v>28</v>
      </c>
      <c r="E924" s="4">
        <v>24836.17</v>
      </c>
      <c r="F924" s="2" t="s">
        <v>14</v>
      </c>
      <c r="G924" s="5">
        <v>32</v>
      </c>
      <c r="H924" s="2" t="s">
        <v>29</v>
      </c>
      <c r="I924" s="2" t="s">
        <v>48</v>
      </c>
      <c r="J924" s="2" t="s">
        <v>17</v>
      </c>
      <c r="K924" s="2" t="s">
        <v>22</v>
      </c>
    </row>
    <row r="925" spans="1:11" x14ac:dyDescent="0.3">
      <c r="A925" s="2" t="s">
        <v>1287</v>
      </c>
      <c r="B925" s="2" t="s">
        <v>1068</v>
      </c>
      <c r="C925" s="3">
        <v>45937.632638888892</v>
      </c>
      <c r="D925" s="2" t="s">
        <v>28</v>
      </c>
      <c r="E925" s="4">
        <v>6768.28</v>
      </c>
      <c r="F925" s="2" t="s">
        <v>14</v>
      </c>
      <c r="G925" s="5">
        <v>40</v>
      </c>
      <c r="H925" s="2" t="s">
        <v>29</v>
      </c>
      <c r="I925" s="2" t="s">
        <v>60</v>
      </c>
      <c r="J925" s="2" t="s">
        <v>44</v>
      </c>
      <c r="K925" s="2" t="s">
        <v>45</v>
      </c>
    </row>
    <row r="926" spans="1:11" x14ac:dyDescent="0.3">
      <c r="A926" s="2" t="s">
        <v>1288</v>
      </c>
      <c r="B926" s="2" t="s">
        <v>92</v>
      </c>
      <c r="C926" s="3">
        <v>45935.835416666669</v>
      </c>
      <c r="D926" s="2" t="s">
        <v>28</v>
      </c>
      <c r="E926" s="4">
        <v>2175</v>
      </c>
      <c r="F926" s="2" t="s">
        <v>14</v>
      </c>
      <c r="G926" s="5">
        <v>31</v>
      </c>
      <c r="H926" s="2" t="s">
        <v>29</v>
      </c>
      <c r="I926" s="2" t="s">
        <v>60</v>
      </c>
      <c r="J926" s="2" t="s">
        <v>44</v>
      </c>
      <c r="K926" s="2" t="s">
        <v>18</v>
      </c>
    </row>
    <row r="927" spans="1:11" x14ac:dyDescent="0.3">
      <c r="A927" s="2" t="s">
        <v>1289</v>
      </c>
      <c r="B927" s="2" t="s">
        <v>1290</v>
      </c>
      <c r="C927" s="3">
        <v>45926.078472222223</v>
      </c>
      <c r="D927" s="2" t="s">
        <v>38</v>
      </c>
      <c r="E927" s="4">
        <v>10258.780000000001</v>
      </c>
      <c r="F927" s="2" t="s">
        <v>14</v>
      </c>
      <c r="G927" s="5">
        <v>32</v>
      </c>
      <c r="H927" s="2" t="s">
        <v>15</v>
      </c>
      <c r="I927" s="2" t="s">
        <v>34</v>
      </c>
      <c r="J927" s="2" t="s">
        <v>44</v>
      </c>
      <c r="K927" s="2" t="s">
        <v>18</v>
      </c>
    </row>
    <row r="928" spans="1:11" x14ac:dyDescent="0.3">
      <c r="A928" s="2" t="s">
        <v>1291</v>
      </c>
      <c r="B928" s="2" t="s">
        <v>20</v>
      </c>
      <c r="C928" s="3">
        <v>45696.877083333333</v>
      </c>
      <c r="D928" s="2" t="s">
        <v>28</v>
      </c>
      <c r="E928" s="4">
        <v>1866.28</v>
      </c>
      <c r="F928" s="2" t="s">
        <v>14</v>
      </c>
      <c r="G928" s="5">
        <v>43</v>
      </c>
      <c r="H928" s="2" t="s">
        <v>15</v>
      </c>
      <c r="I928" s="2" t="s">
        <v>21</v>
      </c>
      <c r="J928" s="2" t="s">
        <v>17</v>
      </c>
      <c r="K928" s="2" t="s">
        <v>35</v>
      </c>
    </row>
    <row r="929" spans="1:11" x14ac:dyDescent="0.3">
      <c r="A929" s="2" t="s">
        <v>1292</v>
      </c>
      <c r="B929" s="2" t="s">
        <v>327</v>
      </c>
      <c r="C929" s="3">
        <v>45661.547222222223</v>
      </c>
      <c r="D929" s="2" t="s">
        <v>28</v>
      </c>
      <c r="E929" s="4">
        <v>12859.26</v>
      </c>
      <c r="F929" s="2" t="s">
        <v>14</v>
      </c>
      <c r="G929" s="5">
        <v>48</v>
      </c>
      <c r="H929" s="2" t="s">
        <v>15</v>
      </c>
      <c r="I929" s="2" t="s">
        <v>34</v>
      </c>
      <c r="J929" s="2" t="s">
        <v>17</v>
      </c>
      <c r="K929" s="2" t="s">
        <v>22</v>
      </c>
    </row>
    <row r="930" spans="1:11" x14ac:dyDescent="0.3">
      <c r="A930" s="2" t="s">
        <v>1293</v>
      </c>
      <c r="B930" s="2" t="s">
        <v>868</v>
      </c>
      <c r="C930" s="3">
        <v>45980.294444444437</v>
      </c>
      <c r="D930" s="2" t="s">
        <v>13</v>
      </c>
      <c r="E930" s="4">
        <v>1527.75</v>
      </c>
      <c r="F930" s="2" t="s">
        <v>14</v>
      </c>
      <c r="G930" s="5">
        <v>32</v>
      </c>
      <c r="H930" s="2" t="s">
        <v>15</v>
      </c>
      <c r="I930" s="2" t="s">
        <v>34</v>
      </c>
      <c r="J930" s="2" t="s">
        <v>17</v>
      </c>
      <c r="K930" s="2" t="s">
        <v>18</v>
      </c>
    </row>
    <row r="931" spans="1:11" x14ac:dyDescent="0.3">
      <c r="A931" s="2" t="s">
        <v>1294</v>
      </c>
      <c r="B931" s="2" t="s">
        <v>272</v>
      </c>
      <c r="C931" s="3">
        <v>46020.166666666657</v>
      </c>
      <c r="D931" s="2" t="s">
        <v>33</v>
      </c>
      <c r="E931" s="4">
        <v>4044.68</v>
      </c>
      <c r="F931" s="2" t="s">
        <v>14</v>
      </c>
      <c r="G931" s="5">
        <v>42</v>
      </c>
      <c r="H931" s="2" t="s">
        <v>29</v>
      </c>
      <c r="I931" s="2" t="s">
        <v>60</v>
      </c>
      <c r="J931" s="2" t="s">
        <v>17</v>
      </c>
      <c r="K931" s="2" t="s">
        <v>35</v>
      </c>
    </row>
    <row r="932" spans="1:11" x14ac:dyDescent="0.3">
      <c r="A932" s="2" t="s">
        <v>1295</v>
      </c>
      <c r="B932" s="2" t="s">
        <v>874</v>
      </c>
      <c r="C932" s="3">
        <v>45769.686805555553</v>
      </c>
      <c r="D932" s="2" t="s">
        <v>38</v>
      </c>
      <c r="E932" s="4">
        <v>1953.93</v>
      </c>
      <c r="F932" s="2" t="s">
        <v>14</v>
      </c>
      <c r="G932" s="5">
        <v>39</v>
      </c>
      <c r="H932" s="2" t="s">
        <v>15</v>
      </c>
      <c r="I932" s="2" t="s">
        <v>21</v>
      </c>
      <c r="J932" s="2" t="s">
        <v>17</v>
      </c>
      <c r="K932" s="2" t="s">
        <v>18</v>
      </c>
    </row>
    <row r="933" spans="1:11" x14ac:dyDescent="0.3">
      <c r="A933" s="2" t="s">
        <v>1296</v>
      </c>
      <c r="B933" s="2" t="s">
        <v>1026</v>
      </c>
      <c r="C933" s="3">
        <v>45849.068749999999</v>
      </c>
      <c r="D933" s="2" t="s">
        <v>28</v>
      </c>
      <c r="E933" s="4">
        <v>14123.53</v>
      </c>
      <c r="F933" s="2" t="s">
        <v>14</v>
      </c>
      <c r="G933" s="5">
        <v>43</v>
      </c>
      <c r="H933" s="2" t="s">
        <v>15</v>
      </c>
      <c r="I933" s="2" t="s">
        <v>78</v>
      </c>
      <c r="J933" s="2" t="s">
        <v>17</v>
      </c>
      <c r="K933" s="2" t="s">
        <v>18</v>
      </c>
    </row>
    <row r="934" spans="1:11" x14ac:dyDescent="0.3">
      <c r="A934" s="2" t="s">
        <v>1297</v>
      </c>
      <c r="B934" s="2" t="s">
        <v>236</v>
      </c>
      <c r="C934" s="3">
        <v>45984.915972222218</v>
      </c>
      <c r="D934" s="2" t="s">
        <v>28</v>
      </c>
      <c r="E934" s="4">
        <v>41860.47</v>
      </c>
      <c r="F934" s="2" t="s">
        <v>14</v>
      </c>
      <c r="G934" s="5">
        <v>27</v>
      </c>
      <c r="H934" s="2" t="s">
        <v>29</v>
      </c>
      <c r="I934" s="2" t="s">
        <v>34</v>
      </c>
      <c r="J934" s="2" t="s">
        <v>17</v>
      </c>
      <c r="K934" s="2" t="s">
        <v>45</v>
      </c>
    </row>
    <row r="935" spans="1:11" x14ac:dyDescent="0.3">
      <c r="A935" s="2" t="s">
        <v>1298</v>
      </c>
      <c r="B935" s="2" t="s">
        <v>248</v>
      </c>
      <c r="C935" s="3">
        <v>45973.654166666667</v>
      </c>
      <c r="D935" s="2" t="s">
        <v>38</v>
      </c>
      <c r="E935" s="4">
        <v>2108.71</v>
      </c>
      <c r="F935" s="2" t="s">
        <v>14</v>
      </c>
      <c r="G935" s="5">
        <v>35</v>
      </c>
      <c r="H935" s="2" t="s">
        <v>15</v>
      </c>
      <c r="I935" s="2" t="s">
        <v>25</v>
      </c>
      <c r="J935" s="2" t="s">
        <v>17</v>
      </c>
      <c r="K935" s="2" t="s">
        <v>18</v>
      </c>
    </row>
    <row r="936" spans="1:11" x14ac:dyDescent="0.3">
      <c r="A936" s="2" t="s">
        <v>1299</v>
      </c>
      <c r="B936" s="2" t="s">
        <v>449</v>
      </c>
      <c r="C936" s="3">
        <v>45907</v>
      </c>
      <c r="D936" s="2" t="s">
        <v>13</v>
      </c>
      <c r="E936" s="4">
        <v>273.76</v>
      </c>
      <c r="F936" s="2" t="s">
        <v>122</v>
      </c>
      <c r="G936" s="5">
        <v>44</v>
      </c>
      <c r="H936" s="2" t="s">
        <v>29</v>
      </c>
      <c r="I936" s="2" t="s">
        <v>34</v>
      </c>
      <c r="J936" s="2" t="s">
        <v>52</v>
      </c>
      <c r="K936" s="2" t="s">
        <v>18</v>
      </c>
    </row>
    <row r="937" spans="1:11" x14ac:dyDescent="0.3">
      <c r="A937" s="2" t="s">
        <v>1300</v>
      </c>
      <c r="B937" s="2" t="s">
        <v>1066</v>
      </c>
      <c r="C937" s="3">
        <v>45930.726388888892</v>
      </c>
      <c r="D937" s="2" t="s">
        <v>28</v>
      </c>
      <c r="E937" s="4">
        <v>5930.42</v>
      </c>
      <c r="F937" s="2" t="s">
        <v>14</v>
      </c>
      <c r="G937" s="5">
        <v>28</v>
      </c>
      <c r="H937" s="2" t="s">
        <v>29</v>
      </c>
      <c r="I937" s="2" t="s">
        <v>43</v>
      </c>
      <c r="J937" s="2" t="s">
        <v>17</v>
      </c>
      <c r="K937" s="2" t="s">
        <v>18</v>
      </c>
    </row>
    <row r="938" spans="1:11" x14ac:dyDescent="0.3">
      <c r="A938" s="2" t="s">
        <v>1301</v>
      </c>
      <c r="B938" s="2" t="s">
        <v>307</v>
      </c>
      <c r="C938" s="3">
        <v>45664.022916666669</v>
      </c>
      <c r="D938" s="2" t="s">
        <v>13</v>
      </c>
      <c r="E938" s="4">
        <v>466.74</v>
      </c>
      <c r="F938" s="2" t="s">
        <v>14</v>
      </c>
      <c r="G938" s="5">
        <v>53</v>
      </c>
      <c r="H938" s="2" t="s">
        <v>29</v>
      </c>
      <c r="I938" s="2" t="s">
        <v>34</v>
      </c>
      <c r="J938" s="2" t="s">
        <v>52</v>
      </c>
      <c r="K938" s="2" t="s">
        <v>45</v>
      </c>
    </row>
    <row r="939" spans="1:11" x14ac:dyDescent="0.3">
      <c r="A939" s="2" t="s">
        <v>1302</v>
      </c>
      <c r="B939" s="2" t="s">
        <v>435</v>
      </c>
      <c r="C939" s="3">
        <v>45798.720833333333</v>
      </c>
      <c r="D939" s="2" t="s">
        <v>33</v>
      </c>
      <c r="E939" s="4">
        <v>3185.78</v>
      </c>
      <c r="F939" s="2" t="s">
        <v>14</v>
      </c>
      <c r="G939" s="5">
        <v>30</v>
      </c>
      <c r="H939" s="2" t="s">
        <v>15</v>
      </c>
      <c r="I939" s="2" t="s">
        <v>48</v>
      </c>
      <c r="J939" s="2" t="s">
        <v>44</v>
      </c>
      <c r="K939" s="2" t="s">
        <v>35</v>
      </c>
    </row>
    <row r="940" spans="1:11" x14ac:dyDescent="0.3">
      <c r="A940" s="2" t="s">
        <v>1303</v>
      </c>
      <c r="B940" s="2" t="s">
        <v>1304</v>
      </c>
      <c r="C940" s="3">
        <v>45666.702777777777</v>
      </c>
      <c r="D940" s="2" t="s">
        <v>28</v>
      </c>
      <c r="E940" s="4">
        <v>64920.99</v>
      </c>
      <c r="F940" s="2" t="s">
        <v>57</v>
      </c>
      <c r="G940" s="5">
        <v>42</v>
      </c>
      <c r="H940" s="2" t="s">
        <v>15</v>
      </c>
      <c r="I940" s="2" t="s">
        <v>34</v>
      </c>
      <c r="J940" s="2" t="s">
        <v>52</v>
      </c>
      <c r="K940" s="2" t="s">
        <v>45</v>
      </c>
    </row>
    <row r="941" spans="1:11" x14ac:dyDescent="0.3">
      <c r="A941" s="2" t="s">
        <v>1305</v>
      </c>
      <c r="B941" s="2" t="s">
        <v>1306</v>
      </c>
      <c r="C941" s="3">
        <v>46015.893750000003</v>
      </c>
      <c r="D941" s="2" t="s">
        <v>33</v>
      </c>
      <c r="E941" s="4">
        <v>6905.87</v>
      </c>
      <c r="F941" s="2" t="s">
        <v>57</v>
      </c>
      <c r="G941" s="5">
        <v>40</v>
      </c>
      <c r="H941" s="2" t="s">
        <v>29</v>
      </c>
      <c r="I941" s="2" t="s">
        <v>48</v>
      </c>
      <c r="J941" s="2" t="s">
        <v>17</v>
      </c>
      <c r="K941" s="2" t="s">
        <v>45</v>
      </c>
    </row>
    <row r="942" spans="1:11" x14ac:dyDescent="0.3">
      <c r="A942" s="2" t="s">
        <v>1307</v>
      </c>
      <c r="B942" s="2" t="s">
        <v>560</v>
      </c>
      <c r="C942" s="3">
        <v>45749.165277777778</v>
      </c>
      <c r="D942" s="2" t="s">
        <v>28</v>
      </c>
      <c r="E942" s="4">
        <v>1833.5</v>
      </c>
      <c r="F942" s="2" t="s">
        <v>14</v>
      </c>
      <c r="G942" s="5">
        <v>23</v>
      </c>
      <c r="H942" s="2" t="s">
        <v>15</v>
      </c>
      <c r="I942" s="2" t="s">
        <v>25</v>
      </c>
      <c r="J942" s="2" t="s">
        <v>17</v>
      </c>
      <c r="K942" s="2" t="s">
        <v>18</v>
      </c>
    </row>
    <row r="943" spans="1:11" x14ac:dyDescent="0.3">
      <c r="A943" s="2" t="s">
        <v>1308</v>
      </c>
      <c r="B943" s="2" t="s">
        <v>382</v>
      </c>
      <c r="C943" s="3">
        <v>45707.67291666667</v>
      </c>
      <c r="D943" s="2" t="s">
        <v>13</v>
      </c>
      <c r="E943" s="4">
        <v>901.98</v>
      </c>
      <c r="F943" s="2" t="s">
        <v>57</v>
      </c>
      <c r="G943" s="5">
        <v>27</v>
      </c>
      <c r="H943" s="2" t="s">
        <v>15</v>
      </c>
      <c r="I943" s="2" t="s">
        <v>43</v>
      </c>
      <c r="J943" s="2" t="s">
        <v>49</v>
      </c>
      <c r="K943" s="2" t="s">
        <v>45</v>
      </c>
    </row>
    <row r="944" spans="1:11" x14ac:dyDescent="0.3">
      <c r="A944" s="2" t="s">
        <v>1309</v>
      </c>
      <c r="B944" s="2" t="s">
        <v>181</v>
      </c>
      <c r="C944" s="3">
        <v>45781.277083333327</v>
      </c>
      <c r="D944" s="2" t="s">
        <v>28</v>
      </c>
      <c r="E944" s="4">
        <v>15638.89</v>
      </c>
      <c r="F944" s="2" t="s">
        <v>122</v>
      </c>
      <c r="G944" s="5">
        <v>34</v>
      </c>
      <c r="H944" s="2" t="s">
        <v>15</v>
      </c>
      <c r="I944" s="2" t="s">
        <v>48</v>
      </c>
      <c r="J944" s="2" t="s">
        <v>17</v>
      </c>
      <c r="K944" s="2" t="s">
        <v>35</v>
      </c>
    </row>
    <row r="945" spans="1:11" x14ac:dyDescent="0.3">
      <c r="A945" s="2" t="s">
        <v>1310</v>
      </c>
      <c r="B945" s="2" t="s">
        <v>1311</v>
      </c>
      <c r="C945" s="3">
        <v>45927.369444444441</v>
      </c>
      <c r="D945" s="2" t="s">
        <v>28</v>
      </c>
      <c r="E945" s="4">
        <v>5030.9799999999996</v>
      </c>
      <c r="F945" s="2" t="s">
        <v>14</v>
      </c>
      <c r="G945" s="5">
        <v>36</v>
      </c>
      <c r="H945" s="2" t="s">
        <v>15</v>
      </c>
      <c r="I945" s="2" t="s">
        <v>60</v>
      </c>
      <c r="J945" s="2" t="s">
        <v>49</v>
      </c>
      <c r="K945" s="2" t="s">
        <v>18</v>
      </c>
    </row>
    <row r="946" spans="1:11" x14ac:dyDescent="0.3">
      <c r="A946" s="2" t="s">
        <v>1312</v>
      </c>
      <c r="B946" s="2" t="s">
        <v>24</v>
      </c>
      <c r="C946" s="3">
        <v>45839.368055555547</v>
      </c>
      <c r="D946" s="2" t="s">
        <v>33</v>
      </c>
      <c r="E946" s="4">
        <v>38283.26</v>
      </c>
      <c r="F946" s="2" t="s">
        <v>122</v>
      </c>
      <c r="G946" s="5">
        <v>35</v>
      </c>
      <c r="H946" s="2" t="s">
        <v>15</v>
      </c>
      <c r="I946" s="2" t="s">
        <v>25</v>
      </c>
      <c r="J946" s="2" t="s">
        <v>17</v>
      </c>
      <c r="K946" s="2" t="s">
        <v>18</v>
      </c>
    </row>
    <row r="947" spans="1:11" x14ac:dyDescent="0.3">
      <c r="A947" s="2" t="s">
        <v>1313</v>
      </c>
      <c r="B947" s="2" t="s">
        <v>1049</v>
      </c>
      <c r="C947" s="3">
        <v>45861.099305555559</v>
      </c>
      <c r="D947" s="2" t="s">
        <v>28</v>
      </c>
      <c r="E947" s="4">
        <v>20299.560000000001</v>
      </c>
      <c r="F947" s="2" t="s">
        <v>14</v>
      </c>
      <c r="G947" s="5">
        <v>40</v>
      </c>
      <c r="H947" s="2" t="s">
        <v>15</v>
      </c>
      <c r="I947" s="2" t="s">
        <v>34</v>
      </c>
      <c r="J947" s="2" t="s">
        <v>52</v>
      </c>
      <c r="K947" s="2" t="s">
        <v>35</v>
      </c>
    </row>
    <row r="948" spans="1:11" x14ac:dyDescent="0.3">
      <c r="A948" s="2" t="s">
        <v>1314</v>
      </c>
      <c r="B948" s="2" t="s">
        <v>549</v>
      </c>
      <c r="C948" s="3">
        <v>45865.60833333333</v>
      </c>
      <c r="D948" s="2" t="s">
        <v>33</v>
      </c>
      <c r="E948" s="4">
        <v>779.52</v>
      </c>
      <c r="F948" s="2" t="s">
        <v>14</v>
      </c>
      <c r="G948" s="5">
        <v>53</v>
      </c>
      <c r="H948" s="2" t="s">
        <v>29</v>
      </c>
      <c r="I948" s="2" t="s">
        <v>21</v>
      </c>
      <c r="J948" s="2" t="s">
        <v>17</v>
      </c>
      <c r="K948" s="2" t="s">
        <v>35</v>
      </c>
    </row>
    <row r="949" spans="1:11" x14ac:dyDescent="0.3">
      <c r="A949" s="2" t="s">
        <v>1315</v>
      </c>
      <c r="B949" s="2" t="s">
        <v>1066</v>
      </c>
      <c r="C949" s="3">
        <v>45782.926388888889</v>
      </c>
      <c r="D949" s="2" t="s">
        <v>13</v>
      </c>
      <c r="E949" s="4">
        <v>1478.79</v>
      </c>
      <c r="F949" s="2" t="s">
        <v>14</v>
      </c>
      <c r="G949" s="5">
        <v>28</v>
      </c>
      <c r="H949" s="2" t="s">
        <v>29</v>
      </c>
      <c r="I949" s="2" t="s">
        <v>43</v>
      </c>
      <c r="J949" s="2" t="s">
        <v>17</v>
      </c>
      <c r="K949" s="2" t="s">
        <v>35</v>
      </c>
    </row>
    <row r="950" spans="1:11" x14ac:dyDescent="0.3">
      <c r="A950" s="2" t="s">
        <v>1316</v>
      </c>
      <c r="B950" s="2" t="s">
        <v>903</v>
      </c>
      <c r="C950" s="3">
        <v>45811.911111111112</v>
      </c>
      <c r="D950" s="2" t="s">
        <v>28</v>
      </c>
      <c r="E950" s="4">
        <v>48776.14</v>
      </c>
      <c r="F950" s="2" t="s">
        <v>14</v>
      </c>
      <c r="G950" s="5">
        <v>28</v>
      </c>
      <c r="H950" s="2" t="s">
        <v>15</v>
      </c>
      <c r="I950" s="2" t="s">
        <v>34</v>
      </c>
      <c r="J950" s="2" t="s">
        <v>17</v>
      </c>
      <c r="K950" s="2" t="s">
        <v>45</v>
      </c>
    </row>
    <row r="951" spans="1:11" x14ac:dyDescent="0.3">
      <c r="A951" s="2" t="s">
        <v>1317</v>
      </c>
      <c r="B951" s="2" t="s">
        <v>1205</v>
      </c>
      <c r="C951" s="3">
        <v>45699.870833333327</v>
      </c>
      <c r="D951" s="2" t="s">
        <v>28</v>
      </c>
      <c r="E951" s="4">
        <v>23044.01</v>
      </c>
      <c r="F951" s="2" t="s">
        <v>14</v>
      </c>
      <c r="G951" s="5">
        <v>42</v>
      </c>
      <c r="H951" s="2" t="s">
        <v>29</v>
      </c>
      <c r="I951" s="2" t="s">
        <v>21</v>
      </c>
      <c r="J951" s="2" t="s">
        <v>17</v>
      </c>
      <c r="K951" s="2" t="s">
        <v>22</v>
      </c>
    </row>
    <row r="952" spans="1:11" x14ac:dyDescent="0.3">
      <c r="A952" s="2" t="s">
        <v>1318</v>
      </c>
      <c r="B952" s="2" t="s">
        <v>258</v>
      </c>
      <c r="C952" s="3">
        <v>45990.045138888891</v>
      </c>
      <c r="D952" s="2" t="s">
        <v>154</v>
      </c>
      <c r="E952" s="4">
        <v>10000</v>
      </c>
      <c r="F952" s="2" t="s">
        <v>14</v>
      </c>
      <c r="G952" s="5">
        <v>58</v>
      </c>
      <c r="H952" s="2" t="s">
        <v>29</v>
      </c>
      <c r="I952" s="2" t="s">
        <v>30</v>
      </c>
      <c r="J952" s="2" t="s">
        <v>49</v>
      </c>
      <c r="K952" s="2" t="s">
        <v>18</v>
      </c>
    </row>
    <row r="953" spans="1:11" x14ac:dyDescent="0.3">
      <c r="A953" s="2" t="s">
        <v>1319</v>
      </c>
      <c r="B953" s="2" t="s">
        <v>585</v>
      </c>
      <c r="C953" s="3">
        <v>45865.51666666667</v>
      </c>
      <c r="D953" s="2" t="s">
        <v>28</v>
      </c>
      <c r="E953" s="4">
        <v>12497.16</v>
      </c>
      <c r="F953" s="2" t="s">
        <v>14</v>
      </c>
      <c r="G953" s="5">
        <v>25</v>
      </c>
      <c r="H953" s="2" t="s">
        <v>15</v>
      </c>
      <c r="I953" s="2" t="s">
        <v>95</v>
      </c>
      <c r="J953" s="2" t="s">
        <v>49</v>
      </c>
      <c r="K953" s="2" t="s">
        <v>45</v>
      </c>
    </row>
    <row r="954" spans="1:11" x14ac:dyDescent="0.3">
      <c r="A954" s="2" t="s">
        <v>1320</v>
      </c>
      <c r="B954" s="2" t="s">
        <v>872</v>
      </c>
      <c r="C954" s="3">
        <v>45940.627083333333</v>
      </c>
      <c r="D954" s="2" t="s">
        <v>13</v>
      </c>
      <c r="E954" s="4">
        <v>1280.25</v>
      </c>
      <c r="F954" s="2" t="s">
        <v>14</v>
      </c>
      <c r="G954" s="5">
        <v>28</v>
      </c>
      <c r="H954" s="2" t="s">
        <v>15</v>
      </c>
      <c r="I954" s="2" t="s">
        <v>34</v>
      </c>
      <c r="J954" s="2" t="s">
        <v>17</v>
      </c>
      <c r="K954" s="2" t="s">
        <v>22</v>
      </c>
    </row>
    <row r="955" spans="1:11" x14ac:dyDescent="0.3">
      <c r="A955" s="2" t="s">
        <v>1321</v>
      </c>
      <c r="B955" s="2" t="s">
        <v>364</v>
      </c>
      <c r="C955" s="3">
        <v>45984.030555555553</v>
      </c>
      <c r="D955" s="2" t="s">
        <v>28</v>
      </c>
      <c r="E955" s="4">
        <v>4492.26</v>
      </c>
      <c r="F955" s="2" t="s">
        <v>14</v>
      </c>
      <c r="G955" s="5">
        <v>32</v>
      </c>
      <c r="H955" s="2" t="s">
        <v>15</v>
      </c>
      <c r="I955" s="2" t="s">
        <v>34</v>
      </c>
      <c r="J955" s="2" t="s">
        <v>17</v>
      </c>
      <c r="K955" s="2" t="s">
        <v>18</v>
      </c>
    </row>
    <row r="956" spans="1:11" x14ac:dyDescent="0.3">
      <c r="A956" s="2" t="s">
        <v>1322</v>
      </c>
      <c r="B956" s="2" t="s">
        <v>115</v>
      </c>
      <c r="C956" s="3">
        <v>45745.104861111111</v>
      </c>
      <c r="D956" s="2" t="s">
        <v>28</v>
      </c>
      <c r="E956" s="4">
        <v>85515.89</v>
      </c>
      <c r="F956" s="2" t="s">
        <v>14</v>
      </c>
      <c r="G956" s="5">
        <v>42</v>
      </c>
      <c r="H956" s="2" t="s">
        <v>29</v>
      </c>
      <c r="I956" s="2" t="s">
        <v>34</v>
      </c>
      <c r="J956" s="2" t="s">
        <v>44</v>
      </c>
      <c r="K956" s="2" t="s">
        <v>35</v>
      </c>
    </row>
    <row r="957" spans="1:11" x14ac:dyDescent="0.3">
      <c r="A957" s="2" t="s">
        <v>1323</v>
      </c>
      <c r="B957" s="2" t="s">
        <v>1171</v>
      </c>
      <c r="C957" s="3">
        <v>45880.868055555547</v>
      </c>
      <c r="D957" s="2" t="s">
        <v>13</v>
      </c>
      <c r="E957" s="4">
        <v>7853.05</v>
      </c>
      <c r="F957" s="2" t="s">
        <v>57</v>
      </c>
      <c r="G957" s="5">
        <v>32</v>
      </c>
      <c r="H957" s="2" t="s">
        <v>29</v>
      </c>
      <c r="I957" s="2" t="s">
        <v>34</v>
      </c>
      <c r="J957" s="2" t="s">
        <v>17</v>
      </c>
      <c r="K957" s="2" t="s">
        <v>18</v>
      </c>
    </row>
    <row r="958" spans="1:11" x14ac:dyDescent="0.3">
      <c r="A958" s="2" t="s">
        <v>1324</v>
      </c>
      <c r="B958" s="2" t="s">
        <v>997</v>
      </c>
      <c r="C958" s="3">
        <v>45827.787499999999</v>
      </c>
      <c r="D958" s="2" t="s">
        <v>28</v>
      </c>
      <c r="E958" s="4">
        <v>24804.799999999999</v>
      </c>
      <c r="F958" s="2" t="s">
        <v>14</v>
      </c>
      <c r="G958" s="5">
        <v>39</v>
      </c>
      <c r="H958" s="2" t="s">
        <v>29</v>
      </c>
      <c r="I958" s="2" t="s">
        <v>34</v>
      </c>
      <c r="J958" s="2" t="s">
        <v>17</v>
      </c>
      <c r="K958" s="2" t="s">
        <v>45</v>
      </c>
    </row>
    <row r="959" spans="1:11" x14ac:dyDescent="0.3">
      <c r="A959" s="2" t="s">
        <v>1325</v>
      </c>
      <c r="B959" s="2" t="s">
        <v>183</v>
      </c>
      <c r="C959" s="3">
        <v>45706.706944444442</v>
      </c>
      <c r="D959" s="2" t="s">
        <v>28</v>
      </c>
      <c r="E959" s="4">
        <v>131129.03</v>
      </c>
      <c r="F959" s="2" t="s">
        <v>14</v>
      </c>
      <c r="G959" s="5">
        <v>19</v>
      </c>
      <c r="H959" s="2" t="s">
        <v>29</v>
      </c>
      <c r="I959" s="2" t="s">
        <v>78</v>
      </c>
      <c r="J959" s="2" t="s">
        <v>44</v>
      </c>
      <c r="K959" s="2" t="s">
        <v>22</v>
      </c>
    </row>
    <row r="960" spans="1:11" x14ac:dyDescent="0.3">
      <c r="A960" s="2" t="s">
        <v>1326</v>
      </c>
      <c r="B960" s="2" t="s">
        <v>1290</v>
      </c>
      <c r="C960" s="3">
        <v>45679.300694444442</v>
      </c>
      <c r="D960" s="2" t="s">
        <v>13</v>
      </c>
      <c r="E960" s="4">
        <v>2801.4</v>
      </c>
      <c r="F960" s="2" t="s">
        <v>14</v>
      </c>
      <c r="G960" s="5">
        <v>32</v>
      </c>
      <c r="H960" s="2" t="s">
        <v>15</v>
      </c>
      <c r="I960" s="2" t="s">
        <v>34</v>
      </c>
      <c r="J960" s="2" t="s">
        <v>44</v>
      </c>
      <c r="K960" s="2" t="s">
        <v>18</v>
      </c>
    </row>
    <row r="961" spans="1:11" x14ac:dyDescent="0.3">
      <c r="A961" s="2" t="s">
        <v>1327</v>
      </c>
      <c r="B961" s="2" t="s">
        <v>483</v>
      </c>
      <c r="C961" s="3">
        <v>46012.770833333343</v>
      </c>
      <c r="D961" s="2" t="s">
        <v>13</v>
      </c>
      <c r="E961" s="4">
        <v>1073.79</v>
      </c>
      <c r="F961" s="2" t="s">
        <v>57</v>
      </c>
      <c r="G961" s="5">
        <v>26</v>
      </c>
      <c r="H961" s="2" t="s">
        <v>15</v>
      </c>
      <c r="I961" s="2" t="s">
        <v>16</v>
      </c>
      <c r="J961" s="2" t="s">
        <v>52</v>
      </c>
      <c r="K961" s="2" t="s">
        <v>18</v>
      </c>
    </row>
    <row r="962" spans="1:11" x14ac:dyDescent="0.3">
      <c r="A962" s="2" t="s">
        <v>1328</v>
      </c>
      <c r="B962" s="2" t="s">
        <v>752</v>
      </c>
      <c r="C962" s="3">
        <v>45796.082638888889</v>
      </c>
      <c r="D962" s="2" t="s">
        <v>28</v>
      </c>
      <c r="E962" s="4">
        <v>29156.61</v>
      </c>
      <c r="F962" s="2" t="s">
        <v>14</v>
      </c>
      <c r="G962" s="5">
        <v>20</v>
      </c>
      <c r="H962" s="2" t="s">
        <v>15</v>
      </c>
      <c r="I962" s="2" t="s">
        <v>48</v>
      </c>
      <c r="J962" s="2" t="s">
        <v>17</v>
      </c>
      <c r="K962" s="2" t="s">
        <v>45</v>
      </c>
    </row>
    <row r="963" spans="1:11" x14ac:dyDescent="0.3">
      <c r="A963" s="2" t="s">
        <v>1329</v>
      </c>
      <c r="B963" s="2" t="s">
        <v>1130</v>
      </c>
      <c r="C963" s="3">
        <v>45696.915972222218</v>
      </c>
      <c r="D963" s="2" t="s">
        <v>28</v>
      </c>
      <c r="E963" s="4">
        <v>69559.95</v>
      </c>
      <c r="F963" s="2" t="s">
        <v>14</v>
      </c>
      <c r="G963" s="5">
        <v>36</v>
      </c>
      <c r="H963" s="2" t="s">
        <v>29</v>
      </c>
      <c r="I963" s="2" t="s">
        <v>34</v>
      </c>
      <c r="J963" s="2" t="s">
        <v>52</v>
      </c>
      <c r="K963" s="2" t="s">
        <v>45</v>
      </c>
    </row>
    <row r="964" spans="1:11" x14ac:dyDescent="0.3">
      <c r="A964" s="2" t="s">
        <v>1330</v>
      </c>
      <c r="B964" s="2" t="s">
        <v>352</v>
      </c>
      <c r="C964" s="3">
        <v>45801.73333333333</v>
      </c>
      <c r="D964" s="2" t="s">
        <v>28</v>
      </c>
      <c r="E964" s="4">
        <v>29807.7</v>
      </c>
      <c r="F964" s="2" t="s">
        <v>14</v>
      </c>
      <c r="G964" s="5">
        <v>51</v>
      </c>
      <c r="H964" s="2" t="s">
        <v>15</v>
      </c>
      <c r="I964" s="2" t="s">
        <v>21</v>
      </c>
      <c r="J964" s="2" t="s">
        <v>17</v>
      </c>
      <c r="K964" s="2" t="s">
        <v>22</v>
      </c>
    </row>
    <row r="965" spans="1:11" x14ac:dyDescent="0.3">
      <c r="A965" s="2" t="s">
        <v>1331</v>
      </c>
      <c r="B965" s="2" t="s">
        <v>954</v>
      </c>
      <c r="C965" s="3">
        <v>45994.049305555563</v>
      </c>
      <c r="D965" s="2" t="s">
        <v>28</v>
      </c>
      <c r="E965" s="4">
        <v>58697.5</v>
      </c>
      <c r="F965" s="2" t="s">
        <v>14</v>
      </c>
      <c r="G965" s="5">
        <v>39</v>
      </c>
      <c r="H965" s="2" t="s">
        <v>29</v>
      </c>
      <c r="I965" s="2" t="s">
        <v>21</v>
      </c>
      <c r="J965" s="2" t="s">
        <v>17</v>
      </c>
      <c r="K965" s="2" t="s">
        <v>45</v>
      </c>
    </row>
    <row r="966" spans="1:11" x14ac:dyDescent="0.3">
      <c r="A966" s="2" t="s">
        <v>1332</v>
      </c>
      <c r="B966" s="2" t="s">
        <v>240</v>
      </c>
      <c r="C966" s="3">
        <v>45819.009027777778</v>
      </c>
      <c r="D966" s="2" t="s">
        <v>38</v>
      </c>
      <c r="E966" s="4">
        <v>29137.75</v>
      </c>
      <c r="F966" s="2" t="s">
        <v>14</v>
      </c>
      <c r="G966" s="5">
        <v>37</v>
      </c>
      <c r="H966" s="2" t="s">
        <v>15</v>
      </c>
      <c r="I966" s="2" t="s">
        <v>34</v>
      </c>
      <c r="J966" s="2" t="s">
        <v>44</v>
      </c>
      <c r="K966" s="2" t="s">
        <v>18</v>
      </c>
    </row>
    <row r="967" spans="1:11" x14ac:dyDescent="0.3">
      <c r="A967" s="2" t="s">
        <v>1333</v>
      </c>
      <c r="B967" s="2" t="s">
        <v>642</v>
      </c>
      <c r="C967" s="3">
        <v>45958.2</v>
      </c>
      <c r="D967" s="2" t="s">
        <v>13</v>
      </c>
      <c r="E967" s="4">
        <v>1210.08</v>
      </c>
      <c r="F967" s="2" t="s">
        <v>57</v>
      </c>
      <c r="G967" s="5">
        <v>23</v>
      </c>
      <c r="H967" s="2" t="s">
        <v>29</v>
      </c>
      <c r="I967" s="2" t="s">
        <v>16</v>
      </c>
      <c r="J967" s="2" t="s">
        <v>44</v>
      </c>
      <c r="K967" s="2" t="s">
        <v>35</v>
      </c>
    </row>
    <row r="968" spans="1:11" x14ac:dyDescent="0.3">
      <c r="A968" s="2" t="s">
        <v>1334</v>
      </c>
      <c r="B968" s="2" t="s">
        <v>759</v>
      </c>
      <c r="C968" s="3">
        <v>45861.09652777778</v>
      </c>
      <c r="D968" s="2" t="s">
        <v>33</v>
      </c>
      <c r="E968" s="4">
        <v>3324.09</v>
      </c>
      <c r="F968" s="2" t="s">
        <v>14</v>
      </c>
      <c r="G968" s="5">
        <v>28</v>
      </c>
      <c r="H968" s="2" t="s">
        <v>29</v>
      </c>
      <c r="I968" s="2" t="s">
        <v>60</v>
      </c>
      <c r="J968" s="2" t="s">
        <v>17</v>
      </c>
      <c r="K968" s="2" t="s">
        <v>18</v>
      </c>
    </row>
    <row r="969" spans="1:11" x14ac:dyDescent="0.3">
      <c r="A969" s="2" t="s">
        <v>1335</v>
      </c>
      <c r="B969" s="2" t="s">
        <v>101</v>
      </c>
      <c r="C969" s="3">
        <v>45741.760416666657</v>
      </c>
      <c r="D969" s="2" t="s">
        <v>38</v>
      </c>
      <c r="E969" s="4">
        <v>5132.83</v>
      </c>
      <c r="F969" s="2" t="s">
        <v>14</v>
      </c>
      <c r="G969" s="5">
        <v>45</v>
      </c>
      <c r="H969" s="2" t="s">
        <v>29</v>
      </c>
      <c r="I969" s="2" t="s">
        <v>34</v>
      </c>
      <c r="J969" s="2" t="s">
        <v>17</v>
      </c>
      <c r="K969" s="2" t="s">
        <v>45</v>
      </c>
    </row>
    <row r="970" spans="1:11" x14ac:dyDescent="0.3">
      <c r="A970" s="2" t="s">
        <v>1336</v>
      </c>
      <c r="B970" s="2" t="s">
        <v>1337</v>
      </c>
      <c r="C970" s="3">
        <v>45948.529861111107</v>
      </c>
      <c r="D970" s="2" t="s">
        <v>33</v>
      </c>
      <c r="E970" s="4">
        <v>3989.25</v>
      </c>
      <c r="F970" s="2" t="s">
        <v>14</v>
      </c>
      <c r="G970" s="5">
        <v>38</v>
      </c>
      <c r="H970" s="2" t="s">
        <v>15</v>
      </c>
      <c r="I970" s="2" t="s">
        <v>21</v>
      </c>
      <c r="J970" s="2" t="s">
        <v>17</v>
      </c>
      <c r="K970" s="2" t="s">
        <v>18</v>
      </c>
    </row>
    <row r="971" spans="1:11" x14ac:dyDescent="0.3">
      <c r="A971" s="2" t="s">
        <v>1338</v>
      </c>
      <c r="B971" s="2" t="s">
        <v>847</v>
      </c>
      <c r="C971" s="3">
        <v>45934.433333333327</v>
      </c>
      <c r="D971" s="2" t="s">
        <v>33</v>
      </c>
      <c r="E971" s="4">
        <v>37798.31</v>
      </c>
      <c r="F971" s="2" t="s">
        <v>14</v>
      </c>
      <c r="G971" s="5">
        <v>39</v>
      </c>
      <c r="H971" s="2" t="s">
        <v>15</v>
      </c>
      <c r="I971" s="2" t="s">
        <v>60</v>
      </c>
      <c r="J971" s="2" t="s">
        <v>17</v>
      </c>
      <c r="K971" s="2" t="s">
        <v>18</v>
      </c>
    </row>
    <row r="972" spans="1:11" x14ac:dyDescent="0.3">
      <c r="A972" s="2" t="s">
        <v>1339</v>
      </c>
      <c r="B972" s="2" t="s">
        <v>1311</v>
      </c>
      <c r="C972" s="3">
        <v>45729.948611111111</v>
      </c>
      <c r="D972" s="2" t="s">
        <v>28</v>
      </c>
      <c r="E972" s="4">
        <v>56214.76</v>
      </c>
      <c r="F972" s="2" t="s">
        <v>14</v>
      </c>
      <c r="G972" s="5">
        <v>36</v>
      </c>
      <c r="H972" s="2" t="s">
        <v>15</v>
      </c>
      <c r="I972" s="2" t="s">
        <v>60</v>
      </c>
      <c r="J972" s="2" t="s">
        <v>49</v>
      </c>
      <c r="K972" s="2" t="s">
        <v>18</v>
      </c>
    </row>
    <row r="973" spans="1:11" x14ac:dyDescent="0.3">
      <c r="A973" s="2" t="s">
        <v>1340</v>
      </c>
      <c r="B973" s="2" t="s">
        <v>786</v>
      </c>
      <c r="C973" s="3">
        <v>45698.699305555558</v>
      </c>
      <c r="D973" s="2" t="s">
        <v>28</v>
      </c>
      <c r="E973" s="4">
        <v>14332.87</v>
      </c>
      <c r="F973" s="2" t="s">
        <v>14</v>
      </c>
      <c r="G973" s="5">
        <v>33</v>
      </c>
      <c r="H973" s="2" t="s">
        <v>15</v>
      </c>
      <c r="I973" s="2" t="s">
        <v>34</v>
      </c>
      <c r="J973" s="2" t="s">
        <v>44</v>
      </c>
      <c r="K973" s="2" t="s">
        <v>45</v>
      </c>
    </row>
    <row r="974" spans="1:11" x14ac:dyDescent="0.3">
      <c r="A974" s="2" t="s">
        <v>1341</v>
      </c>
      <c r="B974" s="2" t="s">
        <v>767</v>
      </c>
      <c r="C974" s="3">
        <v>45835.04583333333</v>
      </c>
      <c r="D974" s="2" t="s">
        <v>33</v>
      </c>
      <c r="E974" s="4">
        <v>5234.58</v>
      </c>
      <c r="F974" s="2" t="s">
        <v>14</v>
      </c>
      <c r="G974" s="5">
        <v>33</v>
      </c>
      <c r="H974" s="2" t="s">
        <v>29</v>
      </c>
      <c r="I974" s="2" t="s">
        <v>21</v>
      </c>
      <c r="J974" s="2" t="s">
        <v>17</v>
      </c>
      <c r="K974" s="2" t="s">
        <v>45</v>
      </c>
    </row>
    <row r="975" spans="1:11" x14ac:dyDescent="0.3">
      <c r="A975" s="2" t="s">
        <v>1342</v>
      </c>
      <c r="B975" s="2" t="s">
        <v>549</v>
      </c>
      <c r="C975" s="3">
        <v>45881.328472222223</v>
      </c>
      <c r="D975" s="2" t="s">
        <v>154</v>
      </c>
      <c r="E975" s="4">
        <v>10000</v>
      </c>
      <c r="F975" s="2" t="s">
        <v>14</v>
      </c>
      <c r="G975" s="5">
        <v>53</v>
      </c>
      <c r="H975" s="2" t="s">
        <v>29</v>
      </c>
      <c r="I975" s="2" t="s">
        <v>21</v>
      </c>
      <c r="J975" s="2" t="s">
        <v>17</v>
      </c>
      <c r="K975" s="2" t="s">
        <v>22</v>
      </c>
    </row>
    <row r="976" spans="1:11" x14ac:dyDescent="0.3">
      <c r="A976" s="2" t="s">
        <v>1343</v>
      </c>
      <c r="B976" s="2" t="s">
        <v>476</v>
      </c>
      <c r="C976" s="3">
        <v>45696.443055555559</v>
      </c>
      <c r="D976" s="2" t="s">
        <v>13</v>
      </c>
      <c r="E976" s="4">
        <v>2001.8</v>
      </c>
      <c r="F976" s="2" t="s">
        <v>14</v>
      </c>
      <c r="G976" s="5">
        <v>27</v>
      </c>
      <c r="H976" s="2" t="s">
        <v>29</v>
      </c>
      <c r="I976" s="2" t="s">
        <v>21</v>
      </c>
      <c r="J976" s="2" t="s">
        <v>17</v>
      </c>
      <c r="K976" s="2" t="s">
        <v>35</v>
      </c>
    </row>
    <row r="977" spans="1:11" x14ac:dyDescent="0.3">
      <c r="A977" s="2" t="s">
        <v>1344</v>
      </c>
      <c r="B977" s="2" t="s">
        <v>449</v>
      </c>
      <c r="C977" s="3">
        <v>45972.809027777781</v>
      </c>
      <c r="D977" s="2" t="s">
        <v>28</v>
      </c>
      <c r="E977" s="4">
        <v>26657.89</v>
      </c>
      <c r="F977" s="2" t="s">
        <v>14</v>
      </c>
      <c r="G977" s="5">
        <v>44</v>
      </c>
      <c r="H977" s="2" t="s">
        <v>29</v>
      </c>
      <c r="I977" s="2" t="s">
        <v>34</v>
      </c>
      <c r="J977" s="2" t="s">
        <v>52</v>
      </c>
      <c r="K977" s="2" t="s">
        <v>18</v>
      </c>
    </row>
    <row r="978" spans="1:11" x14ac:dyDescent="0.3">
      <c r="A978" s="2" t="s">
        <v>1345</v>
      </c>
      <c r="B978" s="2" t="s">
        <v>317</v>
      </c>
      <c r="C978" s="3">
        <v>45825.027777777781</v>
      </c>
      <c r="D978" s="2" t="s">
        <v>13</v>
      </c>
      <c r="E978" s="4">
        <v>551.54999999999995</v>
      </c>
      <c r="F978" s="2" t="s">
        <v>14</v>
      </c>
      <c r="G978" s="5">
        <v>55</v>
      </c>
      <c r="H978" s="2" t="s">
        <v>15</v>
      </c>
      <c r="I978" s="2" t="s">
        <v>34</v>
      </c>
      <c r="J978" s="2" t="s">
        <v>49</v>
      </c>
      <c r="K978" s="2" t="s">
        <v>45</v>
      </c>
    </row>
    <row r="979" spans="1:11" x14ac:dyDescent="0.3">
      <c r="A979" s="2" t="s">
        <v>1346</v>
      </c>
      <c r="B979" s="2" t="s">
        <v>173</v>
      </c>
      <c r="C979" s="3">
        <v>45797.604861111111</v>
      </c>
      <c r="D979" s="2" t="s">
        <v>33</v>
      </c>
      <c r="E979" s="4">
        <v>11872.25</v>
      </c>
      <c r="F979" s="2" t="s">
        <v>14</v>
      </c>
      <c r="G979" s="5">
        <v>24</v>
      </c>
      <c r="H979" s="2" t="s">
        <v>15</v>
      </c>
      <c r="I979" s="2" t="s">
        <v>30</v>
      </c>
      <c r="J979" s="2" t="s">
        <v>49</v>
      </c>
      <c r="K979" s="2" t="s">
        <v>18</v>
      </c>
    </row>
    <row r="980" spans="1:11" x14ac:dyDescent="0.3">
      <c r="A980" s="2" t="s">
        <v>1347</v>
      </c>
      <c r="B980" s="2" t="s">
        <v>399</v>
      </c>
      <c r="C980" s="3">
        <v>45774.482638888891</v>
      </c>
      <c r="D980" s="2" t="s">
        <v>28</v>
      </c>
      <c r="E980" s="4">
        <v>5964.07</v>
      </c>
      <c r="F980" s="2" t="s">
        <v>14</v>
      </c>
      <c r="G980" s="5">
        <v>53</v>
      </c>
      <c r="H980" s="2" t="s">
        <v>29</v>
      </c>
      <c r="I980" s="2" t="s">
        <v>34</v>
      </c>
      <c r="J980" s="2" t="s">
        <v>17</v>
      </c>
      <c r="K980" s="2" t="s">
        <v>35</v>
      </c>
    </row>
    <row r="981" spans="1:11" x14ac:dyDescent="0.3">
      <c r="A981" s="2" t="s">
        <v>1348</v>
      </c>
      <c r="B981" s="2" t="s">
        <v>1349</v>
      </c>
      <c r="C981" s="3">
        <v>45850.549305555563</v>
      </c>
      <c r="D981" s="2" t="s">
        <v>13</v>
      </c>
      <c r="E981" s="4">
        <v>2772.03</v>
      </c>
      <c r="F981" s="2" t="s">
        <v>14</v>
      </c>
      <c r="G981" s="5">
        <v>30</v>
      </c>
      <c r="H981" s="2" t="s">
        <v>15</v>
      </c>
      <c r="I981" s="2" t="s">
        <v>78</v>
      </c>
      <c r="J981" s="2" t="s">
        <v>17</v>
      </c>
      <c r="K981" s="2" t="s">
        <v>45</v>
      </c>
    </row>
    <row r="982" spans="1:11" x14ac:dyDescent="0.3">
      <c r="A982" s="2" t="s">
        <v>1350</v>
      </c>
      <c r="B982" s="2" t="s">
        <v>194</v>
      </c>
      <c r="C982" s="3">
        <v>46006.779166666667</v>
      </c>
      <c r="D982" s="2" t="s">
        <v>28</v>
      </c>
      <c r="E982" s="4">
        <v>22529.27</v>
      </c>
      <c r="F982" s="2" t="s">
        <v>14</v>
      </c>
      <c r="G982" s="5">
        <v>31</v>
      </c>
      <c r="H982" s="2" t="s">
        <v>29</v>
      </c>
      <c r="I982" s="2" t="s">
        <v>16</v>
      </c>
      <c r="J982" s="2" t="s">
        <v>17</v>
      </c>
      <c r="K982" s="2" t="s">
        <v>35</v>
      </c>
    </row>
    <row r="983" spans="1:11" x14ac:dyDescent="0.3">
      <c r="A983" s="2" t="s">
        <v>1351</v>
      </c>
      <c r="B983" s="2" t="s">
        <v>917</v>
      </c>
      <c r="C983" s="3">
        <v>45852.117361111108</v>
      </c>
      <c r="D983" s="2" t="s">
        <v>33</v>
      </c>
      <c r="E983" s="4">
        <v>601.82000000000005</v>
      </c>
      <c r="F983" s="2" t="s">
        <v>14</v>
      </c>
      <c r="G983" s="5">
        <v>38</v>
      </c>
      <c r="H983" s="2" t="s">
        <v>29</v>
      </c>
      <c r="I983" s="2" t="s">
        <v>95</v>
      </c>
      <c r="J983" s="2" t="s">
        <v>49</v>
      </c>
      <c r="K983" s="2" t="s">
        <v>35</v>
      </c>
    </row>
    <row r="984" spans="1:11" x14ac:dyDescent="0.3">
      <c r="A984" s="2" t="s">
        <v>1352</v>
      </c>
      <c r="B984" s="2" t="s">
        <v>370</v>
      </c>
      <c r="C984" s="3">
        <v>45974.410416666673</v>
      </c>
      <c r="D984" s="2" t="s">
        <v>28</v>
      </c>
      <c r="E984" s="4">
        <v>23744.02</v>
      </c>
      <c r="F984" s="2" t="s">
        <v>14</v>
      </c>
      <c r="G984" s="5">
        <v>35</v>
      </c>
      <c r="H984" s="2" t="s">
        <v>15</v>
      </c>
      <c r="I984" s="2" t="s">
        <v>34</v>
      </c>
      <c r="J984" s="2" t="s">
        <v>49</v>
      </c>
      <c r="K984" s="2" t="s">
        <v>18</v>
      </c>
    </row>
    <row r="985" spans="1:11" x14ac:dyDescent="0.3">
      <c r="A985" s="2" t="s">
        <v>1353</v>
      </c>
      <c r="B985" s="2" t="s">
        <v>567</v>
      </c>
      <c r="C985" s="3">
        <v>45784.919444444437</v>
      </c>
      <c r="D985" s="2" t="s">
        <v>28</v>
      </c>
      <c r="E985" s="4">
        <v>51555.01</v>
      </c>
      <c r="F985" s="2" t="s">
        <v>14</v>
      </c>
      <c r="G985" s="5">
        <v>39</v>
      </c>
      <c r="H985" s="2" t="s">
        <v>15</v>
      </c>
      <c r="I985" s="2" t="s">
        <v>48</v>
      </c>
      <c r="J985" s="2" t="s">
        <v>17</v>
      </c>
      <c r="K985" s="2" t="s">
        <v>18</v>
      </c>
    </row>
    <row r="986" spans="1:11" x14ac:dyDescent="0.3">
      <c r="A986" s="2" t="s">
        <v>1354</v>
      </c>
      <c r="B986" s="2" t="s">
        <v>551</v>
      </c>
      <c r="C986" s="3">
        <v>45700.339583333327</v>
      </c>
      <c r="D986" s="2" t="s">
        <v>28</v>
      </c>
      <c r="E986" s="4">
        <v>97183.92</v>
      </c>
      <c r="F986" s="2" t="s">
        <v>14</v>
      </c>
      <c r="G986" s="5">
        <v>32</v>
      </c>
      <c r="H986" s="2" t="s">
        <v>15</v>
      </c>
      <c r="I986" s="2" t="s">
        <v>34</v>
      </c>
      <c r="J986" s="2" t="s">
        <v>44</v>
      </c>
      <c r="K986" s="2" t="s">
        <v>45</v>
      </c>
    </row>
    <row r="987" spans="1:11" x14ac:dyDescent="0.3">
      <c r="A987" s="2" t="s">
        <v>1355</v>
      </c>
      <c r="B987" s="2" t="s">
        <v>286</v>
      </c>
      <c r="C987" s="3">
        <v>45852.951388888891</v>
      </c>
      <c r="D987" s="2" t="s">
        <v>13</v>
      </c>
      <c r="E987" s="4">
        <v>1391.99</v>
      </c>
      <c r="F987" s="2" t="s">
        <v>57</v>
      </c>
      <c r="G987" s="5">
        <v>60</v>
      </c>
      <c r="H987" s="2" t="s">
        <v>29</v>
      </c>
      <c r="I987" s="2" t="s">
        <v>21</v>
      </c>
      <c r="J987" s="2" t="s">
        <v>17</v>
      </c>
      <c r="K987" s="2" t="s">
        <v>18</v>
      </c>
    </row>
    <row r="988" spans="1:11" x14ac:dyDescent="0.3">
      <c r="A988" s="2" t="s">
        <v>1356</v>
      </c>
      <c r="B988" s="2" t="s">
        <v>188</v>
      </c>
      <c r="C988" s="3">
        <v>45982.199305555558</v>
      </c>
      <c r="D988" s="2" t="s">
        <v>38</v>
      </c>
      <c r="E988" s="4">
        <v>2866.05</v>
      </c>
      <c r="F988" s="2" t="s">
        <v>14</v>
      </c>
      <c r="G988" s="5">
        <v>27</v>
      </c>
      <c r="H988" s="2" t="s">
        <v>15</v>
      </c>
      <c r="I988" s="2" t="s">
        <v>21</v>
      </c>
      <c r="J988" s="2" t="s">
        <v>17</v>
      </c>
      <c r="K988" s="2" t="s">
        <v>18</v>
      </c>
    </row>
    <row r="989" spans="1:11" x14ac:dyDescent="0.3">
      <c r="A989" s="2" t="s">
        <v>1357</v>
      </c>
      <c r="B989" s="2" t="s">
        <v>654</v>
      </c>
      <c r="C989" s="3">
        <v>45857.432638888888</v>
      </c>
      <c r="D989" s="2" t="s">
        <v>154</v>
      </c>
      <c r="E989" s="4">
        <v>40000</v>
      </c>
      <c r="F989" s="2" t="s">
        <v>57</v>
      </c>
      <c r="G989" s="5">
        <v>55</v>
      </c>
      <c r="H989" s="2" t="s">
        <v>15</v>
      </c>
      <c r="I989" s="2" t="s">
        <v>30</v>
      </c>
      <c r="J989" s="2" t="s">
        <v>44</v>
      </c>
      <c r="K989" s="2" t="s">
        <v>22</v>
      </c>
    </row>
    <row r="990" spans="1:11" x14ac:dyDescent="0.3">
      <c r="A990" s="2" t="s">
        <v>1358</v>
      </c>
      <c r="B990" s="2" t="s">
        <v>786</v>
      </c>
      <c r="C990" s="3">
        <v>45712.083333333343</v>
      </c>
      <c r="D990" s="2" t="s">
        <v>13</v>
      </c>
      <c r="E990" s="4">
        <v>2512.62</v>
      </c>
      <c r="F990" s="2" t="s">
        <v>14</v>
      </c>
      <c r="G990" s="5">
        <v>33</v>
      </c>
      <c r="H990" s="2" t="s">
        <v>15</v>
      </c>
      <c r="I990" s="2" t="s">
        <v>34</v>
      </c>
      <c r="J990" s="2" t="s">
        <v>44</v>
      </c>
      <c r="K990" s="2" t="s">
        <v>35</v>
      </c>
    </row>
    <row r="991" spans="1:11" x14ac:dyDescent="0.3">
      <c r="A991" s="2" t="s">
        <v>1359</v>
      </c>
      <c r="B991" s="2" t="s">
        <v>1229</v>
      </c>
      <c r="C991" s="3">
        <v>45815.599305555559</v>
      </c>
      <c r="D991" s="2" t="s">
        <v>28</v>
      </c>
      <c r="E991" s="4">
        <v>1473.72</v>
      </c>
      <c r="F991" s="2" t="s">
        <v>14</v>
      </c>
      <c r="G991" s="5">
        <v>31</v>
      </c>
      <c r="H991" s="2" t="s">
        <v>15</v>
      </c>
      <c r="I991" s="2" t="s">
        <v>34</v>
      </c>
      <c r="J991" s="2" t="s">
        <v>44</v>
      </c>
      <c r="K991" s="2" t="s">
        <v>18</v>
      </c>
    </row>
    <row r="992" spans="1:11" x14ac:dyDescent="0.3">
      <c r="A992" s="2" t="s">
        <v>1360</v>
      </c>
      <c r="B992" s="2" t="s">
        <v>619</v>
      </c>
      <c r="C992" s="3">
        <v>45796.130555555559</v>
      </c>
      <c r="D992" s="2" t="s">
        <v>13</v>
      </c>
      <c r="E992" s="4">
        <v>829.7</v>
      </c>
      <c r="F992" s="2" t="s">
        <v>14</v>
      </c>
      <c r="G992" s="5">
        <v>51</v>
      </c>
      <c r="H992" s="2" t="s">
        <v>15</v>
      </c>
      <c r="I992" s="2" t="s">
        <v>34</v>
      </c>
      <c r="J992" s="2" t="s">
        <v>17</v>
      </c>
      <c r="K992" s="2" t="s">
        <v>18</v>
      </c>
    </row>
    <row r="993" spans="1:11" x14ac:dyDescent="0.3">
      <c r="A993" s="2" t="s">
        <v>1361</v>
      </c>
      <c r="B993" s="2" t="s">
        <v>435</v>
      </c>
      <c r="C993" s="3">
        <v>45702.227083333331</v>
      </c>
      <c r="D993" s="2" t="s">
        <v>28</v>
      </c>
      <c r="E993" s="4">
        <v>31992.11</v>
      </c>
      <c r="F993" s="2" t="s">
        <v>14</v>
      </c>
      <c r="G993" s="5">
        <v>30</v>
      </c>
      <c r="H993" s="2" t="s">
        <v>15</v>
      </c>
      <c r="I993" s="2" t="s">
        <v>48</v>
      </c>
      <c r="J993" s="2" t="s">
        <v>44</v>
      </c>
      <c r="K993" s="2" t="s">
        <v>45</v>
      </c>
    </row>
    <row r="994" spans="1:11" x14ac:dyDescent="0.3">
      <c r="A994" s="2" t="s">
        <v>1362</v>
      </c>
      <c r="B994" s="2" t="s">
        <v>323</v>
      </c>
      <c r="C994" s="3">
        <v>45887.732638888891</v>
      </c>
      <c r="D994" s="2" t="s">
        <v>28</v>
      </c>
      <c r="E994" s="4">
        <v>33003.93</v>
      </c>
      <c r="F994" s="2" t="s">
        <v>14</v>
      </c>
      <c r="G994" s="5">
        <v>27</v>
      </c>
      <c r="H994" s="2" t="s">
        <v>29</v>
      </c>
      <c r="I994" s="2" t="s">
        <v>43</v>
      </c>
      <c r="J994" s="2" t="s">
        <v>17</v>
      </c>
      <c r="K994" s="2" t="s">
        <v>45</v>
      </c>
    </row>
    <row r="995" spans="1:11" x14ac:dyDescent="0.3">
      <c r="A995" s="2" t="s">
        <v>1363</v>
      </c>
      <c r="B995" s="2" t="s">
        <v>449</v>
      </c>
      <c r="C995" s="3">
        <v>45920.54583333333</v>
      </c>
      <c r="D995" s="2" t="s">
        <v>33</v>
      </c>
      <c r="E995" s="4">
        <v>28981.61</v>
      </c>
      <c r="F995" s="2" t="s">
        <v>14</v>
      </c>
      <c r="G995" s="5">
        <v>44</v>
      </c>
      <c r="H995" s="2" t="s">
        <v>29</v>
      </c>
      <c r="I995" s="2" t="s">
        <v>34</v>
      </c>
      <c r="J995" s="2" t="s">
        <v>52</v>
      </c>
      <c r="K995" s="2" t="s">
        <v>45</v>
      </c>
    </row>
    <row r="996" spans="1:11" x14ac:dyDescent="0.3">
      <c r="A996" s="2" t="s">
        <v>1364</v>
      </c>
      <c r="B996" s="2" t="s">
        <v>117</v>
      </c>
      <c r="C996" s="3">
        <v>45671.098611111112</v>
      </c>
      <c r="D996" s="2" t="s">
        <v>38</v>
      </c>
      <c r="E996" s="4">
        <v>5729.48</v>
      </c>
      <c r="F996" s="2" t="s">
        <v>14</v>
      </c>
      <c r="G996" s="5">
        <v>47</v>
      </c>
      <c r="H996" s="2" t="s">
        <v>29</v>
      </c>
      <c r="I996" s="2" t="s">
        <v>34</v>
      </c>
      <c r="J996" s="2" t="s">
        <v>17</v>
      </c>
      <c r="K996" s="2" t="s">
        <v>18</v>
      </c>
    </row>
    <row r="997" spans="1:11" x14ac:dyDescent="0.3">
      <c r="A997" s="2" t="s">
        <v>1365</v>
      </c>
      <c r="B997" s="2" t="s">
        <v>1101</v>
      </c>
      <c r="C997" s="3">
        <v>45941.109722222223</v>
      </c>
      <c r="D997" s="2" t="s">
        <v>28</v>
      </c>
      <c r="E997" s="4">
        <v>93638.45</v>
      </c>
      <c r="F997" s="2" t="s">
        <v>14</v>
      </c>
      <c r="G997" s="5">
        <v>38</v>
      </c>
      <c r="H997" s="2" t="s">
        <v>15</v>
      </c>
      <c r="I997" s="2" t="s">
        <v>21</v>
      </c>
      <c r="J997" s="2" t="s">
        <v>44</v>
      </c>
      <c r="K997" s="2" t="s">
        <v>35</v>
      </c>
    </row>
    <row r="998" spans="1:11" x14ac:dyDescent="0.3">
      <c r="A998" s="2" t="s">
        <v>1366</v>
      </c>
      <c r="B998" s="2" t="s">
        <v>860</v>
      </c>
      <c r="C998" s="3">
        <v>45964.454861111109</v>
      </c>
      <c r="D998" s="2" t="s">
        <v>154</v>
      </c>
      <c r="E998" s="4">
        <v>10000</v>
      </c>
      <c r="F998" s="2" t="s">
        <v>14</v>
      </c>
      <c r="G998" s="5">
        <v>29</v>
      </c>
      <c r="H998" s="2" t="s">
        <v>15</v>
      </c>
      <c r="I998" s="2" t="s">
        <v>21</v>
      </c>
      <c r="J998" s="2" t="s">
        <v>52</v>
      </c>
      <c r="K998" s="2" t="s">
        <v>45</v>
      </c>
    </row>
    <row r="999" spans="1:11" x14ac:dyDescent="0.3">
      <c r="A999" s="2" t="s">
        <v>1367</v>
      </c>
      <c r="B999" s="2" t="s">
        <v>435</v>
      </c>
      <c r="C999" s="3">
        <v>45855.012499999997</v>
      </c>
      <c r="D999" s="2" t="s">
        <v>33</v>
      </c>
      <c r="E999" s="4">
        <v>2361.25</v>
      </c>
      <c r="F999" s="2" t="s">
        <v>14</v>
      </c>
      <c r="G999" s="5">
        <v>30</v>
      </c>
      <c r="H999" s="2" t="s">
        <v>15</v>
      </c>
      <c r="I999" s="2" t="s">
        <v>48</v>
      </c>
      <c r="J999" s="2" t="s">
        <v>44</v>
      </c>
      <c r="K999" s="2" t="s">
        <v>22</v>
      </c>
    </row>
    <row r="1000" spans="1:11" x14ac:dyDescent="0.3">
      <c r="A1000" s="2" t="s">
        <v>1368</v>
      </c>
      <c r="B1000" s="2" t="s">
        <v>238</v>
      </c>
      <c r="C1000" s="3">
        <v>45869.53402777778</v>
      </c>
      <c r="D1000" s="2" t="s">
        <v>13</v>
      </c>
      <c r="E1000" s="4">
        <v>3078.66</v>
      </c>
      <c r="F1000" s="2" t="s">
        <v>14</v>
      </c>
      <c r="G1000" s="5">
        <v>25</v>
      </c>
      <c r="H1000" s="2" t="s">
        <v>15</v>
      </c>
      <c r="I1000" s="2" t="s">
        <v>34</v>
      </c>
      <c r="J1000" s="2" t="s">
        <v>52</v>
      </c>
      <c r="K1000" s="2" t="s">
        <v>22</v>
      </c>
    </row>
    <row r="1001" spans="1:11" x14ac:dyDescent="0.3">
      <c r="A1001" s="2" t="s">
        <v>1369</v>
      </c>
      <c r="B1001" s="2" t="s">
        <v>32</v>
      </c>
      <c r="C1001" s="3">
        <v>45701.997916666667</v>
      </c>
      <c r="D1001" s="2" t="s">
        <v>13</v>
      </c>
      <c r="E1001" s="4">
        <v>432.94</v>
      </c>
      <c r="F1001" s="2" t="s">
        <v>14</v>
      </c>
      <c r="G1001" s="5">
        <v>53</v>
      </c>
      <c r="H1001" s="2" t="s">
        <v>15</v>
      </c>
      <c r="I1001" s="2" t="s">
        <v>34</v>
      </c>
      <c r="J1001" s="2" t="s">
        <v>17</v>
      </c>
      <c r="K1001" s="2" t="s">
        <v>22</v>
      </c>
    </row>
    <row r="1002" spans="1:11" x14ac:dyDescent="0.3">
      <c r="A1002" s="2" t="s">
        <v>1370</v>
      </c>
      <c r="B1002" s="2" t="s">
        <v>1229</v>
      </c>
      <c r="C1002" s="3">
        <v>45944.316666666673</v>
      </c>
      <c r="D1002" s="2" t="s">
        <v>13</v>
      </c>
      <c r="E1002" s="4">
        <v>471.98</v>
      </c>
      <c r="F1002" s="2" t="s">
        <v>57</v>
      </c>
      <c r="G1002" s="5">
        <v>31</v>
      </c>
      <c r="H1002" s="2" t="s">
        <v>15</v>
      </c>
      <c r="I1002" s="2" t="s">
        <v>34</v>
      </c>
      <c r="J1002" s="2" t="s">
        <v>44</v>
      </c>
      <c r="K1002" s="2" t="s">
        <v>45</v>
      </c>
    </row>
    <row r="1003" spans="1:11" x14ac:dyDescent="0.3">
      <c r="A1003" s="2" t="s">
        <v>1371</v>
      </c>
      <c r="B1003" s="2" t="s">
        <v>489</v>
      </c>
      <c r="C1003" s="3">
        <v>45924.238194444442</v>
      </c>
      <c r="D1003" s="2" t="s">
        <v>38</v>
      </c>
      <c r="E1003" s="4">
        <v>2561.06</v>
      </c>
      <c r="F1003" s="2" t="s">
        <v>14</v>
      </c>
      <c r="G1003" s="5">
        <v>28</v>
      </c>
      <c r="H1003" s="2" t="s">
        <v>15</v>
      </c>
      <c r="I1003" s="2" t="s">
        <v>30</v>
      </c>
      <c r="J1003" s="2" t="s">
        <v>17</v>
      </c>
      <c r="K1003" s="2" t="s">
        <v>45</v>
      </c>
    </row>
    <row r="1004" spans="1:11" x14ac:dyDescent="0.3">
      <c r="A1004" s="2" t="s">
        <v>1372</v>
      </c>
      <c r="B1004" s="2" t="s">
        <v>551</v>
      </c>
      <c r="C1004" s="3">
        <v>45852.213888888888</v>
      </c>
      <c r="D1004" s="2" t="s">
        <v>38</v>
      </c>
      <c r="E1004" s="4">
        <v>8297.49</v>
      </c>
      <c r="F1004" s="2" t="s">
        <v>14</v>
      </c>
      <c r="G1004" s="5">
        <v>32</v>
      </c>
      <c r="H1004" s="2" t="s">
        <v>15</v>
      </c>
      <c r="I1004" s="2" t="s">
        <v>34</v>
      </c>
      <c r="J1004" s="2" t="s">
        <v>44</v>
      </c>
      <c r="K1004" s="2" t="s">
        <v>18</v>
      </c>
    </row>
    <row r="1005" spans="1:11" x14ac:dyDescent="0.3">
      <c r="A1005" s="2" t="s">
        <v>1373</v>
      </c>
      <c r="B1005" s="2" t="s">
        <v>92</v>
      </c>
      <c r="C1005" s="3">
        <v>45795.386805555558</v>
      </c>
      <c r="D1005" s="2" t="s">
        <v>33</v>
      </c>
      <c r="E1005" s="4">
        <v>746.58</v>
      </c>
      <c r="F1005" s="2" t="s">
        <v>14</v>
      </c>
      <c r="G1005" s="5">
        <v>31</v>
      </c>
      <c r="H1005" s="2" t="s">
        <v>29</v>
      </c>
      <c r="I1005" s="2" t="s">
        <v>60</v>
      </c>
      <c r="J1005" s="2" t="s">
        <v>44</v>
      </c>
      <c r="K1005" s="2" t="s">
        <v>22</v>
      </c>
    </row>
    <row r="1006" spans="1:11" x14ac:dyDescent="0.3">
      <c r="A1006" s="2" t="s">
        <v>1374</v>
      </c>
      <c r="B1006" s="2" t="s">
        <v>692</v>
      </c>
      <c r="C1006" s="3">
        <v>45910.169444444437</v>
      </c>
      <c r="D1006" s="2" t="s">
        <v>33</v>
      </c>
      <c r="E1006" s="4">
        <v>2002.16</v>
      </c>
      <c r="F1006" s="2" t="s">
        <v>14</v>
      </c>
      <c r="G1006" s="5">
        <v>41</v>
      </c>
      <c r="H1006" s="2" t="s">
        <v>15</v>
      </c>
      <c r="I1006" s="2" t="s">
        <v>25</v>
      </c>
      <c r="J1006" s="2" t="s">
        <v>17</v>
      </c>
      <c r="K1006" s="2" t="s">
        <v>45</v>
      </c>
    </row>
    <row r="1007" spans="1:11" x14ac:dyDescent="0.3">
      <c r="A1007" s="2" t="s">
        <v>1375</v>
      </c>
      <c r="B1007" s="2" t="s">
        <v>362</v>
      </c>
      <c r="C1007" s="3">
        <v>45743.553472222222</v>
      </c>
      <c r="D1007" s="2" t="s">
        <v>13</v>
      </c>
      <c r="E1007" s="4">
        <v>1565.05</v>
      </c>
      <c r="F1007" s="2" t="s">
        <v>14</v>
      </c>
      <c r="G1007" s="5">
        <v>25</v>
      </c>
      <c r="H1007" s="2" t="s">
        <v>29</v>
      </c>
      <c r="I1007" s="2" t="s">
        <v>34</v>
      </c>
      <c r="J1007" s="2" t="s">
        <v>44</v>
      </c>
      <c r="K1007" s="2" t="s">
        <v>18</v>
      </c>
    </row>
    <row r="1008" spans="1:11" x14ac:dyDescent="0.3">
      <c r="A1008" s="2" t="s">
        <v>1376</v>
      </c>
      <c r="B1008" s="2" t="s">
        <v>963</v>
      </c>
      <c r="C1008" s="3">
        <v>45873.395833333343</v>
      </c>
      <c r="D1008" s="2" t="s">
        <v>13</v>
      </c>
      <c r="E1008" s="4">
        <v>1710.99</v>
      </c>
      <c r="F1008" s="2" t="s">
        <v>14</v>
      </c>
      <c r="G1008" s="5">
        <v>51</v>
      </c>
      <c r="H1008" s="2" t="s">
        <v>29</v>
      </c>
      <c r="I1008" s="2" t="s">
        <v>48</v>
      </c>
      <c r="J1008" s="2" t="s">
        <v>49</v>
      </c>
      <c r="K1008" s="2" t="s">
        <v>45</v>
      </c>
    </row>
    <row r="1009" spans="1:11" x14ac:dyDescent="0.3">
      <c r="A1009" s="2" t="s">
        <v>1377</v>
      </c>
      <c r="B1009" s="2" t="s">
        <v>169</v>
      </c>
      <c r="C1009" s="3">
        <v>45697.469444444447</v>
      </c>
      <c r="D1009" s="2" t="s">
        <v>28</v>
      </c>
      <c r="E1009" s="4">
        <v>13283.64</v>
      </c>
      <c r="F1009" s="2" t="s">
        <v>57</v>
      </c>
      <c r="G1009" s="5">
        <v>33</v>
      </c>
      <c r="H1009" s="2" t="s">
        <v>29</v>
      </c>
      <c r="I1009" s="2" t="s">
        <v>34</v>
      </c>
      <c r="J1009" s="2" t="s">
        <v>17</v>
      </c>
      <c r="K1009" s="2" t="s">
        <v>18</v>
      </c>
    </row>
    <row r="1010" spans="1:11" x14ac:dyDescent="0.3">
      <c r="A1010" s="2" t="s">
        <v>1378</v>
      </c>
      <c r="B1010" s="2" t="s">
        <v>86</v>
      </c>
      <c r="C1010" s="3">
        <v>45784.986111111109</v>
      </c>
      <c r="D1010" s="2" t="s">
        <v>28</v>
      </c>
      <c r="E1010" s="4">
        <v>3723.46</v>
      </c>
      <c r="F1010" s="2" t="s">
        <v>14</v>
      </c>
      <c r="G1010" s="5">
        <v>41</v>
      </c>
      <c r="H1010" s="2" t="s">
        <v>29</v>
      </c>
      <c r="I1010" s="2" t="s">
        <v>60</v>
      </c>
      <c r="J1010" s="2" t="s">
        <v>17</v>
      </c>
      <c r="K1010" s="2" t="s">
        <v>18</v>
      </c>
    </row>
    <row r="1011" spans="1:11" x14ac:dyDescent="0.3">
      <c r="A1011" s="2" t="s">
        <v>1379</v>
      </c>
      <c r="B1011" s="2" t="s">
        <v>12</v>
      </c>
      <c r="C1011" s="3">
        <v>45911.818749999999</v>
      </c>
      <c r="D1011" s="2" t="s">
        <v>13</v>
      </c>
      <c r="E1011" s="4">
        <v>779.15</v>
      </c>
      <c r="F1011" s="2" t="s">
        <v>14</v>
      </c>
      <c r="G1011" s="5">
        <v>47</v>
      </c>
      <c r="H1011" s="2" t="s">
        <v>15</v>
      </c>
      <c r="I1011" s="2" t="s">
        <v>16</v>
      </c>
      <c r="J1011" s="2" t="s">
        <v>17</v>
      </c>
      <c r="K1011" s="2" t="s">
        <v>18</v>
      </c>
    </row>
    <row r="1012" spans="1:11" x14ac:dyDescent="0.3">
      <c r="A1012" s="2" t="s">
        <v>1380</v>
      </c>
      <c r="B1012" s="2" t="s">
        <v>354</v>
      </c>
      <c r="C1012" s="3">
        <v>45758.587500000001</v>
      </c>
      <c r="D1012" s="2" t="s">
        <v>154</v>
      </c>
      <c r="E1012" s="4">
        <v>2000</v>
      </c>
      <c r="F1012" s="2" t="s">
        <v>14</v>
      </c>
      <c r="G1012" s="5">
        <v>22</v>
      </c>
      <c r="H1012" s="2" t="s">
        <v>29</v>
      </c>
      <c r="I1012" s="2" t="s">
        <v>16</v>
      </c>
      <c r="J1012" s="2" t="s">
        <v>17</v>
      </c>
      <c r="K1012" s="2" t="s">
        <v>22</v>
      </c>
    </row>
    <row r="1013" spans="1:11" x14ac:dyDescent="0.3">
      <c r="A1013" s="2" t="s">
        <v>1381</v>
      </c>
      <c r="B1013" s="2" t="s">
        <v>192</v>
      </c>
      <c r="C1013" s="3">
        <v>45727.375</v>
      </c>
      <c r="D1013" s="2" t="s">
        <v>13</v>
      </c>
      <c r="E1013" s="4">
        <v>2811.84</v>
      </c>
      <c r="F1013" s="2" t="s">
        <v>14</v>
      </c>
      <c r="G1013" s="5">
        <v>48</v>
      </c>
      <c r="H1013" s="2" t="s">
        <v>29</v>
      </c>
      <c r="I1013" s="2" t="s">
        <v>60</v>
      </c>
      <c r="J1013" s="2" t="s">
        <v>49</v>
      </c>
      <c r="K1013" s="2" t="s">
        <v>22</v>
      </c>
    </row>
    <row r="1014" spans="1:11" x14ac:dyDescent="0.3">
      <c r="A1014" s="2" t="s">
        <v>1382</v>
      </c>
      <c r="B1014" s="2" t="s">
        <v>266</v>
      </c>
      <c r="C1014" s="3">
        <v>45860.453472222223</v>
      </c>
      <c r="D1014" s="2" t="s">
        <v>33</v>
      </c>
      <c r="E1014" s="4">
        <v>3710.05</v>
      </c>
      <c r="F1014" s="2" t="s">
        <v>14</v>
      </c>
      <c r="G1014" s="5">
        <v>47</v>
      </c>
      <c r="H1014" s="2" t="s">
        <v>29</v>
      </c>
      <c r="I1014" s="2" t="s">
        <v>95</v>
      </c>
      <c r="J1014" s="2" t="s">
        <v>44</v>
      </c>
      <c r="K1014" s="2" t="s">
        <v>22</v>
      </c>
    </row>
    <row r="1015" spans="1:11" x14ac:dyDescent="0.3">
      <c r="A1015" s="2" t="s">
        <v>1383</v>
      </c>
      <c r="B1015" s="2" t="s">
        <v>293</v>
      </c>
      <c r="C1015" s="3">
        <v>45975.535416666673</v>
      </c>
      <c r="D1015" s="2" t="s">
        <v>33</v>
      </c>
      <c r="E1015" s="4">
        <v>85276.15</v>
      </c>
      <c r="F1015" s="2" t="s">
        <v>57</v>
      </c>
      <c r="G1015" s="5">
        <v>36</v>
      </c>
      <c r="H1015" s="2" t="s">
        <v>15</v>
      </c>
      <c r="I1015" s="2" t="s">
        <v>34</v>
      </c>
      <c r="J1015" s="2" t="s">
        <v>17</v>
      </c>
      <c r="K1015" s="2" t="s">
        <v>45</v>
      </c>
    </row>
    <row r="1016" spans="1:11" x14ac:dyDescent="0.3">
      <c r="A1016" s="2" t="s">
        <v>1384</v>
      </c>
      <c r="B1016" s="2" t="s">
        <v>527</v>
      </c>
      <c r="C1016" s="3">
        <v>45826.597916666673</v>
      </c>
      <c r="D1016" s="2" t="s">
        <v>13</v>
      </c>
      <c r="E1016" s="4">
        <v>900.48</v>
      </c>
      <c r="F1016" s="2" t="s">
        <v>14</v>
      </c>
      <c r="G1016" s="5">
        <v>31</v>
      </c>
      <c r="H1016" s="2" t="s">
        <v>15</v>
      </c>
      <c r="I1016" s="2" t="s">
        <v>60</v>
      </c>
      <c r="J1016" s="2" t="s">
        <v>17</v>
      </c>
      <c r="K1016" s="2" t="s">
        <v>35</v>
      </c>
    </row>
    <row r="1017" spans="1:11" x14ac:dyDescent="0.3">
      <c r="A1017" s="2" t="s">
        <v>1385</v>
      </c>
      <c r="B1017" s="2" t="s">
        <v>219</v>
      </c>
      <c r="C1017" s="3">
        <v>45878.859722222223</v>
      </c>
      <c r="D1017" s="2" t="s">
        <v>33</v>
      </c>
      <c r="E1017" s="4">
        <v>33234.44</v>
      </c>
      <c r="F1017" s="2" t="s">
        <v>14</v>
      </c>
      <c r="G1017" s="5">
        <v>21</v>
      </c>
      <c r="H1017" s="2" t="s">
        <v>15</v>
      </c>
      <c r="I1017" s="2" t="s">
        <v>30</v>
      </c>
      <c r="J1017" s="2" t="s">
        <v>44</v>
      </c>
      <c r="K1017" s="2" t="s">
        <v>18</v>
      </c>
    </row>
    <row r="1018" spans="1:11" x14ac:dyDescent="0.3">
      <c r="A1018" s="2" t="s">
        <v>1386</v>
      </c>
      <c r="B1018" s="2" t="s">
        <v>1387</v>
      </c>
      <c r="C1018" s="3">
        <v>45727.388888888891</v>
      </c>
      <c r="D1018" s="2" t="s">
        <v>38</v>
      </c>
      <c r="E1018" s="4">
        <v>16983.580000000002</v>
      </c>
      <c r="F1018" s="2" t="s">
        <v>14</v>
      </c>
      <c r="G1018" s="5">
        <v>29</v>
      </c>
      <c r="H1018" s="2" t="s">
        <v>29</v>
      </c>
      <c r="I1018" s="2" t="s">
        <v>25</v>
      </c>
      <c r="J1018" s="2" t="s">
        <v>17</v>
      </c>
      <c r="K1018" s="2" t="s">
        <v>45</v>
      </c>
    </row>
    <row r="1019" spans="1:11" x14ac:dyDescent="0.3">
      <c r="A1019" s="2" t="s">
        <v>1388</v>
      </c>
      <c r="B1019" s="2" t="s">
        <v>284</v>
      </c>
      <c r="C1019" s="3">
        <v>45966.925000000003</v>
      </c>
      <c r="D1019" s="2" t="s">
        <v>28</v>
      </c>
      <c r="E1019" s="4">
        <v>9531.01</v>
      </c>
      <c r="F1019" s="2" t="s">
        <v>14</v>
      </c>
      <c r="G1019" s="5">
        <v>59</v>
      </c>
      <c r="H1019" s="2" t="s">
        <v>15</v>
      </c>
      <c r="I1019" s="2" t="s">
        <v>34</v>
      </c>
      <c r="J1019" s="2" t="s">
        <v>17</v>
      </c>
      <c r="K1019" s="2" t="s">
        <v>22</v>
      </c>
    </row>
    <row r="1020" spans="1:11" x14ac:dyDescent="0.3">
      <c r="A1020" s="2" t="s">
        <v>1389</v>
      </c>
      <c r="B1020" s="2" t="s">
        <v>362</v>
      </c>
      <c r="C1020" s="3">
        <v>45903.424305555563</v>
      </c>
      <c r="D1020" s="2" t="s">
        <v>28</v>
      </c>
      <c r="E1020" s="4">
        <v>3293.4</v>
      </c>
      <c r="F1020" s="2" t="s">
        <v>14</v>
      </c>
      <c r="G1020" s="5">
        <v>25</v>
      </c>
      <c r="H1020" s="2" t="s">
        <v>29</v>
      </c>
      <c r="I1020" s="2" t="s">
        <v>34</v>
      </c>
      <c r="J1020" s="2" t="s">
        <v>44</v>
      </c>
      <c r="K1020" s="2" t="s">
        <v>18</v>
      </c>
    </row>
    <row r="1021" spans="1:11" x14ac:dyDescent="0.3">
      <c r="A1021" s="2" t="s">
        <v>1390</v>
      </c>
      <c r="B1021" s="2" t="s">
        <v>1391</v>
      </c>
      <c r="C1021" s="3">
        <v>45861.429166666669</v>
      </c>
      <c r="D1021" s="2" t="s">
        <v>13</v>
      </c>
      <c r="E1021" s="4">
        <v>1055.8699999999999</v>
      </c>
      <c r="F1021" s="2" t="s">
        <v>14</v>
      </c>
      <c r="G1021" s="5">
        <v>53</v>
      </c>
      <c r="H1021" s="2" t="s">
        <v>29</v>
      </c>
      <c r="I1021" s="2" t="s">
        <v>16</v>
      </c>
      <c r="J1021" s="2" t="s">
        <v>49</v>
      </c>
      <c r="K1021" s="2" t="s">
        <v>45</v>
      </c>
    </row>
    <row r="1022" spans="1:11" x14ac:dyDescent="0.3">
      <c r="A1022" s="2" t="s">
        <v>1392</v>
      </c>
      <c r="B1022" s="2" t="s">
        <v>299</v>
      </c>
      <c r="C1022" s="3">
        <v>46013.854861111111</v>
      </c>
      <c r="D1022" s="2" t="s">
        <v>33</v>
      </c>
      <c r="E1022" s="4">
        <v>8197.07</v>
      </c>
      <c r="F1022" s="2" t="s">
        <v>14</v>
      </c>
      <c r="G1022" s="5">
        <v>27</v>
      </c>
      <c r="H1022" s="2" t="s">
        <v>15</v>
      </c>
      <c r="I1022" s="2" t="s">
        <v>34</v>
      </c>
      <c r="J1022" s="2" t="s">
        <v>49</v>
      </c>
      <c r="K1022" s="2" t="s">
        <v>45</v>
      </c>
    </row>
    <row r="1023" spans="1:11" x14ac:dyDescent="0.3">
      <c r="A1023" s="2" t="s">
        <v>1393</v>
      </c>
      <c r="B1023" s="2" t="s">
        <v>325</v>
      </c>
      <c r="C1023" s="3">
        <v>45952.305555555547</v>
      </c>
      <c r="D1023" s="2" t="s">
        <v>28</v>
      </c>
      <c r="E1023" s="4">
        <v>77794.899999999994</v>
      </c>
      <c r="F1023" s="2" t="s">
        <v>122</v>
      </c>
      <c r="G1023" s="5">
        <v>48</v>
      </c>
      <c r="H1023" s="2" t="s">
        <v>15</v>
      </c>
      <c r="I1023" s="2" t="s">
        <v>34</v>
      </c>
      <c r="J1023" s="2" t="s">
        <v>17</v>
      </c>
      <c r="K1023" s="2" t="s">
        <v>45</v>
      </c>
    </row>
    <row r="1024" spans="1:11" x14ac:dyDescent="0.3">
      <c r="A1024" s="2" t="s">
        <v>1394</v>
      </c>
      <c r="B1024" s="2" t="s">
        <v>42</v>
      </c>
      <c r="C1024" s="3">
        <v>45850.369444444441</v>
      </c>
      <c r="D1024" s="2" t="s">
        <v>13</v>
      </c>
      <c r="E1024" s="4">
        <v>672.52</v>
      </c>
      <c r="F1024" s="2" t="s">
        <v>57</v>
      </c>
      <c r="G1024" s="5">
        <v>35</v>
      </c>
      <c r="H1024" s="2" t="s">
        <v>15</v>
      </c>
      <c r="I1024" s="2" t="s">
        <v>43</v>
      </c>
      <c r="J1024" s="2" t="s">
        <v>44</v>
      </c>
      <c r="K1024" s="2" t="s">
        <v>35</v>
      </c>
    </row>
    <row r="1025" spans="1:11" x14ac:dyDescent="0.3">
      <c r="A1025" s="2" t="s">
        <v>1395</v>
      </c>
      <c r="B1025" s="2" t="s">
        <v>221</v>
      </c>
      <c r="C1025" s="3">
        <v>45859.463194444441</v>
      </c>
      <c r="D1025" s="2" t="s">
        <v>38</v>
      </c>
      <c r="E1025" s="4">
        <v>8544.73</v>
      </c>
      <c r="F1025" s="2" t="s">
        <v>14</v>
      </c>
      <c r="G1025" s="5">
        <v>43</v>
      </c>
      <c r="H1025" s="2" t="s">
        <v>15</v>
      </c>
      <c r="I1025" s="2" t="s">
        <v>60</v>
      </c>
      <c r="J1025" s="2" t="s">
        <v>49</v>
      </c>
      <c r="K1025" s="2" t="s">
        <v>45</v>
      </c>
    </row>
    <row r="1026" spans="1:11" x14ac:dyDescent="0.3">
      <c r="A1026" s="2" t="s">
        <v>1396</v>
      </c>
      <c r="B1026" s="2" t="s">
        <v>603</v>
      </c>
      <c r="C1026" s="3">
        <v>45946.275694444441</v>
      </c>
      <c r="D1026" s="2" t="s">
        <v>28</v>
      </c>
      <c r="E1026" s="4">
        <v>7011.51</v>
      </c>
      <c r="F1026" s="2" t="s">
        <v>14</v>
      </c>
      <c r="G1026" s="5">
        <v>49</v>
      </c>
      <c r="H1026" s="2" t="s">
        <v>15</v>
      </c>
      <c r="I1026" s="2" t="s">
        <v>34</v>
      </c>
      <c r="J1026" s="2" t="s">
        <v>17</v>
      </c>
      <c r="K1026" s="2" t="s">
        <v>18</v>
      </c>
    </row>
    <row r="1027" spans="1:11" x14ac:dyDescent="0.3">
      <c r="A1027" s="2" t="s">
        <v>1397</v>
      </c>
      <c r="B1027" s="2" t="s">
        <v>146</v>
      </c>
      <c r="C1027" s="3">
        <v>45937.238194444442</v>
      </c>
      <c r="D1027" s="2" t="s">
        <v>13</v>
      </c>
      <c r="E1027" s="4">
        <v>321.83999999999997</v>
      </c>
      <c r="F1027" s="2" t="s">
        <v>14</v>
      </c>
      <c r="G1027" s="5">
        <v>24</v>
      </c>
      <c r="H1027" s="2" t="s">
        <v>15</v>
      </c>
      <c r="I1027" s="2" t="s">
        <v>60</v>
      </c>
      <c r="J1027" s="2" t="s">
        <v>17</v>
      </c>
      <c r="K1027" s="2" t="s">
        <v>18</v>
      </c>
    </row>
    <row r="1028" spans="1:11" x14ac:dyDescent="0.3">
      <c r="A1028" s="2" t="s">
        <v>1398</v>
      </c>
      <c r="B1028" s="2" t="s">
        <v>213</v>
      </c>
      <c r="C1028" s="3">
        <v>45939.031944444447</v>
      </c>
      <c r="D1028" s="2" t="s">
        <v>38</v>
      </c>
      <c r="E1028" s="4">
        <v>3858.41</v>
      </c>
      <c r="F1028" s="2" t="s">
        <v>14</v>
      </c>
      <c r="G1028" s="5">
        <v>50</v>
      </c>
      <c r="H1028" s="2" t="s">
        <v>29</v>
      </c>
      <c r="I1028" s="2" t="s">
        <v>25</v>
      </c>
      <c r="J1028" s="2" t="s">
        <v>49</v>
      </c>
      <c r="K1028" s="2" t="s">
        <v>35</v>
      </c>
    </row>
    <row r="1029" spans="1:11" x14ac:dyDescent="0.3">
      <c r="A1029" s="2" t="s">
        <v>1399</v>
      </c>
      <c r="B1029" s="2" t="s">
        <v>853</v>
      </c>
      <c r="C1029" s="3">
        <v>45894.925694444442</v>
      </c>
      <c r="D1029" s="2" t="s">
        <v>28</v>
      </c>
      <c r="E1029" s="4">
        <v>18239.66</v>
      </c>
      <c r="F1029" s="2" t="s">
        <v>57</v>
      </c>
      <c r="G1029" s="5">
        <v>45</v>
      </c>
      <c r="H1029" s="2" t="s">
        <v>29</v>
      </c>
      <c r="I1029" s="2" t="s">
        <v>34</v>
      </c>
      <c r="J1029" s="2" t="s">
        <v>49</v>
      </c>
      <c r="K1029" s="2" t="s">
        <v>45</v>
      </c>
    </row>
    <row r="1030" spans="1:11" x14ac:dyDescent="0.3">
      <c r="A1030" s="2" t="s">
        <v>1400</v>
      </c>
      <c r="B1030" s="2" t="s">
        <v>1401</v>
      </c>
      <c r="C1030" s="3">
        <v>45882.411805555559</v>
      </c>
      <c r="D1030" s="2" t="s">
        <v>13</v>
      </c>
      <c r="E1030" s="4">
        <v>2260.91</v>
      </c>
      <c r="F1030" s="2" t="s">
        <v>14</v>
      </c>
      <c r="G1030" s="5">
        <v>60</v>
      </c>
      <c r="H1030" s="2" t="s">
        <v>29</v>
      </c>
      <c r="I1030" s="2" t="s">
        <v>95</v>
      </c>
      <c r="J1030" s="2" t="s">
        <v>17</v>
      </c>
      <c r="K1030" s="2" t="s">
        <v>35</v>
      </c>
    </row>
    <row r="1031" spans="1:11" x14ac:dyDescent="0.3">
      <c r="A1031" s="2" t="s">
        <v>1402</v>
      </c>
      <c r="B1031" s="2" t="s">
        <v>1403</v>
      </c>
      <c r="C1031" s="3">
        <v>46012.119444444441</v>
      </c>
      <c r="D1031" s="2" t="s">
        <v>13</v>
      </c>
      <c r="E1031" s="4">
        <v>2333.3000000000002</v>
      </c>
      <c r="F1031" s="2" t="s">
        <v>14</v>
      </c>
      <c r="G1031" s="5">
        <v>37</v>
      </c>
      <c r="H1031" s="2" t="s">
        <v>15</v>
      </c>
      <c r="I1031" s="2" t="s">
        <v>30</v>
      </c>
      <c r="J1031" s="2" t="s">
        <v>49</v>
      </c>
      <c r="K1031" s="2" t="s">
        <v>18</v>
      </c>
    </row>
    <row r="1032" spans="1:11" x14ac:dyDescent="0.3">
      <c r="A1032" s="2" t="s">
        <v>1404</v>
      </c>
      <c r="B1032" s="2" t="s">
        <v>847</v>
      </c>
      <c r="C1032" s="3">
        <v>45867.896527777782</v>
      </c>
      <c r="D1032" s="2" t="s">
        <v>33</v>
      </c>
      <c r="E1032" s="4">
        <v>17208.28</v>
      </c>
      <c r="F1032" s="2" t="s">
        <v>57</v>
      </c>
      <c r="G1032" s="5">
        <v>39</v>
      </c>
      <c r="H1032" s="2" t="s">
        <v>15</v>
      </c>
      <c r="I1032" s="2" t="s">
        <v>60</v>
      </c>
      <c r="J1032" s="2" t="s">
        <v>17</v>
      </c>
      <c r="K1032" s="2" t="s">
        <v>18</v>
      </c>
    </row>
    <row r="1033" spans="1:11" x14ac:dyDescent="0.3">
      <c r="A1033" s="2" t="s">
        <v>1405</v>
      </c>
      <c r="B1033" s="2" t="s">
        <v>454</v>
      </c>
      <c r="C1033" s="3">
        <v>45729.84652777778</v>
      </c>
      <c r="D1033" s="2" t="s">
        <v>13</v>
      </c>
      <c r="E1033" s="4">
        <v>971.63</v>
      </c>
      <c r="F1033" s="2" t="s">
        <v>14</v>
      </c>
      <c r="G1033" s="5">
        <v>35</v>
      </c>
      <c r="H1033" s="2" t="s">
        <v>15</v>
      </c>
      <c r="I1033" s="2" t="s">
        <v>21</v>
      </c>
      <c r="J1033" s="2" t="s">
        <v>17</v>
      </c>
      <c r="K1033" s="2" t="s">
        <v>45</v>
      </c>
    </row>
    <row r="1034" spans="1:11" x14ac:dyDescent="0.3">
      <c r="A1034" s="2" t="s">
        <v>1406</v>
      </c>
      <c r="B1034" s="2" t="s">
        <v>722</v>
      </c>
      <c r="C1034" s="3">
        <v>45781.362500000003</v>
      </c>
      <c r="D1034" s="2" t="s">
        <v>13</v>
      </c>
      <c r="E1034" s="4">
        <v>658.34</v>
      </c>
      <c r="F1034" s="2" t="s">
        <v>14</v>
      </c>
      <c r="G1034" s="5">
        <v>42</v>
      </c>
      <c r="H1034" s="2" t="s">
        <v>29</v>
      </c>
      <c r="I1034" s="2" t="s">
        <v>25</v>
      </c>
      <c r="J1034" s="2" t="s">
        <v>44</v>
      </c>
      <c r="K1034" s="2" t="s">
        <v>18</v>
      </c>
    </row>
    <row r="1035" spans="1:11" x14ac:dyDescent="0.3">
      <c r="A1035" s="2" t="s">
        <v>1407</v>
      </c>
      <c r="B1035" s="2" t="s">
        <v>1408</v>
      </c>
      <c r="C1035" s="3">
        <v>45736.935416666667</v>
      </c>
      <c r="D1035" s="2" t="s">
        <v>38</v>
      </c>
      <c r="E1035" s="4">
        <v>1170.54</v>
      </c>
      <c r="F1035" s="2" t="s">
        <v>14</v>
      </c>
      <c r="G1035" s="5">
        <v>39</v>
      </c>
      <c r="H1035" s="2" t="s">
        <v>15</v>
      </c>
      <c r="I1035" s="2" t="s">
        <v>25</v>
      </c>
      <c r="J1035" s="2" t="s">
        <v>52</v>
      </c>
      <c r="K1035" s="2" t="s">
        <v>18</v>
      </c>
    </row>
    <row r="1036" spans="1:11" x14ac:dyDescent="0.3">
      <c r="A1036" s="2" t="s">
        <v>1409</v>
      </c>
      <c r="B1036" s="2" t="s">
        <v>529</v>
      </c>
      <c r="C1036" s="3">
        <v>45851.102777777778</v>
      </c>
      <c r="D1036" s="2" t="s">
        <v>28</v>
      </c>
      <c r="E1036" s="4">
        <v>5264.55</v>
      </c>
      <c r="F1036" s="2" t="s">
        <v>57</v>
      </c>
      <c r="G1036" s="5">
        <v>28</v>
      </c>
      <c r="H1036" s="2" t="s">
        <v>29</v>
      </c>
      <c r="I1036" s="2" t="s">
        <v>34</v>
      </c>
      <c r="J1036" s="2" t="s">
        <v>17</v>
      </c>
      <c r="K1036" s="2" t="s">
        <v>18</v>
      </c>
    </row>
    <row r="1037" spans="1:11" x14ac:dyDescent="0.3">
      <c r="A1037" s="2" t="s">
        <v>1410</v>
      </c>
      <c r="B1037" s="2" t="s">
        <v>538</v>
      </c>
      <c r="C1037" s="3">
        <v>45964.650694444441</v>
      </c>
      <c r="D1037" s="2" t="s">
        <v>33</v>
      </c>
      <c r="E1037" s="4">
        <v>3815.49</v>
      </c>
      <c r="F1037" s="2" t="s">
        <v>14</v>
      </c>
      <c r="G1037" s="5">
        <v>46</v>
      </c>
      <c r="H1037" s="2" t="s">
        <v>15</v>
      </c>
      <c r="I1037" s="2" t="s">
        <v>43</v>
      </c>
      <c r="J1037" s="2" t="s">
        <v>17</v>
      </c>
      <c r="K1037" s="2" t="s">
        <v>35</v>
      </c>
    </row>
    <row r="1038" spans="1:11" x14ac:dyDescent="0.3">
      <c r="A1038" s="2" t="s">
        <v>1411</v>
      </c>
      <c r="B1038" s="2" t="s">
        <v>1412</v>
      </c>
      <c r="C1038" s="3">
        <v>45863.730555555558</v>
      </c>
      <c r="D1038" s="2" t="s">
        <v>13</v>
      </c>
      <c r="E1038" s="4">
        <v>1085.01</v>
      </c>
      <c r="F1038" s="2" t="s">
        <v>14</v>
      </c>
      <c r="G1038" s="5">
        <v>34</v>
      </c>
      <c r="H1038" s="2" t="s">
        <v>15</v>
      </c>
      <c r="I1038" s="2" t="s">
        <v>34</v>
      </c>
      <c r="J1038" s="2" t="s">
        <v>17</v>
      </c>
      <c r="K1038" s="2" t="s">
        <v>45</v>
      </c>
    </row>
    <row r="1039" spans="1:11" x14ac:dyDescent="0.3">
      <c r="A1039" s="2" t="s">
        <v>1413</v>
      </c>
      <c r="B1039" s="2" t="s">
        <v>372</v>
      </c>
      <c r="C1039" s="3">
        <v>46012.56527777778</v>
      </c>
      <c r="D1039" s="2" t="s">
        <v>13</v>
      </c>
      <c r="E1039" s="4">
        <v>409.32</v>
      </c>
      <c r="F1039" s="2" t="s">
        <v>14</v>
      </c>
      <c r="G1039" s="5">
        <v>28</v>
      </c>
      <c r="H1039" s="2" t="s">
        <v>29</v>
      </c>
      <c r="I1039" s="2" t="s">
        <v>25</v>
      </c>
      <c r="J1039" s="2" t="s">
        <v>17</v>
      </c>
      <c r="K1039" s="2" t="s">
        <v>35</v>
      </c>
    </row>
    <row r="1040" spans="1:11" x14ac:dyDescent="0.3">
      <c r="A1040" s="2" t="s">
        <v>1414</v>
      </c>
      <c r="B1040" s="2" t="s">
        <v>1191</v>
      </c>
      <c r="C1040" s="3">
        <v>45676.488888888889</v>
      </c>
      <c r="D1040" s="2" t="s">
        <v>13</v>
      </c>
      <c r="E1040" s="4">
        <v>246.43</v>
      </c>
      <c r="F1040" s="2" t="s">
        <v>14</v>
      </c>
      <c r="G1040" s="5">
        <v>25</v>
      </c>
      <c r="H1040" s="2" t="s">
        <v>29</v>
      </c>
      <c r="I1040" s="2" t="s">
        <v>34</v>
      </c>
      <c r="J1040" s="2" t="s">
        <v>17</v>
      </c>
      <c r="K1040" s="2" t="s">
        <v>45</v>
      </c>
    </row>
    <row r="1041" spans="1:11" x14ac:dyDescent="0.3">
      <c r="A1041" s="2" t="s">
        <v>1415</v>
      </c>
      <c r="B1041" s="2" t="s">
        <v>1086</v>
      </c>
      <c r="C1041" s="3">
        <v>45932.819444444453</v>
      </c>
      <c r="D1041" s="2" t="s">
        <v>28</v>
      </c>
      <c r="E1041" s="4">
        <v>36398.43</v>
      </c>
      <c r="F1041" s="2" t="s">
        <v>14</v>
      </c>
      <c r="G1041" s="5">
        <v>60</v>
      </c>
      <c r="H1041" s="2" t="s">
        <v>15</v>
      </c>
      <c r="I1041" s="2" t="s">
        <v>34</v>
      </c>
      <c r="J1041" s="2" t="s">
        <v>44</v>
      </c>
      <c r="K1041" s="2" t="s">
        <v>45</v>
      </c>
    </row>
    <row r="1042" spans="1:11" x14ac:dyDescent="0.3">
      <c r="A1042" s="2" t="s">
        <v>1416</v>
      </c>
      <c r="B1042" s="2" t="s">
        <v>309</v>
      </c>
      <c r="C1042" s="3">
        <v>45701.15902777778</v>
      </c>
      <c r="D1042" s="2" t="s">
        <v>28</v>
      </c>
      <c r="E1042" s="4">
        <v>94389.87</v>
      </c>
      <c r="F1042" s="2" t="s">
        <v>57</v>
      </c>
      <c r="G1042" s="5">
        <v>51</v>
      </c>
      <c r="H1042" s="2" t="s">
        <v>29</v>
      </c>
      <c r="I1042" s="2" t="s">
        <v>25</v>
      </c>
      <c r="J1042" s="2" t="s">
        <v>49</v>
      </c>
      <c r="K1042" s="2" t="s">
        <v>18</v>
      </c>
    </row>
    <row r="1043" spans="1:11" x14ac:dyDescent="0.3">
      <c r="A1043" s="2" t="s">
        <v>1417</v>
      </c>
      <c r="B1043" s="2" t="s">
        <v>732</v>
      </c>
      <c r="C1043" s="3">
        <v>45785.904166666667</v>
      </c>
      <c r="D1043" s="2" t="s">
        <v>28</v>
      </c>
      <c r="E1043" s="4">
        <v>12044.53</v>
      </c>
      <c r="F1043" s="2" t="s">
        <v>14</v>
      </c>
      <c r="G1043" s="5">
        <v>36</v>
      </c>
      <c r="H1043" s="2" t="s">
        <v>29</v>
      </c>
      <c r="I1043" s="2" t="s">
        <v>43</v>
      </c>
      <c r="J1043" s="2" t="s">
        <v>49</v>
      </c>
      <c r="K1043" s="2" t="s">
        <v>35</v>
      </c>
    </row>
    <row r="1044" spans="1:11" x14ac:dyDescent="0.3">
      <c r="A1044" s="2" t="s">
        <v>1418</v>
      </c>
      <c r="B1044" s="2" t="s">
        <v>743</v>
      </c>
      <c r="C1044" s="3">
        <v>45839.236805555563</v>
      </c>
      <c r="D1044" s="2" t="s">
        <v>28</v>
      </c>
      <c r="E1044" s="4">
        <v>24557.65</v>
      </c>
      <c r="F1044" s="2" t="s">
        <v>14</v>
      </c>
      <c r="G1044" s="5">
        <v>38</v>
      </c>
      <c r="H1044" s="2" t="s">
        <v>29</v>
      </c>
      <c r="I1044" s="2" t="s">
        <v>95</v>
      </c>
      <c r="J1044" s="2" t="s">
        <v>17</v>
      </c>
      <c r="K1044" s="2" t="s">
        <v>35</v>
      </c>
    </row>
    <row r="1045" spans="1:11" x14ac:dyDescent="0.3">
      <c r="A1045" s="2" t="s">
        <v>1419</v>
      </c>
      <c r="B1045" s="2" t="s">
        <v>767</v>
      </c>
      <c r="C1045" s="3">
        <v>45971.066666666673</v>
      </c>
      <c r="D1045" s="2" t="s">
        <v>28</v>
      </c>
      <c r="E1045" s="4">
        <v>72164.44</v>
      </c>
      <c r="F1045" s="2" t="s">
        <v>14</v>
      </c>
      <c r="G1045" s="5">
        <v>33</v>
      </c>
      <c r="H1045" s="2" t="s">
        <v>29</v>
      </c>
      <c r="I1045" s="2" t="s">
        <v>21</v>
      </c>
      <c r="J1045" s="2" t="s">
        <v>17</v>
      </c>
      <c r="K1045" s="2" t="s">
        <v>35</v>
      </c>
    </row>
    <row r="1046" spans="1:11" x14ac:dyDescent="0.3">
      <c r="A1046" s="2" t="s">
        <v>1420</v>
      </c>
      <c r="B1046" s="2" t="s">
        <v>433</v>
      </c>
      <c r="C1046" s="3">
        <v>45988.90347222222</v>
      </c>
      <c r="D1046" s="2" t="s">
        <v>154</v>
      </c>
      <c r="E1046" s="4">
        <v>5000</v>
      </c>
      <c r="F1046" s="2" t="s">
        <v>14</v>
      </c>
      <c r="G1046" s="5">
        <v>25</v>
      </c>
      <c r="H1046" s="2" t="s">
        <v>15</v>
      </c>
      <c r="I1046" s="2" t="s">
        <v>34</v>
      </c>
      <c r="J1046" s="2" t="s">
        <v>49</v>
      </c>
      <c r="K1046" s="2" t="s">
        <v>22</v>
      </c>
    </row>
    <row r="1047" spans="1:11" x14ac:dyDescent="0.3">
      <c r="A1047" s="2" t="s">
        <v>1421</v>
      </c>
      <c r="B1047" s="2" t="s">
        <v>468</v>
      </c>
      <c r="C1047" s="3">
        <v>45862.451388888891</v>
      </c>
      <c r="D1047" s="2" t="s">
        <v>13</v>
      </c>
      <c r="E1047" s="4">
        <v>1665.79</v>
      </c>
      <c r="F1047" s="2" t="s">
        <v>122</v>
      </c>
      <c r="G1047" s="5">
        <v>50</v>
      </c>
      <c r="H1047" s="2" t="s">
        <v>29</v>
      </c>
      <c r="I1047" s="2" t="s">
        <v>25</v>
      </c>
      <c r="J1047" s="2" t="s">
        <v>17</v>
      </c>
      <c r="K1047" s="2" t="s">
        <v>45</v>
      </c>
    </row>
    <row r="1048" spans="1:11" x14ac:dyDescent="0.3">
      <c r="A1048" s="2" t="s">
        <v>1422</v>
      </c>
      <c r="B1048" s="2" t="s">
        <v>40</v>
      </c>
      <c r="C1048" s="3">
        <v>45878.125</v>
      </c>
      <c r="D1048" s="2" t="s">
        <v>28</v>
      </c>
      <c r="E1048" s="4">
        <v>62362.31</v>
      </c>
      <c r="F1048" s="2" t="s">
        <v>14</v>
      </c>
      <c r="G1048" s="5">
        <v>36</v>
      </c>
      <c r="H1048" s="2" t="s">
        <v>29</v>
      </c>
      <c r="I1048" s="2" t="s">
        <v>34</v>
      </c>
      <c r="J1048" s="2" t="s">
        <v>17</v>
      </c>
      <c r="K1048" s="2" t="s">
        <v>35</v>
      </c>
    </row>
    <row r="1049" spans="1:11" x14ac:dyDescent="0.3">
      <c r="A1049" s="2" t="s">
        <v>1423</v>
      </c>
      <c r="B1049" s="2" t="s">
        <v>1424</v>
      </c>
      <c r="C1049" s="3">
        <v>45708.343055555553</v>
      </c>
      <c r="D1049" s="2" t="s">
        <v>33</v>
      </c>
      <c r="E1049" s="4">
        <v>10670.05</v>
      </c>
      <c r="F1049" s="2" t="s">
        <v>14</v>
      </c>
      <c r="G1049" s="5">
        <v>37</v>
      </c>
      <c r="H1049" s="2" t="s">
        <v>29</v>
      </c>
      <c r="I1049" s="2" t="s">
        <v>95</v>
      </c>
      <c r="J1049" s="2" t="s">
        <v>49</v>
      </c>
      <c r="K1049" s="2" t="s">
        <v>45</v>
      </c>
    </row>
    <row r="1050" spans="1:11" x14ac:dyDescent="0.3">
      <c r="A1050" s="2" t="s">
        <v>1425</v>
      </c>
      <c r="B1050" s="2" t="s">
        <v>1201</v>
      </c>
      <c r="C1050" s="3">
        <v>45919.981249999997</v>
      </c>
      <c r="D1050" s="2" t="s">
        <v>28</v>
      </c>
      <c r="E1050" s="4">
        <v>37863.050000000003</v>
      </c>
      <c r="F1050" s="2" t="s">
        <v>14</v>
      </c>
      <c r="G1050" s="5">
        <v>44</v>
      </c>
      <c r="H1050" s="2" t="s">
        <v>15</v>
      </c>
      <c r="I1050" s="2" t="s">
        <v>25</v>
      </c>
      <c r="J1050" s="2" t="s">
        <v>44</v>
      </c>
      <c r="K1050" s="2" t="s">
        <v>18</v>
      </c>
    </row>
    <row r="1051" spans="1:11" x14ac:dyDescent="0.3">
      <c r="A1051" s="2" t="s">
        <v>1426</v>
      </c>
      <c r="B1051" s="2" t="s">
        <v>752</v>
      </c>
      <c r="C1051" s="3">
        <v>45943.780555555553</v>
      </c>
      <c r="D1051" s="2" t="s">
        <v>28</v>
      </c>
      <c r="E1051" s="4">
        <v>14797.98</v>
      </c>
      <c r="F1051" s="2" t="s">
        <v>14</v>
      </c>
      <c r="G1051" s="5">
        <v>20</v>
      </c>
      <c r="H1051" s="2" t="s">
        <v>15</v>
      </c>
      <c r="I1051" s="2" t="s">
        <v>48</v>
      </c>
      <c r="J1051" s="2" t="s">
        <v>17</v>
      </c>
      <c r="K1051" s="2" t="s">
        <v>18</v>
      </c>
    </row>
    <row r="1052" spans="1:11" x14ac:dyDescent="0.3">
      <c r="A1052" s="2" t="s">
        <v>1427</v>
      </c>
      <c r="B1052" s="2" t="s">
        <v>327</v>
      </c>
      <c r="C1052" s="3">
        <v>45952.311111111107</v>
      </c>
      <c r="D1052" s="2" t="s">
        <v>13</v>
      </c>
      <c r="E1052" s="4">
        <v>736.64</v>
      </c>
      <c r="F1052" s="2" t="s">
        <v>14</v>
      </c>
      <c r="G1052" s="5">
        <v>48</v>
      </c>
      <c r="H1052" s="2" t="s">
        <v>15</v>
      </c>
      <c r="I1052" s="2" t="s">
        <v>34</v>
      </c>
      <c r="J1052" s="2" t="s">
        <v>17</v>
      </c>
      <c r="K1052" s="2" t="s">
        <v>22</v>
      </c>
    </row>
    <row r="1053" spans="1:11" x14ac:dyDescent="0.3">
      <c r="A1053" s="2" t="s">
        <v>1428</v>
      </c>
      <c r="B1053" s="2" t="s">
        <v>192</v>
      </c>
      <c r="C1053" s="3">
        <v>45849.520138888889</v>
      </c>
      <c r="D1053" s="2" t="s">
        <v>28</v>
      </c>
      <c r="E1053" s="4">
        <v>9300.33</v>
      </c>
      <c r="F1053" s="2" t="s">
        <v>57</v>
      </c>
      <c r="G1053" s="5">
        <v>48</v>
      </c>
      <c r="H1053" s="2" t="s">
        <v>29</v>
      </c>
      <c r="I1053" s="2" t="s">
        <v>60</v>
      </c>
      <c r="J1053" s="2" t="s">
        <v>49</v>
      </c>
      <c r="K1053" s="2" t="s">
        <v>45</v>
      </c>
    </row>
    <row r="1054" spans="1:11" x14ac:dyDescent="0.3">
      <c r="A1054" s="2" t="s">
        <v>1429</v>
      </c>
      <c r="B1054" s="2" t="s">
        <v>1430</v>
      </c>
      <c r="C1054" s="3">
        <v>46005.780555555553</v>
      </c>
      <c r="D1054" s="2" t="s">
        <v>28</v>
      </c>
      <c r="E1054" s="4">
        <v>32436.2</v>
      </c>
      <c r="F1054" s="2" t="s">
        <v>14</v>
      </c>
      <c r="G1054" s="5">
        <v>32</v>
      </c>
      <c r="H1054" s="2" t="s">
        <v>29</v>
      </c>
      <c r="I1054" s="2" t="s">
        <v>25</v>
      </c>
      <c r="J1054" s="2" t="s">
        <v>49</v>
      </c>
      <c r="K1054" s="2" t="s">
        <v>18</v>
      </c>
    </row>
    <row r="1055" spans="1:11" x14ac:dyDescent="0.3">
      <c r="A1055" s="2" t="s">
        <v>1431</v>
      </c>
      <c r="B1055" s="2" t="s">
        <v>338</v>
      </c>
      <c r="C1055" s="3">
        <v>45914.181944444441</v>
      </c>
      <c r="D1055" s="2" t="s">
        <v>28</v>
      </c>
      <c r="E1055" s="4">
        <v>23015.83</v>
      </c>
      <c r="F1055" s="2" t="s">
        <v>122</v>
      </c>
      <c r="G1055" s="5">
        <v>31</v>
      </c>
      <c r="H1055" s="2" t="s">
        <v>15</v>
      </c>
      <c r="I1055" s="2" t="s">
        <v>30</v>
      </c>
      <c r="J1055" s="2" t="s">
        <v>49</v>
      </c>
      <c r="K1055" s="2" t="s">
        <v>45</v>
      </c>
    </row>
    <row r="1056" spans="1:11" x14ac:dyDescent="0.3">
      <c r="A1056" s="2" t="s">
        <v>1432</v>
      </c>
      <c r="B1056" s="2" t="s">
        <v>743</v>
      </c>
      <c r="C1056" s="3">
        <v>45670.629166666673</v>
      </c>
      <c r="D1056" s="2" t="s">
        <v>33</v>
      </c>
      <c r="E1056" s="4">
        <v>14485.09</v>
      </c>
      <c r="F1056" s="2" t="s">
        <v>14</v>
      </c>
      <c r="G1056" s="5">
        <v>38</v>
      </c>
      <c r="H1056" s="2" t="s">
        <v>29</v>
      </c>
      <c r="I1056" s="2" t="s">
        <v>95</v>
      </c>
      <c r="J1056" s="2" t="s">
        <v>17</v>
      </c>
      <c r="K1056" s="2" t="s">
        <v>18</v>
      </c>
    </row>
    <row r="1057" spans="1:11" x14ac:dyDescent="0.3">
      <c r="A1057" s="2" t="s">
        <v>1433</v>
      </c>
      <c r="B1057" s="2" t="s">
        <v>446</v>
      </c>
      <c r="C1057" s="3">
        <v>45809.581944444442</v>
      </c>
      <c r="D1057" s="2" t="s">
        <v>13</v>
      </c>
      <c r="E1057" s="4">
        <v>403.46</v>
      </c>
      <c r="F1057" s="2" t="s">
        <v>14</v>
      </c>
      <c r="G1057" s="5">
        <v>35</v>
      </c>
      <c r="H1057" s="2" t="s">
        <v>15</v>
      </c>
      <c r="I1057" s="2" t="s">
        <v>16</v>
      </c>
      <c r="J1057" s="2" t="s">
        <v>17</v>
      </c>
      <c r="K1057" s="2" t="s">
        <v>18</v>
      </c>
    </row>
    <row r="1058" spans="1:11" x14ac:dyDescent="0.3">
      <c r="A1058" s="2" t="s">
        <v>1434</v>
      </c>
      <c r="B1058" s="2" t="s">
        <v>209</v>
      </c>
      <c r="C1058" s="3">
        <v>45701.161805555559</v>
      </c>
      <c r="D1058" s="2" t="s">
        <v>33</v>
      </c>
      <c r="E1058" s="4">
        <v>4392.54</v>
      </c>
      <c r="F1058" s="2" t="s">
        <v>14</v>
      </c>
      <c r="G1058" s="5">
        <v>50</v>
      </c>
      <c r="H1058" s="2" t="s">
        <v>15</v>
      </c>
      <c r="I1058" s="2" t="s">
        <v>60</v>
      </c>
      <c r="J1058" s="2" t="s">
        <v>44</v>
      </c>
      <c r="K1058" s="2" t="s">
        <v>18</v>
      </c>
    </row>
    <row r="1059" spans="1:11" x14ac:dyDescent="0.3">
      <c r="A1059" s="2" t="s">
        <v>1435</v>
      </c>
      <c r="B1059" s="2" t="s">
        <v>291</v>
      </c>
      <c r="C1059" s="3">
        <v>45730.47152777778</v>
      </c>
      <c r="D1059" s="2" t="s">
        <v>33</v>
      </c>
      <c r="E1059" s="4">
        <v>53862.23</v>
      </c>
      <c r="F1059" s="2" t="s">
        <v>14</v>
      </c>
      <c r="G1059" s="5">
        <v>39</v>
      </c>
      <c r="H1059" s="2" t="s">
        <v>15</v>
      </c>
      <c r="I1059" s="2" t="s">
        <v>25</v>
      </c>
      <c r="J1059" s="2" t="s">
        <v>17</v>
      </c>
      <c r="K1059" s="2" t="s">
        <v>45</v>
      </c>
    </row>
    <row r="1060" spans="1:11" x14ac:dyDescent="0.3">
      <c r="A1060" s="2" t="s">
        <v>1436</v>
      </c>
      <c r="B1060" s="2" t="s">
        <v>767</v>
      </c>
      <c r="C1060" s="3">
        <v>45833.618055555547</v>
      </c>
      <c r="D1060" s="2" t="s">
        <v>28</v>
      </c>
      <c r="E1060" s="4">
        <v>40585.65</v>
      </c>
      <c r="F1060" s="2" t="s">
        <v>14</v>
      </c>
      <c r="G1060" s="5">
        <v>33</v>
      </c>
      <c r="H1060" s="2" t="s">
        <v>29</v>
      </c>
      <c r="I1060" s="2" t="s">
        <v>21</v>
      </c>
      <c r="J1060" s="2" t="s">
        <v>17</v>
      </c>
      <c r="K1060" s="2" t="s">
        <v>35</v>
      </c>
    </row>
    <row r="1061" spans="1:11" x14ac:dyDescent="0.3">
      <c r="A1061" s="2" t="s">
        <v>1437</v>
      </c>
      <c r="B1061" s="2" t="s">
        <v>816</v>
      </c>
      <c r="C1061" s="3">
        <v>45763.6875</v>
      </c>
      <c r="D1061" s="2" t="s">
        <v>13</v>
      </c>
      <c r="E1061" s="4">
        <v>2842.11</v>
      </c>
      <c r="F1061" s="2" t="s">
        <v>14</v>
      </c>
      <c r="G1061" s="5">
        <v>37</v>
      </c>
      <c r="H1061" s="2" t="s">
        <v>15</v>
      </c>
      <c r="I1061" s="2" t="s">
        <v>60</v>
      </c>
      <c r="J1061" s="2" t="s">
        <v>44</v>
      </c>
      <c r="K1061" s="2" t="s">
        <v>45</v>
      </c>
    </row>
    <row r="1062" spans="1:11" x14ac:dyDescent="0.3">
      <c r="A1062" s="2" t="s">
        <v>1438</v>
      </c>
      <c r="B1062" s="2" t="s">
        <v>84</v>
      </c>
      <c r="C1062" s="3">
        <v>45836.629166666673</v>
      </c>
      <c r="D1062" s="2" t="s">
        <v>28</v>
      </c>
      <c r="E1062" s="4">
        <v>23745.02</v>
      </c>
      <c r="F1062" s="2" t="s">
        <v>14</v>
      </c>
      <c r="G1062" s="5">
        <v>33</v>
      </c>
      <c r="H1062" s="2" t="s">
        <v>15</v>
      </c>
      <c r="I1062" s="2" t="s">
        <v>34</v>
      </c>
      <c r="J1062" s="2" t="s">
        <v>17</v>
      </c>
      <c r="K1062" s="2" t="s">
        <v>18</v>
      </c>
    </row>
    <row r="1063" spans="1:11" x14ac:dyDescent="0.3">
      <c r="A1063" s="2" t="s">
        <v>1439</v>
      </c>
      <c r="B1063" s="2" t="s">
        <v>334</v>
      </c>
      <c r="C1063" s="3">
        <v>45882.988888888889</v>
      </c>
      <c r="D1063" s="2" t="s">
        <v>28</v>
      </c>
      <c r="E1063" s="4">
        <v>47019.34</v>
      </c>
      <c r="F1063" s="2" t="s">
        <v>14</v>
      </c>
      <c r="G1063" s="5">
        <v>34</v>
      </c>
      <c r="H1063" s="2" t="s">
        <v>15</v>
      </c>
      <c r="I1063" s="2" t="s">
        <v>60</v>
      </c>
      <c r="J1063" s="2" t="s">
        <v>52</v>
      </c>
      <c r="K1063" s="2" t="s">
        <v>18</v>
      </c>
    </row>
    <row r="1064" spans="1:11" x14ac:dyDescent="0.3">
      <c r="A1064" s="2" t="s">
        <v>1440</v>
      </c>
      <c r="B1064" s="2" t="s">
        <v>690</v>
      </c>
      <c r="C1064" s="3">
        <v>45889.419444444437</v>
      </c>
      <c r="D1064" s="2" t="s">
        <v>28</v>
      </c>
      <c r="E1064" s="4">
        <v>4078.12</v>
      </c>
      <c r="F1064" s="2" t="s">
        <v>14</v>
      </c>
      <c r="G1064" s="5">
        <v>33</v>
      </c>
      <c r="H1064" s="2" t="s">
        <v>15</v>
      </c>
      <c r="I1064" s="2" t="s">
        <v>43</v>
      </c>
      <c r="J1064" s="2" t="s">
        <v>17</v>
      </c>
      <c r="K1064" s="2" t="s">
        <v>35</v>
      </c>
    </row>
    <row r="1065" spans="1:11" x14ac:dyDescent="0.3">
      <c r="A1065" s="2" t="s">
        <v>1441</v>
      </c>
      <c r="B1065" s="2" t="s">
        <v>690</v>
      </c>
      <c r="C1065" s="3">
        <v>45811.07708333333</v>
      </c>
      <c r="D1065" s="2" t="s">
        <v>28</v>
      </c>
      <c r="E1065" s="4">
        <v>2027.97</v>
      </c>
      <c r="F1065" s="2" t="s">
        <v>14</v>
      </c>
      <c r="G1065" s="5">
        <v>33</v>
      </c>
      <c r="H1065" s="2" t="s">
        <v>15</v>
      </c>
      <c r="I1065" s="2" t="s">
        <v>43</v>
      </c>
      <c r="J1065" s="2" t="s">
        <v>17</v>
      </c>
      <c r="K1065" s="2" t="s">
        <v>35</v>
      </c>
    </row>
    <row r="1066" spans="1:11" x14ac:dyDescent="0.3">
      <c r="A1066" s="2" t="s">
        <v>1442</v>
      </c>
      <c r="B1066" s="2" t="s">
        <v>494</v>
      </c>
      <c r="C1066" s="3">
        <v>46021.125694444447</v>
      </c>
      <c r="D1066" s="2" t="s">
        <v>28</v>
      </c>
      <c r="E1066" s="4">
        <v>18484.73</v>
      </c>
      <c r="F1066" s="2" t="s">
        <v>14</v>
      </c>
      <c r="G1066" s="5">
        <v>42</v>
      </c>
      <c r="H1066" s="2" t="s">
        <v>29</v>
      </c>
      <c r="I1066" s="2" t="s">
        <v>34</v>
      </c>
      <c r="J1066" s="2" t="s">
        <v>17</v>
      </c>
      <c r="K1066" s="2" t="s">
        <v>45</v>
      </c>
    </row>
    <row r="1067" spans="1:11" x14ac:dyDescent="0.3">
      <c r="A1067" s="2" t="s">
        <v>1443</v>
      </c>
      <c r="B1067" s="2" t="s">
        <v>431</v>
      </c>
      <c r="C1067" s="3">
        <v>45833.837500000001</v>
      </c>
      <c r="D1067" s="2" t="s">
        <v>28</v>
      </c>
      <c r="E1067" s="4">
        <v>10340.540000000001</v>
      </c>
      <c r="F1067" s="2" t="s">
        <v>14</v>
      </c>
      <c r="G1067" s="5">
        <v>51</v>
      </c>
      <c r="H1067" s="2" t="s">
        <v>15</v>
      </c>
      <c r="I1067" s="2" t="s">
        <v>21</v>
      </c>
      <c r="J1067" s="2" t="s">
        <v>49</v>
      </c>
      <c r="K1067" s="2" t="s">
        <v>18</v>
      </c>
    </row>
    <row r="1068" spans="1:11" x14ac:dyDescent="0.3">
      <c r="A1068" s="2" t="s">
        <v>1444</v>
      </c>
      <c r="B1068" s="2" t="s">
        <v>464</v>
      </c>
      <c r="C1068" s="3">
        <v>46004.249305555553</v>
      </c>
      <c r="D1068" s="2" t="s">
        <v>13</v>
      </c>
      <c r="E1068" s="4">
        <v>839.09</v>
      </c>
      <c r="F1068" s="2" t="s">
        <v>14</v>
      </c>
      <c r="G1068" s="5">
        <v>35</v>
      </c>
      <c r="H1068" s="2" t="s">
        <v>29</v>
      </c>
      <c r="I1068" s="2" t="s">
        <v>34</v>
      </c>
      <c r="J1068" s="2" t="s">
        <v>44</v>
      </c>
      <c r="K1068" s="2" t="s">
        <v>18</v>
      </c>
    </row>
    <row r="1069" spans="1:11" x14ac:dyDescent="0.3">
      <c r="A1069" s="2" t="s">
        <v>1445</v>
      </c>
      <c r="B1069" s="2" t="s">
        <v>165</v>
      </c>
      <c r="C1069" s="3">
        <v>45782.674305555563</v>
      </c>
      <c r="D1069" s="2" t="s">
        <v>28</v>
      </c>
      <c r="E1069" s="4">
        <v>17115.47</v>
      </c>
      <c r="F1069" s="2" t="s">
        <v>14</v>
      </c>
      <c r="G1069" s="5">
        <v>31</v>
      </c>
      <c r="H1069" s="2" t="s">
        <v>29</v>
      </c>
      <c r="I1069" s="2" t="s">
        <v>30</v>
      </c>
      <c r="J1069" s="2" t="s">
        <v>52</v>
      </c>
      <c r="K1069" s="2" t="s">
        <v>18</v>
      </c>
    </row>
    <row r="1070" spans="1:11" x14ac:dyDescent="0.3">
      <c r="A1070" s="2" t="s">
        <v>1446</v>
      </c>
      <c r="B1070" s="2" t="s">
        <v>575</v>
      </c>
      <c r="C1070" s="3">
        <v>45940.222916666673</v>
      </c>
      <c r="D1070" s="2" t="s">
        <v>28</v>
      </c>
      <c r="E1070" s="4">
        <v>24943.59</v>
      </c>
      <c r="F1070" s="2" t="s">
        <v>14</v>
      </c>
      <c r="G1070" s="5">
        <v>48</v>
      </c>
      <c r="H1070" s="2" t="s">
        <v>29</v>
      </c>
      <c r="I1070" s="2" t="s">
        <v>34</v>
      </c>
      <c r="J1070" s="2" t="s">
        <v>17</v>
      </c>
      <c r="K1070" s="2" t="s">
        <v>18</v>
      </c>
    </row>
    <row r="1071" spans="1:11" x14ac:dyDescent="0.3">
      <c r="A1071" s="2" t="s">
        <v>1447</v>
      </c>
      <c r="B1071" s="2" t="s">
        <v>366</v>
      </c>
      <c r="C1071" s="3">
        <v>45944.561805555553</v>
      </c>
      <c r="D1071" s="2" t="s">
        <v>13</v>
      </c>
      <c r="E1071" s="4">
        <v>889.85</v>
      </c>
      <c r="F1071" s="2" t="s">
        <v>14</v>
      </c>
      <c r="G1071" s="5">
        <v>28</v>
      </c>
      <c r="H1071" s="2" t="s">
        <v>15</v>
      </c>
      <c r="I1071" s="2" t="s">
        <v>34</v>
      </c>
      <c r="J1071" s="2" t="s">
        <v>49</v>
      </c>
      <c r="K1071" s="2" t="s">
        <v>35</v>
      </c>
    </row>
    <row r="1072" spans="1:11" x14ac:dyDescent="0.3">
      <c r="A1072" s="2" t="s">
        <v>1448</v>
      </c>
      <c r="B1072" s="2" t="s">
        <v>338</v>
      </c>
      <c r="C1072" s="3">
        <v>45776.527777777781</v>
      </c>
      <c r="D1072" s="2" t="s">
        <v>28</v>
      </c>
      <c r="E1072" s="4">
        <v>13999.68</v>
      </c>
      <c r="F1072" s="2" t="s">
        <v>14</v>
      </c>
      <c r="G1072" s="5">
        <v>31</v>
      </c>
      <c r="H1072" s="2" t="s">
        <v>15</v>
      </c>
      <c r="I1072" s="2" t="s">
        <v>30</v>
      </c>
      <c r="J1072" s="2" t="s">
        <v>49</v>
      </c>
      <c r="K1072" s="2" t="s">
        <v>18</v>
      </c>
    </row>
    <row r="1073" spans="1:11" x14ac:dyDescent="0.3">
      <c r="A1073" s="2" t="s">
        <v>1449</v>
      </c>
      <c r="B1073" s="2" t="s">
        <v>709</v>
      </c>
      <c r="C1073" s="3">
        <v>45752.236111111109</v>
      </c>
      <c r="D1073" s="2" t="s">
        <v>33</v>
      </c>
      <c r="E1073" s="4">
        <v>23523.83</v>
      </c>
      <c r="F1073" s="2" t="s">
        <v>14</v>
      </c>
      <c r="G1073" s="5">
        <v>44</v>
      </c>
      <c r="H1073" s="2" t="s">
        <v>15</v>
      </c>
      <c r="I1073" s="2" t="s">
        <v>34</v>
      </c>
      <c r="J1073" s="2" t="s">
        <v>44</v>
      </c>
      <c r="K1073" s="2" t="s">
        <v>22</v>
      </c>
    </row>
    <row r="1074" spans="1:11" x14ac:dyDescent="0.3">
      <c r="A1074" s="2" t="s">
        <v>1450</v>
      </c>
      <c r="B1074" s="2" t="s">
        <v>784</v>
      </c>
      <c r="C1074" s="3">
        <v>45994.559027777781</v>
      </c>
      <c r="D1074" s="2" t="s">
        <v>28</v>
      </c>
      <c r="E1074" s="4">
        <v>27152.16</v>
      </c>
      <c r="F1074" s="2" t="s">
        <v>14</v>
      </c>
      <c r="G1074" s="5">
        <v>24</v>
      </c>
      <c r="H1074" s="2" t="s">
        <v>15</v>
      </c>
      <c r="I1074" s="2" t="s">
        <v>34</v>
      </c>
      <c r="J1074" s="2" t="s">
        <v>17</v>
      </c>
      <c r="K1074" s="2" t="s">
        <v>18</v>
      </c>
    </row>
    <row r="1075" spans="1:11" x14ac:dyDescent="0.3">
      <c r="A1075" s="2" t="s">
        <v>1451</v>
      </c>
      <c r="B1075" s="2" t="s">
        <v>433</v>
      </c>
      <c r="C1075" s="3">
        <v>45672.98541666667</v>
      </c>
      <c r="D1075" s="2" t="s">
        <v>13</v>
      </c>
      <c r="E1075" s="4">
        <v>1090.04</v>
      </c>
      <c r="F1075" s="2" t="s">
        <v>14</v>
      </c>
      <c r="G1075" s="5">
        <v>25</v>
      </c>
      <c r="H1075" s="2" t="s">
        <v>15</v>
      </c>
      <c r="I1075" s="2" t="s">
        <v>34</v>
      </c>
      <c r="J1075" s="2" t="s">
        <v>49</v>
      </c>
      <c r="K1075" s="2" t="s">
        <v>35</v>
      </c>
    </row>
    <row r="1076" spans="1:11" x14ac:dyDescent="0.3">
      <c r="A1076" s="2" t="s">
        <v>1452</v>
      </c>
      <c r="B1076" s="2" t="s">
        <v>988</v>
      </c>
      <c r="C1076" s="3">
        <v>45759.609027777777</v>
      </c>
      <c r="D1076" s="2" t="s">
        <v>28</v>
      </c>
      <c r="E1076" s="4">
        <v>54104.18</v>
      </c>
      <c r="F1076" s="2" t="s">
        <v>14</v>
      </c>
      <c r="G1076" s="5">
        <v>35</v>
      </c>
      <c r="H1076" s="2" t="s">
        <v>29</v>
      </c>
      <c r="I1076" s="2" t="s">
        <v>34</v>
      </c>
      <c r="J1076" s="2" t="s">
        <v>49</v>
      </c>
      <c r="K1076" s="2" t="s">
        <v>45</v>
      </c>
    </row>
    <row r="1077" spans="1:11" x14ac:dyDescent="0.3">
      <c r="A1077" s="2" t="s">
        <v>1453</v>
      </c>
      <c r="B1077" s="2" t="s">
        <v>492</v>
      </c>
      <c r="C1077" s="3">
        <v>45877.5</v>
      </c>
      <c r="D1077" s="2" t="s">
        <v>28</v>
      </c>
      <c r="E1077" s="4">
        <v>2093.0500000000002</v>
      </c>
      <c r="F1077" s="2" t="s">
        <v>14</v>
      </c>
      <c r="G1077" s="5">
        <v>41</v>
      </c>
      <c r="H1077" s="2" t="s">
        <v>29</v>
      </c>
      <c r="I1077" s="2" t="s">
        <v>48</v>
      </c>
      <c r="J1077" s="2" t="s">
        <v>17</v>
      </c>
      <c r="K1077" s="2" t="s">
        <v>45</v>
      </c>
    </row>
    <row r="1078" spans="1:11" x14ac:dyDescent="0.3">
      <c r="A1078" s="2" t="s">
        <v>1454</v>
      </c>
      <c r="B1078" s="2" t="s">
        <v>158</v>
      </c>
      <c r="C1078" s="3">
        <v>46018.259027777778</v>
      </c>
      <c r="D1078" s="2" t="s">
        <v>13</v>
      </c>
      <c r="E1078" s="4">
        <v>249.63</v>
      </c>
      <c r="F1078" s="2" t="s">
        <v>14</v>
      </c>
      <c r="G1078" s="5">
        <v>30</v>
      </c>
      <c r="H1078" s="2" t="s">
        <v>29</v>
      </c>
      <c r="I1078" s="2" t="s">
        <v>34</v>
      </c>
      <c r="J1078" s="2" t="s">
        <v>44</v>
      </c>
      <c r="K1078" s="2" t="s">
        <v>45</v>
      </c>
    </row>
    <row r="1079" spans="1:11" x14ac:dyDescent="0.3">
      <c r="A1079" s="2" t="s">
        <v>1455</v>
      </c>
      <c r="B1079" s="2" t="s">
        <v>452</v>
      </c>
      <c r="C1079" s="3">
        <v>45800.95208333333</v>
      </c>
      <c r="D1079" s="2" t="s">
        <v>28</v>
      </c>
      <c r="E1079" s="4">
        <v>56617.440000000002</v>
      </c>
      <c r="F1079" s="2" t="s">
        <v>14</v>
      </c>
      <c r="G1079" s="5">
        <v>47</v>
      </c>
      <c r="H1079" s="2" t="s">
        <v>15</v>
      </c>
      <c r="I1079" s="2" t="s">
        <v>34</v>
      </c>
      <c r="J1079" s="2" t="s">
        <v>17</v>
      </c>
      <c r="K1079" s="2" t="s">
        <v>35</v>
      </c>
    </row>
    <row r="1080" spans="1:11" x14ac:dyDescent="0.3">
      <c r="A1080" s="2" t="s">
        <v>1456</v>
      </c>
      <c r="B1080" s="2" t="s">
        <v>1457</v>
      </c>
      <c r="C1080" s="3">
        <v>45690.754166666673</v>
      </c>
      <c r="D1080" s="2" t="s">
        <v>13</v>
      </c>
      <c r="E1080" s="4">
        <v>392.48</v>
      </c>
      <c r="F1080" s="2" t="s">
        <v>57</v>
      </c>
      <c r="G1080" s="5">
        <v>37</v>
      </c>
      <c r="H1080" s="2" t="s">
        <v>15</v>
      </c>
      <c r="I1080" s="2" t="s">
        <v>43</v>
      </c>
      <c r="J1080" s="2" t="s">
        <v>17</v>
      </c>
      <c r="K1080" s="2" t="s">
        <v>35</v>
      </c>
    </row>
    <row r="1081" spans="1:11" x14ac:dyDescent="0.3">
      <c r="A1081" s="2" t="s">
        <v>1458</v>
      </c>
      <c r="B1081" s="2" t="s">
        <v>238</v>
      </c>
      <c r="C1081" s="3">
        <v>45932.224305555559</v>
      </c>
      <c r="D1081" s="2" t="s">
        <v>13</v>
      </c>
      <c r="E1081" s="4">
        <v>779.83</v>
      </c>
      <c r="F1081" s="2" t="s">
        <v>14</v>
      </c>
      <c r="G1081" s="5">
        <v>25</v>
      </c>
      <c r="H1081" s="2" t="s">
        <v>15</v>
      </c>
      <c r="I1081" s="2" t="s">
        <v>34</v>
      </c>
      <c r="J1081" s="2" t="s">
        <v>52</v>
      </c>
      <c r="K1081" s="2" t="s">
        <v>35</v>
      </c>
    </row>
    <row r="1082" spans="1:11" x14ac:dyDescent="0.3">
      <c r="A1082" s="2" t="s">
        <v>1459</v>
      </c>
      <c r="B1082" s="2" t="s">
        <v>117</v>
      </c>
      <c r="C1082" s="3">
        <v>45824.270138888889</v>
      </c>
      <c r="D1082" s="2" t="s">
        <v>13</v>
      </c>
      <c r="E1082" s="4">
        <v>228.6</v>
      </c>
      <c r="F1082" s="2" t="s">
        <v>14</v>
      </c>
      <c r="G1082" s="5">
        <v>47</v>
      </c>
      <c r="H1082" s="2" t="s">
        <v>29</v>
      </c>
      <c r="I1082" s="2" t="s">
        <v>34</v>
      </c>
      <c r="J1082" s="2" t="s">
        <v>17</v>
      </c>
      <c r="K1082" s="2" t="s">
        <v>45</v>
      </c>
    </row>
    <row r="1083" spans="1:11" x14ac:dyDescent="0.3">
      <c r="A1083" s="2" t="s">
        <v>1460</v>
      </c>
      <c r="B1083" s="2" t="s">
        <v>575</v>
      </c>
      <c r="C1083" s="3">
        <v>45716.362500000003</v>
      </c>
      <c r="D1083" s="2" t="s">
        <v>33</v>
      </c>
      <c r="E1083" s="4">
        <v>541.15</v>
      </c>
      <c r="F1083" s="2" t="s">
        <v>14</v>
      </c>
      <c r="G1083" s="5">
        <v>48</v>
      </c>
      <c r="H1083" s="2" t="s">
        <v>29</v>
      </c>
      <c r="I1083" s="2" t="s">
        <v>34</v>
      </c>
      <c r="J1083" s="2" t="s">
        <v>17</v>
      </c>
      <c r="K1083" s="2" t="s">
        <v>35</v>
      </c>
    </row>
    <row r="1084" spans="1:11" x14ac:dyDescent="0.3">
      <c r="A1084" s="2" t="s">
        <v>1461</v>
      </c>
      <c r="B1084" s="2" t="s">
        <v>238</v>
      </c>
      <c r="C1084" s="3">
        <v>45908.694444444453</v>
      </c>
      <c r="D1084" s="2" t="s">
        <v>13</v>
      </c>
      <c r="E1084" s="4">
        <v>4168.8900000000003</v>
      </c>
      <c r="F1084" s="2" t="s">
        <v>14</v>
      </c>
      <c r="G1084" s="5">
        <v>25</v>
      </c>
      <c r="H1084" s="2" t="s">
        <v>15</v>
      </c>
      <c r="I1084" s="2" t="s">
        <v>34</v>
      </c>
      <c r="J1084" s="2" t="s">
        <v>52</v>
      </c>
      <c r="K1084" s="2" t="s">
        <v>45</v>
      </c>
    </row>
    <row r="1085" spans="1:11" x14ac:dyDescent="0.3">
      <c r="A1085" s="2" t="s">
        <v>1462</v>
      </c>
      <c r="B1085" s="2" t="s">
        <v>150</v>
      </c>
      <c r="C1085" s="3">
        <v>45818.808333333327</v>
      </c>
      <c r="D1085" s="2" t="s">
        <v>13</v>
      </c>
      <c r="E1085" s="4">
        <v>2507.8200000000002</v>
      </c>
      <c r="F1085" s="2" t="s">
        <v>14</v>
      </c>
      <c r="G1085" s="5">
        <v>52</v>
      </c>
      <c r="H1085" s="2" t="s">
        <v>15</v>
      </c>
      <c r="I1085" s="2" t="s">
        <v>34</v>
      </c>
      <c r="J1085" s="2" t="s">
        <v>17</v>
      </c>
      <c r="K1085" s="2" t="s">
        <v>45</v>
      </c>
    </row>
    <row r="1086" spans="1:11" x14ac:dyDescent="0.3">
      <c r="A1086" s="2" t="s">
        <v>1463</v>
      </c>
      <c r="B1086" s="2" t="s">
        <v>24</v>
      </c>
      <c r="C1086" s="3">
        <v>45970.525694444441</v>
      </c>
      <c r="D1086" s="2" t="s">
        <v>13</v>
      </c>
      <c r="E1086" s="4">
        <v>1152.77</v>
      </c>
      <c r="F1086" s="2" t="s">
        <v>14</v>
      </c>
      <c r="G1086" s="5">
        <v>35</v>
      </c>
      <c r="H1086" s="2" t="s">
        <v>15</v>
      </c>
      <c r="I1086" s="2" t="s">
        <v>25</v>
      </c>
      <c r="J1086" s="2" t="s">
        <v>17</v>
      </c>
      <c r="K1086" s="2" t="s">
        <v>22</v>
      </c>
    </row>
    <row r="1087" spans="1:11" x14ac:dyDescent="0.3">
      <c r="A1087" s="2" t="s">
        <v>1464</v>
      </c>
      <c r="B1087" s="2" t="s">
        <v>489</v>
      </c>
      <c r="C1087" s="3">
        <v>45716.473611111112</v>
      </c>
      <c r="D1087" s="2" t="s">
        <v>28</v>
      </c>
      <c r="E1087" s="4">
        <v>7401.21</v>
      </c>
      <c r="F1087" s="2" t="s">
        <v>122</v>
      </c>
      <c r="G1087" s="5">
        <v>28</v>
      </c>
      <c r="H1087" s="2" t="s">
        <v>15</v>
      </c>
      <c r="I1087" s="2" t="s">
        <v>30</v>
      </c>
      <c r="J1087" s="2" t="s">
        <v>17</v>
      </c>
      <c r="K1087" s="2" t="s">
        <v>18</v>
      </c>
    </row>
    <row r="1088" spans="1:11" x14ac:dyDescent="0.3">
      <c r="A1088" s="2" t="s">
        <v>1465</v>
      </c>
      <c r="B1088" s="2" t="s">
        <v>377</v>
      </c>
      <c r="C1088" s="3">
        <v>45892.799305555563</v>
      </c>
      <c r="D1088" s="2" t="s">
        <v>33</v>
      </c>
      <c r="E1088" s="4">
        <v>1686.59</v>
      </c>
      <c r="F1088" s="2" t="s">
        <v>14</v>
      </c>
      <c r="G1088" s="5">
        <v>39</v>
      </c>
      <c r="H1088" s="2" t="s">
        <v>15</v>
      </c>
      <c r="I1088" s="2" t="s">
        <v>43</v>
      </c>
      <c r="J1088" s="2" t="s">
        <v>17</v>
      </c>
      <c r="K1088" s="2" t="s">
        <v>18</v>
      </c>
    </row>
    <row r="1089" spans="1:11" x14ac:dyDescent="0.3">
      <c r="A1089" s="2" t="s">
        <v>1466</v>
      </c>
      <c r="B1089" s="2" t="s">
        <v>567</v>
      </c>
      <c r="C1089" s="3">
        <v>46002.95208333333</v>
      </c>
      <c r="D1089" s="2" t="s">
        <v>33</v>
      </c>
      <c r="E1089" s="4">
        <v>43181.120000000003</v>
      </c>
      <c r="F1089" s="2" t="s">
        <v>14</v>
      </c>
      <c r="G1089" s="5">
        <v>39</v>
      </c>
      <c r="H1089" s="2" t="s">
        <v>15</v>
      </c>
      <c r="I1089" s="2" t="s">
        <v>48</v>
      </c>
      <c r="J1089" s="2" t="s">
        <v>17</v>
      </c>
      <c r="K1089" s="2" t="s">
        <v>22</v>
      </c>
    </row>
    <row r="1090" spans="1:11" x14ac:dyDescent="0.3">
      <c r="A1090" s="2" t="s">
        <v>1467</v>
      </c>
      <c r="B1090" s="2" t="s">
        <v>521</v>
      </c>
      <c r="C1090" s="3">
        <v>45810.817361111112</v>
      </c>
      <c r="D1090" s="2" t="s">
        <v>38</v>
      </c>
      <c r="E1090" s="4">
        <v>25084.42</v>
      </c>
      <c r="F1090" s="2" t="s">
        <v>122</v>
      </c>
      <c r="G1090" s="5">
        <v>30</v>
      </c>
      <c r="H1090" s="2" t="s">
        <v>29</v>
      </c>
      <c r="I1090" s="2" t="s">
        <v>60</v>
      </c>
      <c r="J1090" s="2" t="s">
        <v>44</v>
      </c>
      <c r="K1090" s="2" t="s">
        <v>45</v>
      </c>
    </row>
    <row r="1091" spans="1:11" x14ac:dyDescent="0.3">
      <c r="A1091" s="2" t="s">
        <v>1468</v>
      </c>
      <c r="B1091" s="2" t="s">
        <v>254</v>
      </c>
      <c r="C1091" s="3">
        <v>45701.880555555559</v>
      </c>
      <c r="D1091" s="2" t="s">
        <v>13</v>
      </c>
      <c r="E1091" s="4">
        <v>381.97</v>
      </c>
      <c r="F1091" s="2" t="s">
        <v>14</v>
      </c>
      <c r="G1091" s="5">
        <v>36</v>
      </c>
      <c r="H1091" s="2" t="s">
        <v>29</v>
      </c>
      <c r="I1091" s="2" t="s">
        <v>34</v>
      </c>
      <c r="J1091" s="2" t="s">
        <v>17</v>
      </c>
      <c r="K1091" s="2" t="s">
        <v>18</v>
      </c>
    </row>
    <row r="1092" spans="1:11" x14ac:dyDescent="0.3">
      <c r="A1092" s="2" t="s">
        <v>1469</v>
      </c>
      <c r="B1092" s="2" t="s">
        <v>767</v>
      </c>
      <c r="C1092" s="3">
        <v>45818.135416666657</v>
      </c>
      <c r="D1092" s="2" t="s">
        <v>154</v>
      </c>
      <c r="E1092" s="4">
        <v>20000</v>
      </c>
      <c r="F1092" s="2" t="s">
        <v>14</v>
      </c>
      <c r="G1092" s="5">
        <v>33</v>
      </c>
      <c r="H1092" s="2" t="s">
        <v>29</v>
      </c>
      <c r="I1092" s="2" t="s">
        <v>21</v>
      </c>
      <c r="J1092" s="2" t="s">
        <v>17</v>
      </c>
      <c r="K1092" s="2" t="s">
        <v>45</v>
      </c>
    </row>
    <row r="1093" spans="1:11" x14ac:dyDescent="0.3">
      <c r="A1093" s="2" t="s">
        <v>1470</v>
      </c>
      <c r="B1093" s="2" t="s">
        <v>148</v>
      </c>
      <c r="C1093" s="3">
        <v>45814.132638888892</v>
      </c>
      <c r="D1093" s="2" t="s">
        <v>38</v>
      </c>
      <c r="E1093" s="4">
        <v>10403.530000000001</v>
      </c>
      <c r="F1093" s="2" t="s">
        <v>14</v>
      </c>
      <c r="G1093" s="5">
        <v>56</v>
      </c>
      <c r="H1093" s="2" t="s">
        <v>29</v>
      </c>
      <c r="I1093" s="2" t="s">
        <v>43</v>
      </c>
      <c r="J1093" s="2" t="s">
        <v>17</v>
      </c>
      <c r="K1093" s="2" t="s">
        <v>18</v>
      </c>
    </row>
    <row r="1094" spans="1:11" x14ac:dyDescent="0.3">
      <c r="A1094" s="2" t="s">
        <v>1471</v>
      </c>
      <c r="B1094" s="2" t="s">
        <v>607</v>
      </c>
      <c r="C1094" s="3">
        <v>45849.92291666667</v>
      </c>
      <c r="D1094" s="2" t="s">
        <v>28</v>
      </c>
      <c r="E1094" s="4">
        <v>28874.45</v>
      </c>
      <c r="F1094" s="2" t="s">
        <v>14</v>
      </c>
      <c r="G1094" s="5">
        <v>20</v>
      </c>
      <c r="H1094" s="2" t="s">
        <v>29</v>
      </c>
      <c r="I1094" s="2" t="s">
        <v>34</v>
      </c>
      <c r="J1094" s="2" t="s">
        <v>52</v>
      </c>
      <c r="K1094" s="2" t="s">
        <v>35</v>
      </c>
    </row>
    <row r="1095" spans="1:11" x14ac:dyDescent="0.3">
      <c r="A1095" s="2" t="s">
        <v>1472</v>
      </c>
      <c r="B1095" s="2" t="s">
        <v>201</v>
      </c>
      <c r="C1095" s="3">
        <v>45919.518055555563</v>
      </c>
      <c r="D1095" s="2" t="s">
        <v>154</v>
      </c>
      <c r="E1095" s="4">
        <v>5000</v>
      </c>
      <c r="F1095" s="2" t="s">
        <v>14</v>
      </c>
      <c r="G1095" s="5">
        <v>38</v>
      </c>
      <c r="H1095" s="2" t="s">
        <v>29</v>
      </c>
      <c r="I1095" s="2" t="s">
        <v>34</v>
      </c>
      <c r="J1095" s="2" t="s">
        <v>44</v>
      </c>
      <c r="K1095" s="2" t="s">
        <v>35</v>
      </c>
    </row>
    <row r="1096" spans="1:11" x14ac:dyDescent="0.3">
      <c r="A1096" s="2" t="s">
        <v>1473</v>
      </c>
      <c r="B1096" s="2" t="s">
        <v>117</v>
      </c>
      <c r="C1096" s="3">
        <v>45963.191666666673</v>
      </c>
      <c r="D1096" s="2" t="s">
        <v>38</v>
      </c>
      <c r="E1096" s="4">
        <v>7877.09</v>
      </c>
      <c r="F1096" s="2" t="s">
        <v>57</v>
      </c>
      <c r="G1096" s="5">
        <v>47</v>
      </c>
      <c r="H1096" s="2" t="s">
        <v>29</v>
      </c>
      <c r="I1096" s="2" t="s">
        <v>34</v>
      </c>
      <c r="J1096" s="2" t="s">
        <v>17</v>
      </c>
      <c r="K1096" s="2" t="s">
        <v>18</v>
      </c>
    </row>
    <row r="1097" spans="1:11" x14ac:dyDescent="0.3">
      <c r="A1097" s="2" t="s">
        <v>1474</v>
      </c>
      <c r="B1097" s="2" t="s">
        <v>313</v>
      </c>
      <c r="C1097" s="3">
        <v>45854.549305555563</v>
      </c>
      <c r="D1097" s="2" t="s">
        <v>38</v>
      </c>
      <c r="E1097" s="4">
        <v>6505.88</v>
      </c>
      <c r="F1097" s="2" t="s">
        <v>14</v>
      </c>
      <c r="G1097" s="5">
        <v>24</v>
      </c>
      <c r="H1097" s="2" t="s">
        <v>15</v>
      </c>
      <c r="I1097" s="2" t="s">
        <v>48</v>
      </c>
      <c r="J1097" s="2" t="s">
        <v>17</v>
      </c>
      <c r="K1097" s="2" t="s">
        <v>18</v>
      </c>
    </row>
    <row r="1098" spans="1:11" x14ac:dyDescent="0.3">
      <c r="A1098" s="2" t="s">
        <v>1475</v>
      </c>
      <c r="B1098" s="2" t="s">
        <v>362</v>
      </c>
      <c r="C1098" s="3">
        <v>45907.856944444437</v>
      </c>
      <c r="D1098" s="2" t="s">
        <v>28</v>
      </c>
      <c r="E1098" s="4">
        <v>5803.04</v>
      </c>
      <c r="F1098" s="2" t="s">
        <v>57</v>
      </c>
      <c r="G1098" s="5">
        <v>25</v>
      </c>
      <c r="H1098" s="2" t="s">
        <v>29</v>
      </c>
      <c r="I1098" s="2" t="s">
        <v>34</v>
      </c>
      <c r="J1098" s="2" t="s">
        <v>44</v>
      </c>
      <c r="K1098" s="2" t="s">
        <v>18</v>
      </c>
    </row>
    <row r="1099" spans="1:11" x14ac:dyDescent="0.3">
      <c r="A1099" s="2" t="s">
        <v>1476</v>
      </c>
      <c r="B1099" s="2" t="s">
        <v>84</v>
      </c>
      <c r="C1099" s="3">
        <v>46013.874305555553</v>
      </c>
      <c r="D1099" s="2" t="s">
        <v>28</v>
      </c>
      <c r="E1099" s="4">
        <v>10165.950000000001</v>
      </c>
      <c r="F1099" s="2" t="s">
        <v>14</v>
      </c>
      <c r="G1099" s="5">
        <v>33</v>
      </c>
      <c r="H1099" s="2" t="s">
        <v>15</v>
      </c>
      <c r="I1099" s="2" t="s">
        <v>34</v>
      </c>
      <c r="J1099" s="2" t="s">
        <v>17</v>
      </c>
      <c r="K1099" s="2" t="s">
        <v>18</v>
      </c>
    </row>
    <row r="1100" spans="1:11" x14ac:dyDescent="0.3">
      <c r="A1100" s="2" t="s">
        <v>1477</v>
      </c>
      <c r="B1100" s="2" t="s">
        <v>1478</v>
      </c>
      <c r="C1100" s="3">
        <v>45746.715277777781</v>
      </c>
      <c r="D1100" s="2" t="s">
        <v>154</v>
      </c>
      <c r="E1100" s="4">
        <v>10000</v>
      </c>
      <c r="F1100" s="2" t="s">
        <v>14</v>
      </c>
      <c r="G1100" s="5">
        <v>28</v>
      </c>
      <c r="H1100" s="2" t="s">
        <v>15</v>
      </c>
      <c r="I1100" s="2" t="s">
        <v>48</v>
      </c>
      <c r="J1100" s="2" t="s">
        <v>17</v>
      </c>
      <c r="K1100" s="2" t="s">
        <v>45</v>
      </c>
    </row>
    <row r="1101" spans="1:11" x14ac:dyDescent="0.3">
      <c r="A1101" s="2" t="s">
        <v>1479</v>
      </c>
      <c r="B1101" s="2" t="s">
        <v>1304</v>
      </c>
      <c r="C1101" s="3">
        <v>45908.380555555559</v>
      </c>
      <c r="D1101" s="2" t="s">
        <v>13</v>
      </c>
      <c r="E1101" s="4">
        <v>1402.77</v>
      </c>
      <c r="F1101" s="2" t="s">
        <v>14</v>
      </c>
      <c r="G1101" s="5">
        <v>42</v>
      </c>
      <c r="H1101" s="2" t="s">
        <v>15</v>
      </c>
      <c r="I1101" s="2" t="s">
        <v>34</v>
      </c>
      <c r="J1101" s="2" t="s">
        <v>52</v>
      </c>
      <c r="K1101" s="2" t="s">
        <v>45</v>
      </c>
    </row>
    <row r="1102" spans="1:11" x14ac:dyDescent="0.3">
      <c r="A1102" s="2" t="s">
        <v>1480</v>
      </c>
      <c r="B1102" s="2" t="s">
        <v>513</v>
      </c>
      <c r="C1102" s="3">
        <v>45753.453472222223</v>
      </c>
      <c r="D1102" s="2" t="s">
        <v>33</v>
      </c>
      <c r="E1102" s="4">
        <v>3499.69</v>
      </c>
      <c r="F1102" s="2" t="s">
        <v>14</v>
      </c>
      <c r="G1102" s="5">
        <v>42</v>
      </c>
      <c r="H1102" s="2" t="s">
        <v>29</v>
      </c>
      <c r="I1102" s="2" t="s">
        <v>95</v>
      </c>
      <c r="J1102" s="2" t="s">
        <v>44</v>
      </c>
      <c r="K1102" s="2" t="s">
        <v>18</v>
      </c>
    </row>
    <row r="1103" spans="1:11" x14ac:dyDescent="0.3">
      <c r="A1103" s="2" t="s">
        <v>1481</v>
      </c>
      <c r="B1103" s="2" t="s">
        <v>468</v>
      </c>
      <c r="C1103" s="3">
        <v>45888.793749999997</v>
      </c>
      <c r="D1103" s="2" t="s">
        <v>33</v>
      </c>
      <c r="E1103" s="4">
        <v>2555.48</v>
      </c>
      <c r="F1103" s="2" t="s">
        <v>14</v>
      </c>
      <c r="G1103" s="5">
        <v>50</v>
      </c>
      <c r="H1103" s="2" t="s">
        <v>29</v>
      </c>
      <c r="I1103" s="2" t="s">
        <v>25</v>
      </c>
      <c r="J1103" s="2" t="s">
        <v>17</v>
      </c>
      <c r="K1103" s="2" t="s">
        <v>45</v>
      </c>
    </row>
    <row r="1104" spans="1:11" x14ac:dyDescent="0.3">
      <c r="A1104" s="2" t="s">
        <v>1482</v>
      </c>
      <c r="B1104" s="2" t="s">
        <v>629</v>
      </c>
      <c r="C1104" s="3">
        <v>45841.021527777782</v>
      </c>
      <c r="D1104" s="2" t="s">
        <v>28</v>
      </c>
      <c r="E1104" s="4">
        <v>33283.03</v>
      </c>
      <c r="F1104" s="2" t="s">
        <v>14</v>
      </c>
      <c r="G1104" s="5">
        <v>22</v>
      </c>
      <c r="H1104" s="2" t="s">
        <v>15</v>
      </c>
      <c r="I1104" s="2" t="s">
        <v>21</v>
      </c>
      <c r="J1104" s="2" t="s">
        <v>49</v>
      </c>
      <c r="K1104" s="2" t="s">
        <v>18</v>
      </c>
    </row>
    <row r="1105" spans="1:11" x14ac:dyDescent="0.3">
      <c r="A1105" s="2" t="s">
        <v>1483</v>
      </c>
      <c r="B1105" s="2" t="s">
        <v>449</v>
      </c>
      <c r="C1105" s="3">
        <v>45727.286111111112</v>
      </c>
      <c r="D1105" s="2" t="s">
        <v>28</v>
      </c>
      <c r="E1105" s="4">
        <v>20901.509999999998</v>
      </c>
      <c r="F1105" s="2" t="s">
        <v>14</v>
      </c>
      <c r="G1105" s="5">
        <v>44</v>
      </c>
      <c r="H1105" s="2" t="s">
        <v>29</v>
      </c>
      <c r="I1105" s="2" t="s">
        <v>34</v>
      </c>
      <c r="J1105" s="2" t="s">
        <v>52</v>
      </c>
      <c r="K1105" s="2" t="s">
        <v>18</v>
      </c>
    </row>
    <row r="1106" spans="1:11" x14ac:dyDescent="0.3">
      <c r="A1106" s="2" t="s">
        <v>1484</v>
      </c>
      <c r="B1106" s="2" t="s">
        <v>980</v>
      </c>
      <c r="C1106" s="3">
        <v>45854.730555555558</v>
      </c>
      <c r="D1106" s="2" t="s">
        <v>13</v>
      </c>
      <c r="E1106" s="4">
        <v>1028.54</v>
      </c>
      <c r="F1106" s="2" t="s">
        <v>14</v>
      </c>
      <c r="G1106" s="5">
        <v>43</v>
      </c>
      <c r="H1106" s="2" t="s">
        <v>15</v>
      </c>
      <c r="I1106" s="2" t="s">
        <v>78</v>
      </c>
      <c r="J1106" s="2" t="s">
        <v>17</v>
      </c>
      <c r="K1106" s="2" t="s">
        <v>18</v>
      </c>
    </row>
    <row r="1107" spans="1:11" x14ac:dyDescent="0.3">
      <c r="A1107" s="2" t="s">
        <v>1485</v>
      </c>
      <c r="B1107" s="2" t="s">
        <v>1401</v>
      </c>
      <c r="C1107" s="3">
        <v>45992.643055555563</v>
      </c>
      <c r="D1107" s="2" t="s">
        <v>28</v>
      </c>
      <c r="E1107" s="4">
        <v>1278.1500000000001</v>
      </c>
      <c r="F1107" s="2" t="s">
        <v>14</v>
      </c>
      <c r="G1107" s="5">
        <v>60</v>
      </c>
      <c r="H1107" s="2" t="s">
        <v>29</v>
      </c>
      <c r="I1107" s="2" t="s">
        <v>95</v>
      </c>
      <c r="J1107" s="2" t="s">
        <v>17</v>
      </c>
      <c r="K1107" s="2" t="s">
        <v>45</v>
      </c>
    </row>
    <row r="1108" spans="1:11" x14ac:dyDescent="0.3">
      <c r="A1108" s="2" t="s">
        <v>1486</v>
      </c>
      <c r="B1108" s="2" t="s">
        <v>977</v>
      </c>
      <c r="C1108" s="3">
        <v>46008.643055555563</v>
      </c>
      <c r="D1108" s="2" t="s">
        <v>28</v>
      </c>
      <c r="E1108" s="4">
        <v>12068.59</v>
      </c>
      <c r="F1108" s="2" t="s">
        <v>14</v>
      </c>
      <c r="G1108" s="5">
        <v>38</v>
      </c>
      <c r="H1108" s="2" t="s">
        <v>29</v>
      </c>
      <c r="I1108" s="2" t="s">
        <v>21</v>
      </c>
      <c r="J1108" s="2" t="s">
        <v>17</v>
      </c>
      <c r="K1108" s="2" t="s">
        <v>18</v>
      </c>
    </row>
    <row r="1109" spans="1:11" x14ac:dyDescent="0.3">
      <c r="A1109" s="2" t="s">
        <v>1487</v>
      </c>
      <c r="B1109" s="2" t="s">
        <v>258</v>
      </c>
      <c r="C1109" s="3">
        <v>46021.604861111111</v>
      </c>
      <c r="D1109" s="2" t="s">
        <v>38</v>
      </c>
      <c r="E1109" s="4">
        <v>30403.5</v>
      </c>
      <c r="F1109" s="2" t="s">
        <v>14</v>
      </c>
      <c r="G1109" s="5">
        <v>58</v>
      </c>
      <c r="H1109" s="2" t="s">
        <v>29</v>
      </c>
      <c r="I1109" s="2" t="s">
        <v>30</v>
      </c>
      <c r="J1109" s="2" t="s">
        <v>49</v>
      </c>
      <c r="K1109" s="2" t="s">
        <v>45</v>
      </c>
    </row>
    <row r="1110" spans="1:11" x14ac:dyDescent="0.3">
      <c r="A1110" s="2" t="s">
        <v>1488</v>
      </c>
      <c r="B1110" s="2" t="s">
        <v>1424</v>
      </c>
      <c r="C1110" s="3">
        <v>45743.10833333333</v>
      </c>
      <c r="D1110" s="2" t="s">
        <v>13</v>
      </c>
      <c r="E1110" s="4">
        <v>1084.24</v>
      </c>
      <c r="F1110" s="2" t="s">
        <v>14</v>
      </c>
      <c r="G1110" s="5">
        <v>37</v>
      </c>
      <c r="H1110" s="2" t="s">
        <v>29</v>
      </c>
      <c r="I1110" s="2" t="s">
        <v>95</v>
      </c>
      <c r="J1110" s="2" t="s">
        <v>49</v>
      </c>
      <c r="K1110" s="2" t="s">
        <v>45</v>
      </c>
    </row>
    <row r="1111" spans="1:11" x14ac:dyDescent="0.3">
      <c r="A1111" s="2" t="s">
        <v>1489</v>
      </c>
      <c r="B1111" s="2" t="s">
        <v>631</v>
      </c>
      <c r="C1111" s="3">
        <v>45673.304166666669</v>
      </c>
      <c r="D1111" s="2" t="s">
        <v>13</v>
      </c>
      <c r="E1111" s="4">
        <v>419.09</v>
      </c>
      <c r="F1111" s="2" t="s">
        <v>14</v>
      </c>
      <c r="G1111" s="5">
        <v>27</v>
      </c>
      <c r="H1111" s="2" t="s">
        <v>29</v>
      </c>
      <c r="I1111" s="2" t="s">
        <v>34</v>
      </c>
      <c r="J1111" s="2" t="s">
        <v>17</v>
      </c>
      <c r="K1111" s="2" t="s">
        <v>18</v>
      </c>
    </row>
    <row r="1112" spans="1:11" x14ac:dyDescent="0.3">
      <c r="A1112" s="2" t="s">
        <v>1490</v>
      </c>
      <c r="B1112" s="2" t="s">
        <v>105</v>
      </c>
      <c r="C1112" s="3">
        <v>45674.343055555553</v>
      </c>
      <c r="D1112" s="2" t="s">
        <v>33</v>
      </c>
      <c r="E1112" s="4">
        <v>693.89</v>
      </c>
      <c r="F1112" s="2" t="s">
        <v>57</v>
      </c>
      <c r="G1112" s="5">
        <v>42</v>
      </c>
      <c r="H1112" s="2" t="s">
        <v>15</v>
      </c>
      <c r="I1112" s="2" t="s">
        <v>34</v>
      </c>
      <c r="J1112" s="2" t="s">
        <v>49</v>
      </c>
      <c r="K1112" s="2" t="s">
        <v>45</v>
      </c>
    </row>
    <row r="1113" spans="1:11" x14ac:dyDescent="0.3">
      <c r="A1113" s="2" t="s">
        <v>1491</v>
      </c>
      <c r="B1113" s="2" t="s">
        <v>176</v>
      </c>
      <c r="C1113" s="3">
        <v>45933.381944444453</v>
      </c>
      <c r="D1113" s="2" t="s">
        <v>28</v>
      </c>
      <c r="E1113" s="4">
        <v>24755.09</v>
      </c>
      <c r="F1113" s="2" t="s">
        <v>14</v>
      </c>
      <c r="G1113" s="5">
        <v>32</v>
      </c>
      <c r="H1113" s="2" t="s">
        <v>15</v>
      </c>
      <c r="I1113" s="2" t="s">
        <v>34</v>
      </c>
      <c r="J1113" s="2" t="s">
        <v>49</v>
      </c>
      <c r="K1113" s="2" t="s">
        <v>45</v>
      </c>
    </row>
    <row r="1114" spans="1:11" x14ac:dyDescent="0.3">
      <c r="A1114" s="2" t="s">
        <v>1492</v>
      </c>
      <c r="B1114" s="2" t="s">
        <v>1175</v>
      </c>
      <c r="C1114" s="3">
        <v>45892.782638888893</v>
      </c>
      <c r="D1114" s="2" t="s">
        <v>28</v>
      </c>
      <c r="E1114" s="4">
        <v>12435.6</v>
      </c>
      <c r="F1114" s="2" t="s">
        <v>14</v>
      </c>
      <c r="G1114" s="5">
        <v>22</v>
      </c>
      <c r="H1114" s="2" t="s">
        <v>15</v>
      </c>
      <c r="I1114" s="2" t="s">
        <v>43</v>
      </c>
      <c r="J1114" s="2" t="s">
        <v>17</v>
      </c>
      <c r="K1114" s="2" t="s">
        <v>18</v>
      </c>
    </row>
    <row r="1115" spans="1:11" x14ac:dyDescent="0.3">
      <c r="A1115" s="2" t="s">
        <v>1493</v>
      </c>
      <c r="B1115" s="2" t="s">
        <v>939</v>
      </c>
      <c r="C1115" s="3">
        <v>45911.730555555558</v>
      </c>
      <c r="D1115" s="2" t="s">
        <v>13</v>
      </c>
      <c r="E1115" s="4">
        <v>1251.72</v>
      </c>
      <c r="F1115" s="2" t="s">
        <v>14</v>
      </c>
      <c r="G1115" s="5">
        <v>29</v>
      </c>
      <c r="H1115" s="2" t="s">
        <v>15</v>
      </c>
      <c r="I1115" s="2" t="s">
        <v>21</v>
      </c>
      <c r="J1115" s="2" t="s">
        <v>17</v>
      </c>
      <c r="K1115" s="2" t="s">
        <v>18</v>
      </c>
    </row>
    <row r="1116" spans="1:11" x14ac:dyDescent="0.3">
      <c r="A1116" s="2" t="s">
        <v>1494</v>
      </c>
      <c r="B1116" s="2" t="s">
        <v>362</v>
      </c>
      <c r="C1116" s="3">
        <v>45715.754861111112</v>
      </c>
      <c r="D1116" s="2" t="s">
        <v>28</v>
      </c>
      <c r="E1116" s="4">
        <v>40543.550000000003</v>
      </c>
      <c r="F1116" s="2" t="s">
        <v>14</v>
      </c>
      <c r="G1116" s="5">
        <v>25</v>
      </c>
      <c r="H1116" s="2" t="s">
        <v>29</v>
      </c>
      <c r="I1116" s="2" t="s">
        <v>34</v>
      </c>
      <c r="J1116" s="2" t="s">
        <v>44</v>
      </c>
      <c r="K1116" s="2" t="s">
        <v>18</v>
      </c>
    </row>
    <row r="1117" spans="1:11" x14ac:dyDescent="0.3">
      <c r="A1117" s="2" t="s">
        <v>1495</v>
      </c>
      <c r="B1117" s="2" t="s">
        <v>1349</v>
      </c>
      <c r="C1117" s="3">
        <v>45795.744444444441</v>
      </c>
      <c r="D1117" s="2" t="s">
        <v>28</v>
      </c>
      <c r="E1117" s="4">
        <v>7807.77</v>
      </c>
      <c r="F1117" s="2" t="s">
        <v>14</v>
      </c>
      <c r="G1117" s="5">
        <v>30</v>
      </c>
      <c r="H1117" s="2" t="s">
        <v>15</v>
      </c>
      <c r="I1117" s="2" t="s">
        <v>78</v>
      </c>
      <c r="J1117" s="2" t="s">
        <v>17</v>
      </c>
      <c r="K1117" s="2" t="s">
        <v>22</v>
      </c>
    </row>
    <row r="1118" spans="1:11" x14ac:dyDescent="0.3">
      <c r="A1118" s="2" t="s">
        <v>1496</v>
      </c>
      <c r="B1118" s="2" t="s">
        <v>1201</v>
      </c>
      <c r="C1118" s="3">
        <v>45845.744444444441</v>
      </c>
      <c r="D1118" s="2" t="s">
        <v>13</v>
      </c>
      <c r="E1118" s="4">
        <v>553.39</v>
      </c>
      <c r="F1118" s="2" t="s">
        <v>14</v>
      </c>
      <c r="G1118" s="5">
        <v>44</v>
      </c>
      <c r="H1118" s="2" t="s">
        <v>15</v>
      </c>
      <c r="I1118" s="2" t="s">
        <v>25</v>
      </c>
      <c r="J1118" s="2" t="s">
        <v>44</v>
      </c>
      <c r="K1118" s="2" t="s">
        <v>18</v>
      </c>
    </row>
    <row r="1119" spans="1:11" x14ac:dyDescent="0.3">
      <c r="A1119" s="2" t="s">
        <v>1497</v>
      </c>
      <c r="B1119" s="2" t="s">
        <v>221</v>
      </c>
      <c r="C1119" s="3">
        <v>45679.977777777778</v>
      </c>
      <c r="D1119" s="2" t="s">
        <v>13</v>
      </c>
      <c r="E1119" s="4">
        <v>1264.29</v>
      </c>
      <c r="F1119" s="2" t="s">
        <v>14</v>
      </c>
      <c r="G1119" s="5">
        <v>43</v>
      </c>
      <c r="H1119" s="2" t="s">
        <v>15</v>
      </c>
      <c r="I1119" s="2" t="s">
        <v>60</v>
      </c>
      <c r="J1119" s="2" t="s">
        <v>49</v>
      </c>
      <c r="K1119" s="2" t="s">
        <v>18</v>
      </c>
    </row>
    <row r="1120" spans="1:11" x14ac:dyDescent="0.3">
      <c r="A1120" s="2" t="s">
        <v>1498</v>
      </c>
      <c r="B1120" s="2" t="s">
        <v>597</v>
      </c>
      <c r="C1120" s="3">
        <v>45937.268750000003</v>
      </c>
      <c r="D1120" s="2" t="s">
        <v>33</v>
      </c>
      <c r="E1120" s="4">
        <v>1063.3800000000001</v>
      </c>
      <c r="F1120" s="2" t="s">
        <v>14</v>
      </c>
      <c r="G1120" s="5">
        <v>43</v>
      </c>
      <c r="H1120" s="2" t="s">
        <v>15</v>
      </c>
      <c r="I1120" s="2" t="s">
        <v>48</v>
      </c>
      <c r="J1120" s="2" t="s">
        <v>49</v>
      </c>
      <c r="K1120" s="2" t="s">
        <v>35</v>
      </c>
    </row>
    <row r="1121" spans="1:11" x14ac:dyDescent="0.3">
      <c r="A1121" s="2" t="s">
        <v>1499</v>
      </c>
      <c r="B1121" s="2" t="s">
        <v>896</v>
      </c>
      <c r="C1121" s="3">
        <v>45710.995138888888</v>
      </c>
      <c r="D1121" s="2" t="s">
        <v>13</v>
      </c>
      <c r="E1121" s="4">
        <v>892.73</v>
      </c>
      <c r="F1121" s="2" t="s">
        <v>14</v>
      </c>
      <c r="G1121" s="5">
        <v>50</v>
      </c>
      <c r="H1121" s="2" t="s">
        <v>15</v>
      </c>
      <c r="I1121" s="2" t="s">
        <v>78</v>
      </c>
      <c r="J1121" s="2" t="s">
        <v>49</v>
      </c>
      <c r="K1121" s="2" t="s">
        <v>18</v>
      </c>
    </row>
    <row r="1122" spans="1:11" x14ac:dyDescent="0.3">
      <c r="A1122" s="2" t="s">
        <v>1500</v>
      </c>
      <c r="B1122" s="2" t="s">
        <v>1290</v>
      </c>
      <c r="C1122" s="3">
        <v>45992.304861111108</v>
      </c>
      <c r="D1122" s="2" t="s">
        <v>33</v>
      </c>
      <c r="E1122" s="4">
        <v>23826.05</v>
      </c>
      <c r="F1122" s="2" t="s">
        <v>14</v>
      </c>
      <c r="G1122" s="5">
        <v>32</v>
      </c>
      <c r="H1122" s="2" t="s">
        <v>15</v>
      </c>
      <c r="I1122" s="2" t="s">
        <v>34</v>
      </c>
      <c r="J1122" s="2" t="s">
        <v>44</v>
      </c>
      <c r="K1122" s="2" t="s">
        <v>35</v>
      </c>
    </row>
    <row r="1123" spans="1:11" x14ac:dyDescent="0.3">
      <c r="A1123" s="2" t="s">
        <v>1501</v>
      </c>
      <c r="B1123" s="2" t="s">
        <v>209</v>
      </c>
      <c r="C1123" s="3">
        <v>45674.594444444447</v>
      </c>
      <c r="D1123" s="2" t="s">
        <v>38</v>
      </c>
      <c r="E1123" s="4">
        <v>2665.49</v>
      </c>
      <c r="F1123" s="2" t="s">
        <v>57</v>
      </c>
      <c r="G1123" s="5">
        <v>50</v>
      </c>
      <c r="H1123" s="2" t="s">
        <v>15</v>
      </c>
      <c r="I1123" s="2" t="s">
        <v>60</v>
      </c>
      <c r="J1123" s="2" t="s">
        <v>44</v>
      </c>
      <c r="K1123" s="2" t="s">
        <v>18</v>
      </c>
    </row>
    <row r="1124" spans="1:11" x14ac:dyDescent="0.3">
      <c r="A1124" s="2" t="s">
        <v>1502</v>
      </c>
      <c r="B1124" s="2" t="s">
        <v>357</v>
      </c>
      <c r="C1124" s="3">
        <v>45836.102777777778</v>
      </c>
      <c r="D1124" s="2" t="s">
        <v>154</v>
      </c>
      <c r="E1124" s="4">
        <v>10000</v>
      </c>
      <c r="F1124" s="2" t="s">
        <v>14</v>
      </c>
      <c r="G1124" s="5">
        <v>57</v>
      </c>
      <c r="H1124" s="2" t="s">
        <v>15</v>
      </c>
      <c r="I1124" s="2" t="s">
        <v>16</v>
      </c>
      <c r="J1124" s="2" t="s">
        <v>44</v>
      </c>
      <c r="K1124" s="2" t="s">
        <v>35</v>
      </c>
    </row>
    <row r="1125" spans="1:11" x14ac:dyDescent="0.3">
      <c r="A1125" s="2" t="s">
        <v>1503</v>
      </c>
      <c r="B1125" s="2" t="s">
        <v>810</v>
      </c>
      <c r="C1125" s="3">
        <v>45718.300694444442</v>
      </c>
      <c r="D1125" s="2" t="s">
        <v>33</v>
      </c>
      <c r="E1125" s="4">
        <v>14118.12</v>
      </c>
      <c r="F1125" s="2" t="s">
        <v>14</v>
      </c>
      <c r="G1125" s="5">
        <v>54</v>
      </c>
      <c r="H1125" s="2" t="s">
        <v>15</v>
      </c>
      <c r="I1125" s="2" t="s">
        <v>34</v>
      </c>
      <c r="J1125" s="2" t="s">
        <v>17</v>
      </c>
      <c r="K1125" s="2" t="s">
        <v>45</v>
      </c>
    </row>
    <row r="1126" spans="1:11" x14ac:dyDescent="0.3">
      <c r="A1126" s="2" t="s">
        <v>1504</v>
      </c>
      <c r="B1126" s="2" t="s">
        <v>262</v>
      </c>
      <c r="C1126" s="3">
        <v>45959.931944444441</v>
      </c>
      <c r="D1126" s="2" t="s">
        <v>28</v>
      </c>
      <c r="E1126" s="4">
        <v>13724.82</v>
      </c>
      <c r="F1126" s="2" t="s">
        <v>14</v>
      </c>
      <c r="G1126" s="5">
        <v>50</v>
      </c>
      <c r="H1126" s="2" t="s">
        <v>29</v>
      </c>
      <c r="I1126" s="2" t="s">
        <v>60</v>
      </c>
      <c r="J1126" s="2" t="s">
        <v>49</v>
      </c>
      <c r="K1126" s="2" t="s">
        <v>18</v>
      </c>
    </row>
    <row r="1127" spans="1:11" x14ac:dyDescent="0.3">
      <c r="A1127" s="2" t="s">
        <v>1505</v>
      </c>
      <c r="B1127" s="2" t="s">
        <v>71</v>
      </c>
      <c r="C1127" s="3">
        <v>46021.819444444453</v>
      </c>
      <c r="D1127" s="2" t="s">
        <v>33</v>
      </c>
      <c r="E1127" s="4">
        <v>2184.6</v>
      </c>
      <c r="F1127" s="2" t="s">
        <v>14</v>
      </c>
      <c r="G1127" s="5">
        <v>42</v>
      </c>
      <c r="H1127" s="2" t="s">
        <v>15</v>
      </c>
      <c r="I1127" s="2" t="s">
        <v>60</v>
      </c>
      <c r="J1127" s="2" t="s">
        <v>17</v>
      </c>
      <c r="K1127" s="2" t="s">
        <v>18</v>
      </c>
    </row>
    <row r="1128" spans="1:11" x14ac:dyDescent="0.3">
      <c r="A1128" s="2" t="s">
        <v>1506</v>
      </c>
      <c r="B1128" s="2" t="s">
        <v>179</v>
      </c>
      <c r="C1128" s="3">
        <v>45877.23541666667</v>
      </c>
      <c r="D1128" s="2" t="s">
        <v>28</v>
      </c>
      <c r="E1128" s="4">
        <v>29178.54</v>
      </c>
      <c r="F1128" s="2" t="s">
        <v>14</v>
      </c>
      <c r="G1128" s="5">
        <v>38</v>
      </c>
      <c r="H1128" s="2" t="s">
        <v>15</v>
      </c>
      <c r="I1128" s="2" t="s">
        <v>34</v>
      </c>
      <c r="J1128" s="2" t="s">
        <v>17</v>
      </c>
      <c r="K1128" s="2" t="s">
        <v>18</v>
      </c>
    </row>
    <row r="1129" spans="1:11" x14ac:dyDescent="0.3">
      <c r="A1129" s="2" t="s">
        <v>1507</v>
      </c>
      <c r="B1129" s="2" t="s">
        <v>489</v>
      </c>
      <c r="C1129" s="3">
        <v>45729.286111111112</v>
      </c>
      <c r="D1129" s="2" t="s">
        <v>13</v>
      </c>
      <c r="E1129" s="4">
        <v>2467.5</v>
      </c>
      <c r="F1129" s="2" t="s">
        <v>14</v>
      </c>
      <c r="G1129" s="5">
        <v>28</v>
      </c>
      <c r="H1129" s="2" t="s">
        <v>15</v>
      </c>
      <c r="I1129" s="2" t="s">
        <v>30</v>
      </c>
      <c r="J1129" s="2" t="s">
        <v>17</v>
      </c>
      <c r="K1129" s="2" t="s">
        <v>45</v>
      </c>
    </row>
    <row r="1130" spans="1:11" x14ac:dyDescent="0.3">
      <c r="A1130" s="2" t="s">
        <v>1508</v>
      </c>
      <c r="B1130" s="2" t="s">
        <v>792</v>
      </c>
      <c r="C1130" s="3">
        <v>45763.066666666673</v>
      </c>
      <c r="D1130" s="2" t="s">
        <v>33</v>
      </c>
      <c r="E1130" s="4">
        <v>33942.199999999997</v>
      </c>
      <c r="F1130" s="2" t="s">
        <v>14</v>
      </c>
      <c r="G1130" s="5">
        <v>28</v>
      </c>
      <c r="H1130" s="2" t="s">
        <v>29</v>
      </c>
      <c r="I1130" s="2" t="s">
        <v>34</v>
      </c>
      <c r="J1130" s="2" t="s">
        <v>17</v>
      </c>
      <c r="K1130" s="2" t="s">
        <v>22</v>
      </c>
    </row>
    <row r="1131" spans="1:11" x14ac:dyDescent="0.3">
      <c r="A1131" s="2" t="s">
        <v>1509</v>
      </c>
      <c r="B1131" s="2" t="s">
        <v>51</v>
      </c>
      <c r="C1131" s="3">
        <v>45837.720138888893</v>
      </c>
      <c r="D1131" s="2" t="s">
        <v>28</v>
      </c>
      <c r="E1131" s="4">
        <v>21768.7</v>
      </c>
      <c r="F1131" s="2" t="s">
        <v>57</v>
      </c>
      <c r="G1131" s="5">
        <v>30</v>
      </c>
      <c r="H1131" s="2" t="s">
        <v>29</v>
      </c>
      <c r="I1131" s="2" t="s">
        <v>48</v>
      </c>
      <c r="J1131" s="2" t="s">
        <v>52</v>
      </c>
      <c r="K1131" s="2" t="s">
        <v>18</v>
      </c>
    </row>
    <row r="1132" spans="1:11" x14ac:dyDescent="0.3">
      <c r="A1132" s="2" t="s">
        <v>1510</v>
      </c>
      <c r="B1132" s="2" t="s">
        <v>909</v>
      </c>
      <c r="C1132" s="3">
        <v>45963.715277777781</v>
      </c>
      <c r="D1132" s="2" t="s">
        <v>13</v>
      </c>
      <c r="E1132" s="4">
        <v>295.05</v>
      </c>
      <c r="F1132" s="2" t="s">
        <v>57</v>
      </c>
      <c r="G1132" s="5">
        <v>39</v>
      </c>
      <c r="H1132" s="2" t="s">
        <v>29</v>
      </c>
      <c r="I1132" s="2" t="s">
        <v>48</v>
      </c>
      <c r="J1132" s="2" t="s">
        <v>44</v>
      </c>
      <c r="K1132" s="2" t="s">
        <v>18</v>
      </c>
    </row>
    <row r="1133" spans="1:11" x14ac:dyDescent="0.3">
      <c r="A1133" s="2" t="s">
        <v>1511</v>
      </c>
      <c r="B1133" s="2" t="s">
        <v>810</v>
      </c>
      <c r="C1133" s="3">
        <v>45823.929166666669</v>
      </c>
      <c r="D1133" s="2" t="s">
        <v>13</v>
      </c>
      <c r="E1133" s="4">
        <v>524.83000000000004</v>
      </c>
      <c r="F1133" s="2" t="s">
        <v>14</v>
      </c>
      <c r="G1133" s="5">
        <v>54</v>
      </c>
      <c r="H1133" s="2" t="s">
        <v>15</v>
      </c>
      <c r="I1133" s="2" t="s">
        <v>34</v>
      </c>
      <c r="J1133" s="2" t="s">
        <v>17</v>
      </c>
      <c r="K1133" s="2" t="s">
        <v>22</v>
      </c>
    </row>
    <row r="1134" spans="1:11" x14ac:dyDescent="0.3">
      <c r="A1134" s="2" t="s">
        <v>1512</v>
      </c>
      <c r="B1134" s="2" t="s">
        <v>1408</v>
      </c>
      <c r="C1134" s="3">
        <v>45806.761805555558</v>
      </c>
      <c r="D1134" s="2" t="s">
        <v>33</v>
      </c>
      <c r="E1134" s="4">
        <v>12888.38</v>
      </c>
      <c r="F1134" s="2" t="s">
        <v>14</v>
      </c>
      <c r="G1134" s="5">
        <v>39</v>
      </c>
      <c r="H1134" s="2" t="s">
        <v>15</v>
      </c>
      <c r="I1134" s="2" t="s">
        <v>25</v>
      </c>
      <c r="J1134" s="2" t="s">
        <v>52</v>
      </c>
      <c r="K1134" s="2" t="s">
        <v>18</v>
      </c>
    </row>
    <row r="1135" spans="1:11" x14ac:dyDescent="0.3">
      <c r="A1135" s="2" t="s">
        <v>1513</v>
      </c>
      <c r="B1135" s="2" t="s">
        <v>266</v>
      </c>
      <c r="C1135" s="3">
        <v>45921.911111111112</v>
      </c>
      <c r="D1135" s="2" t="s">
        <v>13</v>
      </c>
      <c r="E1135" s="4">
        <v>2169.37</v>
      </c>
      <c r="F1135" s="2" t="s">
        <v>14</v>
      </c>
      <c r="G1135" s="5">
        <v>47</v>
      </c>
      <c r="H1135" s="2" t="s">
        <v>29</v>
      </c>
      <c r="I1135" s="2" t="s">
        <v>95</v>
      </c>
      <c r="J1135" s="2" t="s">
        <v>44</v>
      </c>
      <c r="K1135" s="2" t="s">
        <v>35</v>
      </c>
    </row>
    <row r="1136" spans="1:11" x14ac:dyDescent="0.3">
      <c r="A1136" s="2" t="s">
        <v>1514</v>
      </c>
      <c r="B1136" s="2" t="s">
        <v>181</v>
      </c>
      <c r="C1136" s="3">
        <v>45706.2</v>
      </c>
      <c r="D1136" s="2" t="s">
        <v>13</v>
      </c>
      <c r="E1136" s="4">
        <v>5396.64</v>
      </c>
      <c r="F1136" s="2" t="s">
        <v>14</v>
      </c>
      <c r="G1136" s="5">
        <v>34</v>
      </c>
      <c r="H1136" s="2" t="s">
        <v>15</v>
      </c>
      <c r="I1136" s="2" t="s">
        <v>48</v>
      </c>
      <c r="J1136" s="2" t="s">
        <v>17</v>
      </c>
      <c r="K1136" s="2" t="s">
        <v>35</v>
      </c>
    </row>
    <row r="1137" spans="1:11" x14ac:dyDescent="0.3">
      <c r="A1137" s="2" t="s">
        <v>1515</v>
      </c>
      <c r="B1137" s="2" t="s">
        <v>179</v>
      </c>
      <c r="C1137" s="3">
        <v>45868.053472222222</v>
      </c>
      <c r="D1137" s="2" t="s">
        <v>33</v>
      </c>
      <c r="E1137" s="4">
        <v>6308.96</v>
      </c>
      <c r="F1137" s="2" t="s">
        <v>14</v>
      </c>
      <c r="G1137" s="5">
        <v>38</v>
      </c>
      <c r="H1137" s="2" t="s">
        <v>15</v>
      </c>
      <c r="I1137" s="2" t="s">
        <v>34</v>
      </c>
      <c r="J1137" s="2" t="s">
        <v>17</v>
      </c>
      <c r="K1137" s="2" t="s">
        <v>22</v>
      </c>
    </row>
    <row r="1138" spans="1:11" x14ac:dyDescent="0.3">
      <c r="A1138" s="2" t="s">
        <v>1516</v>
      </c>
      <c r="B1138" s="2" t="s">
        <v>431</v>
      </c>
      <c r="C1138" s="3">
        <v>45993.197222222218</v>
      </c>
      <c r="D1138" s="2" t="s">
        <v>28</v>
      </c>
      <c r="E1138" s="4">
        <v>61733.31</v>
      </c>
      <c r="F1138" s="2" t="s">
        <v>14</v>
      </c>
      <c r="G1138" s="5">
        <v>51</v>
      </c>
      <c r="H1138" s="2" t="s">
        <v>15</v>
      </c>
      <c r="I1138" s="2" t="s">
        <v>21</v>
      </c>
      <c r="J1138" s="2" t="s">
        <v>49</v>
      </c>
      <c r="K1138" s="2" t="s">
        <v>18</v>
      </c>
    </row>
    <row r="1139" spans="1:11" x14ac:dyDescent="0.3">
      <c r="A1139" s="2" t="s">
        <v>1517</v>
      </c>
      <c r="B1139" s="2" t="s">
        <v>1290</v>
      </c>
      <c r="C1139" s="3">
        <v>45725.29791666667</v>
      </c>
      <c r="D1139" s="2" t="s">
        <v>154</v>
      </c>
      <c r="E1139" s="4">
        <v>10000</v>
      </c>
      <c r="F1139" s="2" t="s">
        <v>14</v>
      </c>
      <c r="G1139" s="5">
        <v>32</v>
      </c>
      <c r="H1139" s="2" t="s">
        <v>15</v>
      </c>
      <c r="I1139" s="2" t="s">
        <v>34</v>
      </c>
      <c r="J1139" s="2" t="s">
        <v>44</v>
      </c>
      <c r="K1139" s="2" t="s">
        <v>18</v>
      </c>
    </row>
    <row r="1140" spans="1:11" x14ac:dyDescent="0.3">
      <c r="A1140" s="2" t="s">
        <v>1518</v>
      </c>
      <c r="B1140" s="2" t="s">
        <v>40</v>
      </c>
      <c r="C1140" s="3">
        <v>45822.324999999997</v>
      </c>
      <c r="D1140" s="2" t="s">
        <v>28</v>
      </c>
      <c r="E1140" s="4">
        <v>1141.74</v>
      </c>
      <c r="F1140" s="2" t="s">
        <v>14</v>
      </c>
      <c r="G1140" s="5">
        <v>36</v>
      </c>
      <c r="H1140" s="2" t="s">
        <v>29</v>
      </c>
      <c r="I1140" s="2" t="s">
        <v>34</v>
      </c>
      <c r="J1140" s="2" t="s">
        <v>17</v>
      </c>
      <c r="K1140" s="2" t="s">
        <v>35</v>
      </c>
    </row>
    <row r="1141" spans="1:11" x14ac:dyDescent="0.3">
      <c r="A1141" s="2" t="s">
        <v>1519</v>
      </c>
      <c r="B1141" s="2" t="s">
        <v>90</v>
      </c>
      <c r="C1141" s="3">
        <v>46004.521527777782</v>
      </c>
      <c r="D1141" s="2" t="s">
        <v>28</v>
      </c>
      <c r="E1141" s="4">
        <v>40992.81</v>
      </c>
      <c r="F1141" s="2" t="s">
        <v>57</v>
      </c>
      <c r="G1141" s="5">
        <v>22</v>
      </c>
      <c r="H1141" s="2" t="s">
        <v>29</v>
      </c>
      <c r="I1141" s="2" t="s">
        <v>48</v>
      </c>
      <c r="J1141" s="2" t="s">
        <v>49</v>
      </c>
      <c r="K1141" s="2" t="s">
        <v>18</v>
      </c>
    </row>
    <row r="1142" spans="1:11" x14ac:dyDescent="0.3">
      <c r="A1142" s="2" t="s">
        <v>1520</v>
      </c>
      <c r="B1142" s="2" t="s">
        <v>538</v>
      </c>
      <c r="C1142" s="3">
        <v>45730.777777777781</v>
      </c>
      <c r="D1142" s="2" t="s">
        <v>28</v>
      </c>
      <c r="E1142" s="4">
        <v>53649.15</v>
      </c>
      <c r="F1142" s="2" t="s">
        <v>14</v>
      </c>
      <c r="G1142" s="5">
        <v>46</v>
      </c>
      <c r="H1142" s="2" t="s">
        <v>15</v>
      </c>
      <c r="I1142" s="2" t="s">
        <v>43</v>
      </c>
      <c r="J1142" s="2" t="s">
        <v>17</v>
      </c>
      <c r="K1142" s="2" t="s">
        <v>18</v>
      </c>
    </row>
    <row r="1143" spans="1:11" x14ac:dyDescent="0.3">
      <c r="A1143" s="2" t="s">
        <v>1521</v>
      </c>
      <c r="B1143" s="2" t="s">
        <v>772</v>
      </c>
      <c r="C1143" s="3">
        <v>45795.851388888892</v>
      </c>
      <c r="D1143" s="2" t="s">
        <v>28</v>
      </c>
      <c r="E1143" s="4">
        <v>54412.5</v>
      </c>
      <c r="F1143" s="2" t="s">
        <v>57</v>
      </c>
      <c r="G1143" s="5">
        <v>31</v>
      </c>
      <c r="H1143" s="2" t="s">
        <v>15</v>
      </c>
      <c r="I1143" s="2" t="s">
        <v>34</v>
      </c>
      <c r="J1143" s="2" t="s">
        <v>52</v>
      </c>
      <c r="K1143" s="2" t="s">
        <v>45</v>
      </c>
    </row>
    <row r="1144" spans="1:11" x14ac:dyDescent="0.3">
      <c r="A1144" s="2" t="s">
        <v>1522</v>
      </c>
      <c r="B1144" s="2" t="s">
        <v>323</v>
      </c>
      <c r="C1144" s="3">
        <v>45850.586111111108</v>
      </c>
      <c r="D1144" s="2" t="s">
        <v>13</v>
      </c>
      <c r="E1144" s="4">
        <v>3346.4</v>
      </c>
      <c r="F1144" s="2" t="s">
        <v>122</v>
      </c>
      <c r="G1144" s="5">
        <v>27</v>
      </c>
      <c r="H1144" s="2" t="s">
        <v>29</v>
      </c>
      <c r="I1144" s="2" t="s">
        <v>43</v>
      </c>
      <c r="J1144" s="2" t="s">
        <v>17</v>
      </c>
      <c r="K1144" s="2" t="s">
        <v>22</v>
      </c>
    </row>
    <row r="1145" spans="1:11" x14ac:dyDescent="0.3">
      <c r="A1145" s="2" t="s">
        <v>1523</v>
      </c>
      <c r="B1145" s="2" t="s">
        <v>323</v>
      </c>
      <c r="C1145" s="3">
        <v>45982.100694444453</v>
      </c>
      <c r="D1145" s="2" t="s">
        <v>38</v>
      </c>
      <c r="E1145" s="4">
        <v>9297.02</v>
      </c>
      <c r="F1145" s="2" t="s">
        <v>57</v>
      </c>
      <c r="G1145" s="5">
        <v>27</v>
      </c>
      <c r="H1145" s="2" t="s">
        <v>29</v>
      </c>
      <c r="I1145" s="2" t="s">
        <v>43</v>
      </c>
      <c r="J1145" s="2" t="s">
        <v>17</v>
      </c>
      <c r="K1145" s="2" t="s">
        <v>18</v>
      </c>
    </row>
    <row r="1146" spans="1:11" x14ac:dyDescent="0.3">
      <c r="A1146" s="2" t="s">
        <v>1524</v>
      </c>
      <c r="B1146" s="2" t="s">
        <v>264</v>
      </c>
      <c r="C1146" s="3">
        <v>45921.970138888893</v>
      </c>
      <c r="D1146" s="2" t="s">
        <v>13</v>
      </c>
      <c r="E1146" s="4">
        <v>5788.03</v>
      </c>
      <c r="F1146" s="2" t="s">
        <v>14</v>
      </c>
      <c r="G1146" s="5">
        <v>26</v>
      </c>
      <c r="H1146" s="2" t="s">
        <v>29</v>
      </c>
      <c r="I1146" s="2" t="s">
        <v>34</v>
      </c>
      <c r="J1146" s="2" t="s">
        <v>49</v>
      </c>
      <c r="K1146" s="2" t="s">
        <v>45</v>
      </c>
    </row>
    <row r="1147" spans="1:11" x14ac:dyDescent="0.3">
      <c r="A1147" s="2" t="s">
        <v>1525</v>
      </c>
      <c r="B1147" s="2" t="s">
        <v>1066</v>
      </c>
      <c r="C1147" s="3">
        <v>46013.478472222218</v>
      </c>
      <c r="D1147" s="2" t="s">
        <v>154</v>
      </c>
      <c r="E1147" s="4">
        <v>5000</v>
      </c>
      <c r="F1147" s="2" t="s">
        <v>14</v>
      </c>
      <c r="G1147" s="5">
        <v>28</v>
      </c>
      <c r="H1147" s="2" t="s">
        <v>29</v>
      </c>
      <c r="I1147" s="2" t="s">
        <v>43</v>
      </c>
      <c r="J1147" s="2" t="s">
        <v>17</v>
      </c>
      <c r="K1147" s="2" t="s">
        <v>35</v>
      </c>
    </row>
    <row r="1148" spans="1:11" x14ac:dyDescent="0.3">
      <c r="A1148" s="2" t="s">
        <v>1526</v>
      </c>
      <c r="B1148" s="2" t="s">
        <v>24</v>
      </c>
      <c r="C1148" s="3">
        <v>45907.442361111112</v>
      </c>
      <c r="D1148" s="2" t="s">
        <v>13</v>
      </c>
      <c r="E1148" s="4">
        <v>291.12</v>
      </c>
      <c r="F1148" s="2" t="s">
        <v>14</v>
      </c>
      <c r="G1148" s="5">
        <v>35</v>
      </c>
      <c r="H1148" s="2" t="s">
        <v>15</v>
      </c>
      <c r="I1148" s="2" t="s">
        <v>25</v>
      </c>
      <c r="J1148" s="2" t="s">
        <v>17</v>
      </c>
      <c r="K1148" s="2" t="s">
        <v>18</v>
      </c>
    </row>
    <row r="1149" spans="1:11" x14ac:dyDescent="0.3">
      <c r="A1149" s="2" t="s">
        <v>1527</v>
      </c>
      <c r="B1149" s="2" t="s">
        <v>236</v>
      </c>
      <c r="C1149" s="3">
        <v>45659.961805555547</v>
      </c>
      <c r="D1149" s="2" t="s">
        <v>33</v>
      </c>
      <c r="E1149" s="4">
        <v>28246.79</v>
      </c>
      <c r="F1149" s="2" t="s">
        <v>57</v>
      </c>
      <c r="G1149" s="5">
        <v>27</v>
      </c>
      <c r="H1149" s="2" t="s">
        <v>29</v>
      </c>
      <c r="I1149" s="2" t="s">
        <v>34</v>
      </c>
      <c r="J1149" s="2" t="s">
        <v>17</v>
      </c>
      <c r="K1149" s="2" t="s">
        <v>22</v>
      </c>
    </row>
    <row r="1150" spans="1:11" x14ac:dyDescent="0.3">
      <c r="A1150" s="2" t="s">
        <v>1528</v>
      </c>
      <c r="B1150" s="2" t="s">
        <v>464</v>
      </c>
      <c r="C1150" s="3">
        <v>45892.862500000003</v>
      </c>
      <c r="D1150" s="2" t="s">
        <v>33</v>
      </c>
      <c r="E1150" s="4">
        <v>19892.400000000001</v>
      </c>
      <c r="F1150" s="2" t="s">
        <v>57</v>
      </c>
      <c r="G1150" s="5">
        <v>35</v>
      </c>
      <c r="H1150" s="2" t="s">
        <v>29</v>
      </c>
      <c r="I1150" s="2" t="s">
        <v>34</v>
      </c>
      <c r="J1150" s="2" t="s">
        <v>44</v>
      </c>
      <c r="K1150" s="2" t="s">
        <v>18</v>
      </c>
    </row>
    <row r="1151" spans="1:11" x14ac:dyDescent="0.3">
      <c r="A1151" s="2" t="s">
        <v>1529</v>
      </c>
      <c r="B1151" s="2" t="s">
        <v>332</v>
      </c>
      <c r="C1151" s="3">
        <v>46015.495833333327</v>
      </c>
      <c r="D1151" s="2" t="s">
        <v>28</v>
      </c>
      <c r="E1151" s="4">
        <v>2136.02</v>
      </c>
      <c r="F1151" s="2" t="s">
        <v>14</v>
      </c>
      <c r="G1151" s="5">
        <v>36</v>
      </c>
      <c r="H1151" s="2" t="s">
        <v>29</v>
      </c>
      <c r="I1151" s="2" t="s">
        <v>25</v>
      </c>
      <c r="J1151" s="2" t="s">
        <v>44</v>
      </c>
      <c r="K1151" s="2" t="s">
        <v>18</v>
      </c>
    </row>
    <row r="1152" spans="1:11" x14ac:dyDescent="0.3">
      <c r="A1152" s="2" t="s">
        <v>1530</v>
      </c>
      <c r="B1152" s="2" t="s">
        <v>42</v>
      </c>
      <c r="C1152" s="3">
        <v>45690.725694444453</v>
      </c>
      <c r="D1152" s="2" t="s">
        <v>28</v>
      </c>
      <c r="E1152" s="4">
        <v>15283.13</v>
      </c>
      <c r="F1152" s="2" t="s">
        <v>14</v>
      </c>
      <c r="G1152" s="5">
        <v>35</v>
      </c>
      <c r="H1152" s="2" t="s">
        <v>15</v>
      </c>
      <c r="I1152" s="2" t="s">
        <v>43</v>
      </c>
      <c r="J1152" s="2" t="s">
        <v>44</v>
      </c>
      <c r="K1152" s="2" t="s">
        <v>18</v>
      </c>
    </row>
    <row r="1153" spans="1:11" x14ac:dyDescent="0.3">
      <c r="A1153" s="2" t="s">
        <v>1531</v>
      </c>
      <c r="B1153" s="2" t="s">
        <v>649</v>
      </c>
      <c r="C1153" s="3">
        <v>45769.577777777777</v>
      </c>
      <c r="D1153" s="2" t="s">
        <v>28</v>
      </c>
      <c r="E1153" s="4">
        <v>32503.94</v>
      </c>
      <c r="F1153" s="2" t="s">
        <v>14</v>
      </c>
      <c r="G1153" s="5">
        <v>24</v>
      </c>
      <c r="H1153" s="2" t="s">
        <v>29</v>
      </c>
      <c r="I1153" s="2" t="s">
        <v>48</v>
      </c>
      <c r="J1153" s="2" t="s">
        <v>17</v>
      </c>
      <c r="K1153" s="2" t="s">
        <v>45</v>
      </c>
    </row>
    <row r="1154" spans="1:11" x14ac:dyDescent="0.3">
      <c r="A1154" s="2" t="s">
        <v>1532</v>
      </c>
      <c r="B1154" s="2" t="s">
        <v>433</v>
      </c>
      <c r="C1154" s="3">
        <v>45766.636805555558</v>
      </c>
      <c r="D1154" s="2" t="s">
        <v>33</v>
      </c>
      <c r="E1154" s="4">
        <v>20386.54</v>
      </c>
      <c r="F1154" s="2" t="s">
        <v>14</v>
      </c>
      <c r="G1154" s="5">
        <v>25</v>
      </c>
      <c r="H1154" s="2" t="s">
        <v>15</v>
      </c>
      <c r="I1154" s="2" t="s">
        <v>34</v>
      </c>
      <c r="J1154" s="2" t="s">
        <v>49</v>
      </c>
      <c r="K1154" s="2" t="s">
        <v>45</v>
      </c>
    </row>
    <row r="1155" spans="1:11" x14ac:dyDescent="0.3">
      <c r="A1155" s="2" t="s">
        <v>1533</v>
      </c>
      <c r="B1155" s="2" t="s">
        <v>997</v>
      </c>
      <c r="C1155" s="3">
        <v>45823.38958333333</v>
      </c>
      <c r="D1155" s="2" t="s">
        <v>28</v>
      </c>
      <c r="E1155" s="4">
        <v>5785.64</v>
      </c>
      <c r="F1155" s="2" t="s">
        <v>14</v>
      </c>
      <c r="G1155" s="5">
        <v>39</v>
      </c>
      <c r="H1155" s="2" t="s">
        <v>29</v>
      </c>
      <c r="I1155" s="2" t="s">
        <v>34</v>
      </c>
      <c r="J1155" s="2" t="s">
        <v>17</v>
      </c>
      <c r="K1155" s="2" t="s">
        <v>18</v>
      </c>
    </row>
    <row r="1156" spans="1:11" x14ac:dyDescent="0.3">
      <c r="A1156" s="2" t="s">
        <v>1534</v>
      </c>
      <c r="B1156" s="2" t="s">
        <v>535</v>
      </c>
      <c r="C1156" s="3">
        <v>45938.755555555559</v>
      </c>
      <c r="D1156" s="2" t="s">
        <v>28</v>
      </c>
      <c r="E1156" s="4">
        <v>34525.379999999997</v>
      </c>
      <c r="F1156" s="2" t="s">
        <v>14</v>
      </c>
      <c r="G1156" s="5">
        <v>28</v>
      </c>
      <c r="H1156" s="2" t="s">
        <v>15</v>
      </c>
      <c r="I1156" s="2" t="s">
        <v>34</v>
      </c>
      <c r="J1156" s="2" t="s">
        <v>49</v>
      </c>
      <c r="K1156" s="2" t="s">
        <v>18</v>
      </c>
    </row>
    <row r="1157" spans="1:11" x14ac:dyDescent="0.3">
      <c r="A1157" s="2" t="s">
        <v>1535</v>
      </c>
      <c r="B1157" s="2" t="s">
        <v>860</v>
      </c>
      <c r="C1157" s="3">
        <v>45947.659722222219</v>
      </c>
      <c r="D1157" s="2" t="s">
        <v>13</v>
      </c>
      <c r="E1157" s="4">
        <v>2486.02</v>
      </c>
      <c r="F1157" s="2" t="s">
        <v>14</v>
      </c>
      <c r="G1157" s="5">
        <v>29</v>
      </c>
      <c r="H1157" s="2" t="s">
        <v>15</v>
      </c>
      <c r="I1157" s="2" t="s">
        <v>21</v>
      </c>
      <c r="J1157" s="2" t="s">
        <v>52</v>
      </c>
      <c r="K1157" s="2" t="s">
        <v>18</v>
      </c>
    </row>
    <row r="1158" spans="1:11" x14ac:dyDescent="0.3">
      <c r="A1158" s="2" t="s">
        <v>1536</v>
      </c>
      <c r="B1158" s="2" t="s">
        <v>390</v>
      </c>
      <c r="C1158" s="3">
        <v>45833.908333333333</v>
      </c>
      <c r="D1158" s="2" t="s">
        <v>28</v>
      </c>
      <c r="E1158" s="4">
        <v>7233.8</v>
      </c>
      <c r="F1158" s="2" t="s">
        <v>14</v>
      </c>
      <c r="G1158" s="5">
        <v>35</v>
      </c>
      <c r="H1158" s="2" t="s">
        <v>15</v>
      </c>
      <c r="I1158" s="2" t="s">
        <v>25</v>
      </c>
      <c r="J1158" s="2" t="s">
        <v>17</v>
      </c>
      <c r="K1158" s="2" t="s">
        <v>35</v>
      </c>
    </row>
    <row r="1159" spans="1:11" x14ac:dyDescent="0.3">
      <c r="A1159" s="2" t="s">
        <v>1537</v>
      </c>
      <c r="B1159" s="2" t="s">
        <v>136</v>
      </c>
      <c r="C1159" s="3">
        <v>45682.04583333333</v>
      </c>
      <c r="D1159" s="2" t="s">
        <v>13</v>
      </c>
      <c r="E1159" s="4">
        <v>326.63</v>
      </c>
      <c r="F1159" s="2" t="s">
        <v>14</v>
      </c>
      <c r="G1159" s="5">
        <v>59</v>
      </c>
      <c r="H1159" s="2" t="s">
        <v>15</v>
      </c>
      <c r="I1159" s="2" t="s">
        <v>16</v>
      </c>
      <c r="J1159" s="2" t="s">
        <v>17</v>
      </c>
      <c r="K1159" s="2" t="s">
        <v>18</v>
      </c>
    </row>
    <row r="1160" spans="1:11" x14ac:dyDescent="0.3">
      <c r="A1160" s="2" t="s">
        <v>1538</v>
      </c>
      <c r="B1160" s="2" t="s">
        <v>1077</v>
      </c>
      <c r="C1160" s="3">
        <v>45978.584027777782</v>
      </c>
      <c r="D1160" s="2" t="s">
        <v>38</v>
      </c>
      <c r="E1160" s="4">
        <v>2949.75</v>
      </c>
      <c r="F1160" s="2" t="s">
        <v>14</v>
      </c>
      <c r="G1160" s="5">
        <v>30</v>
      </c>
      <c r="H1160" s="2" t="s">
        <v>29</v>
      </c>
      <c r="I1160" s="2" t="s">
        <v>60</v>
      </c>
      <c r="J1160" s="2" t="s">
        <v>49</v>
      </c>
      <c r="K1160" s="2" t="s">
        <v>18</v>
      </c>
    </row>
    <row r="1161" spans="1:11" x14ac:dyDescent="0.3">
      <c r="A1161" s="2" t="s">
        <v>1539</v>
      </c>
      <c r="B1161" s="2" t="s">
        <v>406</v>
      </c>
      <c r="C1161" s="3">
        <v>45721.227777777778</v>
      </c>
      <c r="D1161" s="2" t="s">
        <v>28</v>
      </c>
      <c r="E1161" s="4">
        <v>16426.27</v>
      </c>
      <c r="F1161" s="2" t="s">
        <v>14</v>
      </c>
      <c r="G1161" s="5">
        <v>28</v>
      </c>
      <c r="H1161" s="2" t="s">
        <v>15</v>
      </c>
      <c r="I1161" s="2" t="s">
        <v>60</v>
      </c>
      <c r="J1161" s="2" t="s">
        <v>44</v>
      </c>
      <c r="K1161" s="2" t="s">
        <v>18</v>
      </c>
    </row>
    <row r="1162" spans="1:11" x14ac:dyDescent="0.3">
      <c r="A1162" s="2" t="s">
        <v>1540</v>
      </c>
      <c r="B1162" s="2" t="s">
        <v>597</v>
      </c>
      <c r="C1162" s="3">
        <v>45891.018750000003</v>
      </c>
      <c r="D1162" s="2" t="s">
        <v>28</v>
      </c>
      <c r="E1162" s="4">
        <v>2249.0500000000002</v>
      </c>
      <c r="F1162" s="2" t="s">
        <v>14</v>
      </c>
      <c r="G1162" s="5">
        <v>43</v>
      </c>
      <c r="H1162" s="2" t="s">
        <v>15</v>
      </c>
      <c r="I1162" s="2" t="s">
        <v>48</v>
      </c>
      <c r="J1162" s="2" t="s">
        <v>49</v>
      </c>
      <c r="K1162" s="2" t="s">
        <v>18</v>
      </c>
    </row>
    <row r="1163" spans="1:11" x14ac:dyDescent="0.3">
      <c r="A1163" s="2" t="s">
        <v>1541</v>
      </c>
      <c r="B1163" s="2" t="s">
        <v>370</v>
      </c>
      <c r="C1163" s="3">
        <v>45761.956944444442</v>
      </c>
      <c r="D1163" s="2" t="s">
        <v>13</v>
      </c>
      <c r="E1163" s="4">
        <v>1358.22</v>
      </c>
      <c r="F1163" s="2" t="s">
        <v>57</v>
      </c>
      <c r="G1163" s="5">
        <v>35</v>
      </c>
      <c r="H1163" s="2" t="s">
        <v>15</v>
      </c>
      <c r="I1163" s="2" t="s">
        <v>34</v>
      </c>
      <c r="J1163" s="2" t="s">
        <v>49</v>
      </c>
      <c r="K1163" s="2" t="s">
        <v>18</v>
      </c>
    </row>
    <row r="1164" spans="1:11" x14ac:dyDescent="0.3">
      <c r="A1164" s="2" t="s">
        <v>1542</v>
      </c>
      <c r="B1164" s="2" t="s">
        <v>543</v>
      </c>
      <c r="C1164" s="3">
        <v>45725.84652777778</v>
      </c>
      <c r="D1164" s="2" t="s">
        <v>33</v>
      </c>
      <c r="E1164" s="4">
        <v>2306.54</v>
      </c>
      <c r="F1164" s="2" t="s">
        <v>14</v>
      </c>
      <c r="G1164" s="5">
        <v>41</v>
      </c>
      <c r="H1164" s="2" t="s">
        <v>15</v>
      </c>
      <c r="I1164" s="2" t="s">
        <v>34</v>
      </c>
      <c r="J1164" s="2" t="s">
        <v>44</v>
      </c>
      <c r="K1164" s="2" t="s">
        <v>18</v>
      </c>
    </row>
    <row r="1165" spans="1:11" x14ac:dyDescent="0.3">
      <c r="A1165" s="2" t="s">
        <v>1543</v>
      </c>
      <c r="B1165" s="2" t="s">
        <v>521</v>
      </c>
      <c r="C1165" s="3">
        <v>45739.336805555547</v>
      </c>
      <c r="D1165" s="2" t="s">
        <v>13</v>
      </c>
      <c r="E1165" s="4">
        <v>2030.39</v>
      </c>
      <c r="F1165" s="2" t="s">
        <v>14</v>
      </c>
      <c r="G1165" s="5">
        <v>30</v>
      </c>
      <c r="H1165" s="2" t="s">
        <v>29</v>
      </c>
      <c r="I1165" s="2" t="s">
        <v>60</v>
      </c>
      <c r="J1165" s="2" t="s">
        <v>44</v>
      </c>
      <c r="K1165" s="2" t="s">
        <v>18</v>
      </c>
    </row>
    <row r="1166" spans="1:11" x14ac:dyDescent="0.3">
      <c r="A1166" s="2" t="s">
        <v>1544</v>
      </c>
      <c r="B1166" s="2" t="s">
        <v>307</v>
      </c>
      <c r="C1166" s="3">
        <v>45993.469444444447</v>
      </c>
      <c r="D1166" s="2" t="s">
        <v>154</v>
      </c>
      <c r="E1166" s="4">
        <v>10000</v>
      </c>
      <c r="F1166" s="2" t="s">
        <v>14</v>
      </c>
      <c r="G1166" s="5">
        <v>53</v>
      </c>
      <c r="H1166" s="2" t="s">
        <v>29</v>
      </c>
      <c r="I1166" s="2" t="s">
        <v>34</v>
      </c>
      <c r="J1166" s="2" t="s">
        <v>52</v>
      </c>
      <c r="K1166" s="2" t="s">
        <v>18</v>
      </c>
    </row>
    <row r="1167" spans="1:11" x14ac:dyDescent="0.3">
      <c r="A1167" s="2" t="s">
        <v>1545</v>
      </c>
      <c r="B1167" s="2" t="s">
        <v>538</v>
      </c>
      <c r="C1167" s="3">
        <v>45700.487500000003</v>
      </c>
      <c r="D1167" s="2" t="s">
        <v>28</v>
      </c>
      <c r="E1167" s="4">
        <v>15552.85</v>
      </c>
      <c r="F1167" s="2" t="s">
        <v>14</v>
      </c>
      <c r="G1167" s="5">
        <v>46</v>
      </c>
      <c r="H1167" s="2" t="s">
        <v>15</v>
      </c>
      <c r="I1167" s="2" t="s">
        <v>43</v>
      </c>
      <c r="J1167" s="2" t="s">
        <v>17</v>
      </c>
      <c r="K1167" s="2" t="s">
        <v>45</v>
      </c>
    </row>
    <row r="1168" spans="1:11" x14ac:dyDescent="0.3">
      <c r="A1168" s="2" t="s">
        <v>1546</v>
      </c>
      <c r="B1168" s="2" t="s">
        <v>605</v>
      </c>
      <c r="C1168" s="3">
        <v>45990.210416666669</v>
      </c>
      <c r="D1168" s="2" t="s">
        <v>13</v>
      </c>
      <c r="E1168" s="4">
        <v>3766.47</v>
      </c>
      <c r="F1168" s="2" t="s">
        <v>14</v>
      </c>
      <c r="G1168" s="5">
        <v>29</v>
      </c>
      <c r="H1168" s="2" t="s">
        <v>29</v>
      </c>
      <c r="I1168" s="2" t="s">
        <v>60</v>
      </c>
      <c r="J1168" s="2" t="s">
        <v>17</v>
      </c>
      <c r="K1168" s="2" t="s">
        <v>45</v>
      </c>
    </row>
    <row r="1169" spans="1:11" x14ac:dyDescent="0.3">
      <c r="A1169" s="2" t="s">
        <v>1547</v>
      </c>
      <c r="B1169" s="2" t="s">
        <v>140</v>
      </c>
      <c r="C1169" s="3">
        <v>45860.84652777778</v>
      </c>
      <c r="D1169" s="2" t="s">
        <v>28</v>
      </c>
      <c r="E1169" s="4">
        <v>24902.25</v>
      </c>
      <c r="F1169" s="2" t="s">
        <v>14</v>
      </c>
      <c r="G1169" s="5">
        <v>49</v>
      </c>
      <c r="H1169" s="2" t="s">
        <v>15</v>
      </c>
      <c r="I1169" s="2" t="s">
        <v>21</v>
      </c>
      <c r="J1169" s="2" t="s">
        <v>44</v>
      </c>
      <c r="K1169" s="2" t="s">
        <v>45</v>
      </c>
    </row>
    <row r="1170" spans="1:11" x14ac:dyDescent="0.3">
      <c r="A1170" s="2" t="s">
        <v>1548</v>
      </c>
      <c r="B1170" s="2" t="s">
        <v>662</v>
      </c>
      <c r="C1170" s="3">
        <v>46016.310416666667</v>
      </c>
      <c r="D1170" s="2" t="s">
        <v>13</v>
      </c>
      <c r="E1170" s="4">
        <v>1660.34</v>
      </c>
      <c r="F1170" s="2" t="s">
        <v>14</v>
      </c>
      <c r="G1170" s="5">
        <v>45</v>
      </c>
      <c r="H1170" s="2" t="s">
        <v>15</v>
      </c>
      <c r="I1170" s="2" t="s">
        <v>34</v>
      </c>
      <c r="J1170" s="2" t="s">
        <v>52</v>
      </c>
      <c r="K1170" s="2" t="s">
        <v>45</v>
      </c>
    </row>
    <row r="1171" spans="1:11" x14ac:dyDescent="0.3">
      <c r="A1171" s="2" t="s">
        <v>1549</v>
      </c>
      <c r="B1171" s="2" t="s">
        <v>372</v>
      </c>
      <c r="C1171" s="3">
        <v>45993.114583333343</v>
      </c>
      <c r="D1171" s="2" t="s">
        <v>154</v>
      </c>
      <c r="E1171" s="4">
        <v>20000</v>
      </c>
      <c r="F1171" s="2" t="s">
        <v>14</v>
      </c>
      <c r="G1171" s="5">
        <v>28</v>
      </c>
      <c r="H1171" s="2" t="s">
        <v>29</v>
      </c>
      <c r="I1171" s="2" t="s">
        <v>25</v>
      </c>
      <c r="J1171" s="2" t="s">
        <v>17</v>
      </c>
      <c r="K1171" s="2" t="s">
        <v>18</v>
      </c>
    </row>
    <row r="1172" spans="1:11" x14ac:dyDescent="0.3">
      <c r="A1172" s="2" t="s">
        <v>1550</v>
      </c>
      <c r="B1172" s="2" t="s">
        <v>887</v>
      </c>
      <c r="C1172" s="3">
        <v>45706.009027777778</v>
      </c>
      <c r="D1172" s="2" t="s">
        <v>28</v>
      </c>
      <c r="E1172" s="4">
        <v>18813.04</v>
      </c>
      <c r="F1172" s="2" t="s">
        <v>14</v>
      </c>
      <c r="G1172" s="5">
        <v>30</v>
      </c>
      <c r="H1172" s="2" t="s">
        <v>15</v>
      </c>
      <c r="I1172" s="2" t="s">
        <v>34</v>
      </c>
      <c r="J1172" s="2" t="s">
        <v>44</v>
      </c>
      <c r="K1172" s="2" t="s">
        <v>45</v>
      </c>
    </row>
    <row r="1173" spans="1:11" x14ac:dyDescent="0.3">
      <c r="A1173" s="2" t="s">
        <v>1551</v>
      </c>
      <c r="B1173" s="2" t="s">
        <v>551</v>
      </c>
      <c r="C1173" s="3">
        <v>45902.088888888888</v>
      </c>
      <c r="D1173" s="2" t="s">
        <v>28</v>
      </c>
      <c r="E1173" s="4">
        <v>2600.36</v>
      </c>
      <c r="F1173" s="2" t="s">
        <v>14</v>
      </c>
      <c r="G1173" s="5">
        <v>32</v>
      </c>
      <c r="H1173" s="2" t="s">
        <v>15</v>
      </c>
      <c r="I1173" s="2" t="s">
        <v>34</v>
      </c>
      <c r="J1173" s="2" t="s">
        <v>44</v>
      </c>
      <c r="K1173" s="2" t="s">
        <v>35</v>
      </c>
    </row>
    <row r="1174" spans="1:11" x14ac:dyDescent="0.3">
      <c r="A1174" s="2" t="s">
        <v>1552</v>
      </c>
      <c r="B1174" s="2" t="s">
        <v>634</v>
      </c>
      <c r="C1174" s="3">
        <v>45961.314583333333</v>
      </c>
      <c r="D1174" s="2" t="s">
        <v>28</v>
      </c>
      <c r="E1174" s="4">
        <v>46585.21</v>
      </c>
      <c r="F1174" s="2" t="s">
        <v>14</v>
      </c>
      <c r="G1174" s="5">
        <v>56</v>
      </c>
      <c r="H1174" s="2" t="s">
        <v>29</v>
      </c>
      <c r="I1174" s="2" t="s">
        <v>25</v>
      </c>
      <c r="J1174" s="2" t="s">
        <v>17</v>
      </c>
      <c r="K1174" s="2" t="s">
        <v>45</v>
      </c>
    </row>
    <row r="1175" spans="1:11" x14ac:dyDescent="0.3">
      <c r="A1175" s="2" t="s">
        <v>1553</v>
      </c>
      <c r="B1175" s="2" t="s">
        <v>132</v>
      </c>
      <c r="C1175" s="3">
        <v>46006.583333333343</v>
      </c>
      <c r="D1175" s="2" t="s">
        <v>28</v>
      </c>
      <c r="E1175" s="4">
        <v>4870.5600000000004</v>
      </c>
      <c r="F1175" s="2" t="s">
        <v>14</v>
      </c>
      <c r="G1175" s="5">
        <v>20</v>
      </c>
      <c r="H1175" s="2" t="s">
        <v>15</v>
      </c>
      <c r="I1175" s="2" t="s">
        <v>43</v>
      </c>
      <c r="J1175" s="2" t="s">
        <v>17</v>
      </c>
      <c r="K1175" s="2" t="s">
        <v>45</v>
      </c>
    </row>
    <row r="1176" spans="1:11" x14ac:dyDescent="0.3">
      <c r="A1176" s="2" t="s">
        <v>1554</v>
      </c>
      <c r="B1176" s="2" t="s">
        <v>1337</v>
      </c>
      <c r="C1176" s="3">
        <v>45662.931250000001</v>
      </c>
      <c r="D1176" s="2" t="s">
        <v>28</v>
      </c>
      <c r="E1176" s="4">
        <v>5863.45</v>
      </c>
      <c r="F1176" s="2" t="s">
        <v>14</v>
      </c>
      <c r="G1176" s="5">
        <v>38</v>
      </c>
      <c r="H1176" s="2" t="s">
        <v>15</v>
      </c>
      <c r="I1176" s="2" t="s">
        <v>21</v>
      </c>
      <c r="J1176" s="2" t="s">
        <v>17</v>
      </c>
      <c r="K1176" s="2" t="s">
        <v>22</v>
      </c>
    </row>
    <row r="1177" spans="1:11" x14ac:dyDescent="0.3">
      <c r="A1177" s="2" t="s">
        <v>1555</v>
      </c>
      <c r="B1177" s="2" t="s">
        <v>481</v>
      </c>
      <c r="C1177" s="3">
        <v>45719.572222222218</v>
      </c>
      <c r="D1177" s="2" t="s">
        <v>13</v>
      </c>
      <c r="E1177" s="4">
        <v>2676.44</v>
      </c>
      <c r="F1177" s="2" t="s">
        <v>14</v>
      </c>
      <c r="G1177" s="5">
        <v>28</v>
      </c>
      <c r="H1177" s="2" t="s">
        <v>15</v>
      </c>
      <c r="I1177" s="2" t="s">
        <v>60</v>
      </c>
      <c r="J1177" s="2" t="s">
        <v>17</v>
      </c>
      <c r="K1177" s="2" t="s">
        <v>45</v>
      </c>
    </row>
    <row r="1178" spans="1:11" x14ac:dyDescent="0.3">
      <c r="A1178" s="2" t="s">
        <v>1556</v>
      </c>
      <c r="B1178" s="2" t="s">
        <v>587</v>
      </c>
      <c r="C1178" s="3">
        <v>45725.62777777778</v>
      </c>
      <c r="D1178" s="2" t="s">
        <v>28</v>
      </c>
      <c r="E1178" s="4">
        <v>2322.19</v>
      </c>
      <c r="F1178" s="2" t="s">
        <v>14</v>
      </c>
      <c r="G1178" s="5">
        <v>47</v>
      </c>
      <c r="H1178" s="2" t="s">
        <v>29</v>
      </c>
      <c r="I1178" s="2" t="s">
        <v>34</v>
      </c>
      <c r="J1178" s="2" t="s">
        <v>49</v>
      </c>
      <c r="K1178" s="2" t="s">
        <v>18</v>
      </c>
    </row>
    <row r="1179" spans="1:11" x14ac:dyDescent="0.3">
      <c r="A1179" s="2" t="s">
        <v>1557</v>
      </c>
      <c r="B1179" s="2" t="s">
        <v>756</v>
      </c>
      <c r="C1179" s="3">
        <v>45775.503472222219</v>
      </c>
      <c r="D1179" s="2" t="s">
        <v>38</v>
      </c>
      <c r="E1179" s="4">
        <v>13645.68</v>
      </c>
      <c r="F1179" s="2" t="s">
        <v>14</v>
      </c>
      <c r="G1179" s="5">
        <v>40</v>
      </c>
      <c r="H1179" s="2" t="s">
        <v>15</v>
      </c>
      <c r="I1179" s="2" t="s">
        <v>16</v>
      </c>
      <c r="J1179" s="2" t="s">
        <v>17</v>
      </c>
      <c r="K1179" s="2" t="s">
        <v>45</v>
      </c>
    </row>
    <row r="1180" spans="1:11" x14ac:dyDescent="0.3">
      <c r="A1180" s="2" t="s">
        <v>1558</v>
      </c>
      <c r="B1180" s="2" t="s">
        <v>37</v>
      </c>
      <c r="C1180" s="3">
        <v>45710.138888888891</v>
      </c>
      <c r="D1180" s="2" t="s">
        <v>28</v>
      </c>
      <c r="E1180" s="4">
        <v>8249.68</v>
      </c>
      <c r="F1180" s="2" t="s">
        <v>57</v>
      </c>
      <c r="G1180" s="5">
        <v>29</v>
      </c>
      <c r="H1180" s="2" t="s">
        <v>15</v>
      </c>
      <c r="I1180" s="2" t="s">
        <v>25</v>
      </c>
      <c r="J1180" s="2" t="s">
        <v>17</v>
      </c>
      <c r="K1180" s="2" t="s">
        <v>45</v>
      </c>
    </row>
    <row r="1181" spans="1:11" x14ac:dyDescent="0.3">
      <c r="A1181" s="2" t="s">
        <v>1559</v>
      </c>
      <c r="B1181" s="2" t="s">
        <v>272</v>
      </c>
      <c r="C1181" s="3">
        <v>45846.380555555559</v>
      </c>
      <c r="D1181" s="2" t="s">
        <v>13</v>
      </c>
      <c r="E1181" s="4">
        <v>2548.58</v>
      </c>
      <c r="F1181" s="2" t="s">
        <v>14</v>
      </c>
      <c r="G1181" s="5">
        <v>42</v>
      </c>
      <c r="H1181" s="2" t="s">
        <v>29</v>
      </c>
      <c r="I1181" s="2" t="s">
        <v>60</v>
      </c>
      <c r="J1181" s="2" t="s">
        <v>17</v>
      </c>
      <c r="K1181" s="2" t="s">
        <v>45</v>
      </c>
    </row>
    <row r="1182" spans="1:11" x14ac:dyDescent="0.3">
      <c r="A1182" s="2" t="s">
        <v>1560</v>
      </c>
      <c r="B1182" s="2" t="s">
        <v>51</v>
      </c>
      <c r="C1182" s="3">
        <v>45853.195138888892</v>
      </c>
      <c r="D1182" s="2" t="s">
        <v>33</v>
      </c>
      <c r="E1182" s="4">
        <v>3321.62</v>
      </c>
      <c r="F1182" s="2" t="s">
        <v>14</v>
      </c>
      <c r="G1182" s="5">
        <v>30</v>
      </c>
      <c r="H1182" s="2" t="s">
        <v>29</v>
      </c>
      <c r="I1182" s="2" t="s">
        <v>48</v>
      </c>
      <c r="J1182" s="2" t="s">
        <v>52</v>
      </c>
      <c r="K1182" s="2" t="s">
        <v>18</v>
      </c>
    </row>
    <row r="1183" spans="1:11" x14ac:dyDescent="0.3">
      <c r="A1183" s="2" t="s">
        <v>1561</v>
      </c>
      <c r="B1183" s="2" t="s">
        <v>119</v>
      </c>
      <c r="C1183" s="3">
        <v>46004.169444444437</v>
      </c>
      <c r="D1183" s="2" t="s">
        <v>13</v>
      </c>
      <c r="E1183" s="4">
        <v>433.15</v>
      </c>
      <c r="F1183" s="2" t="s">
        <v>14</v>
      </c>
      <c r="G1183" s="5">
        <v>33</v>
      </c>
      <c r="H1183" s="2" t="s">
        <v>29</v>
      </c>
      <c r="I1183" s="2" t="s">
        <v>60</v>
      </c>
      <c r="J1183" s="2" t="s">
        <v>52</v>
      </c>
      <c r="K1183" s="2" t="s">
        <v>35</v>
      </c>
    </row>
    <row r="1184" spans="1:11" x14ac:dyDescent="0.3">
      <c r="A1184" s="2" t="s">
        <v>1562</v>
      </c>
      <c r="B1184" s="2" t="s">
        <v>476</v>
      </c>
      <c r="C1184" s="3">
        <v>45929.75</v>
      </c>
      <c r="D1184" s="2" t="s">
        <v>28</v>
      </c>
      <c r="E1184" s="4">
        <v>9339.92</v>
      </c>
      <c r="F1184" s="2" t="s">
        <v>14</v>
      </c>
      <c r="G1184" s="5">
        <v>27</v>
      </c>
      <c r="H1184" s="2" t="s">
        <v>29</v>
      </c>
      <c r="I1184" s="2" t="s">
        <v>21</v>
      </c>
      <c r="J1184" s="2" t="s">
        <v>17</v>
      </c>
      <c r="K1184" s="2" t="s">
        <v>18</v>
      </c>
    </row>
    <row r="1185" spans="1:11" x14ac:dyDescent="0.3">
      <c r="A1185" s="2" t="s">
        <v>1563</v>
      </c>
      <c r="B1185" s="2" t="s">
        <v>1401</v>
      </c>
      <c r="C1185" s="3">
        <v>45970.840277777781</v>
      </c>
      <c r="D1185" s="2" t="s">
        <v>13</v>
      </c>
      <c r="E1185" s="4">
        <v>1503.87</v>
      </c>
      <c r="F1185" s="2" t="s">
        <v>14</v>
      </c>
      <c r="G1185" s="5">
        <v>60</v>
      </c>
      <c r="H1185" s="2" t="s">
        <v>29</v>
      </c>
      <c r="I1185" s="2" t="s">
        <v>95</v>
      </c>
      <c r="J1185" s="2" t="s">
        <v>17</v>
      </c>
      <c r="K1185" s="2" t="s">
        <v>18</v>
      </c>
    </row>
    <row r="1186" spans="1:11" x14ac:dyDescent="0.3">
      <c r="A1186" s="2" t="s">
        <v>1564</v>
      </c>
      <c r="B1186" s="2" t="s">
        <v>101</v>
      </c>
      <c r="C1186" s="3">
        <v>45883.490277777782</v>
      </c>
      <c r="D1186" s="2" t="s">
        <v>33</v>
      </c>
      <c r="E1186" s="4">
        <v>2255.0700000000002</v>
      </c>
      <c r="F1186" s="2" t="s">
        <v>14</v>
      </c>
      <c r="G1186" s="5">
        <v>45</v>
      </c>
      <c r="H1186" s="2" t="s">
        <v>29</v>
      </c>
      <c r="I1186" s="2" t="s">
        <v>34</v>
      </c>
      <c r="J1186" s="2" t="s">
        <v>17</v>
      </c>
      <c r="K1186" s="2" t="s">
        <v>18</v>
      </c>
    </row>
    <row r="1187" spans="1:11" x14ac:dyDescent="0.3">
      <c r="A1187" s="2" t="s">
        <v>1565</v>
      </c>
      <c r="B1187" s="2" t="s">
        <v>372</v>
      </c>
      <c r="C1187" s="3">
        <v>45767.865972222222</v>
      </c>
      <c r="D1187" s="2" t="s">
        <v>13</v>
      </c>
      <c r="E1187" s="4">
        <v>358.84</v>
      </c>
      <c r="F1187" s="2" t="s">
        <v>14</v>
      </c>
      <c r="G1187" s="5">
        <v>28</v>
      </c>
      <c r="H1187" s="2" t="s">
        <v>29</v>
      </c>
      <c r="I1187" s="2" t="s">
        <v>25</v>
      </c>
      <c r="J1187" s="2" t="s">
        <v>17</v>
      </c>
      <c r="K1187" s="2" t="s">
        <v>18</v>
      </c>
    </row>
    <row r="1188" spans="1:11" x14ac:dyDescent="0.3">
      <c r="A1188" s="2" t="s">
        <v>1566</v>
      </c>
      <c r="B1188" s="2" t="s">
        <v>364</v>
      </c>
      <c r="C1188" s="3">
        <v>45735.568749999999</v>
      </c>
      <c r="D1188" s="2" t="s">
        <v>38</v>
      </c>
      <c r="E1188" s="4">
        <v>8668.5400000000009</v>
      </c>
      <c r="F1188" s="2" t="s">
        <v>14</v>
      </c>
      <c r="G1188" s="5">
        <v>32</v>
      </c>
      <c r="H1188" s="2" t="s">
        <v>15</v>
      </c>
      <c r="I1188" s="2" t="s">
        <v>34</v>
      </c>
      <c r="J1188" s="2" t="s">
        <v>17</v>
      </c>
      <c r="K1188" s="2" t="s">
        <v>35</v>
      </c>
    </row>
    <row r="1189" spans="1:11" x14ac:dyDescent="0.3">
      <c r="A1189" s="2" t="s">
        <v>1567</v>
      </c>
      <c r="B1189" s="2" t="s">
        <v>27</v>
      </c>
      <c r="C1189" s="3">
        <v>46009.621527777781</v>
      </c>
      <c r="D1189" s="2" t="s">
        <v>33</v>
      </c>
      <c r="E1189" s="4">
        <v>1763.06</v>
      </c>
      <c r="F1189" s="2" t="s">
        <v>14</v>
      </c>
      <c r="G1189" s="5">
        <v>35</v>
      </c>
      <c r="H1189" s="2" t="s">
        <v>29</v>
      </c>
      <c r="I1189" s="2" t="s">
        <v>30</v>
      </c>
      <c r="J1189" s="2" t="s">
        <v>17</v>
      </c>
      <c r="K1189" s="2" t="s">
        <v>45</v>
      </c>
    </row>
    <row r="1190" spans="1:11" x14ac:dyDescent="0.3">
      <c r="A1190" s="2" t="s">
        <v>1568</v>
      </c>
      <c r="B1190" s="2" t="s">
        <v>362</v>
      </c>
      <c r="C1190" s="3">
        <v>45769.122916666667</v>
      </c>
      <c r="D1190" s="2" t="s">
        <v>28</v>
      </c>
      <c r="E1190" s="4">
        <v>28059.119999999999</v>
      </c>
      <c r="F1190" s="2" t="s">
        <v>14</v>
      </c>
      <c r="G1190" s="5">
        <v>25</v>
      </c>
      <c r="H1190" s="2" t="s">
        <v>29</v>
      </c>
      <c r="I1190" s="2" t="s">
        <v>34</v>
      </c>
      <c r="J1190" s="2" t="s">
        <v>44</v>
      </c>
      <c r="K1190" s="2" t="s">
        <v>18</v>
      </c>
    </row>
    <row r="1191" spans="1:11" x14ac:dyDescent="0.3">
      <c r="A1191" s="2" t="s">
        <v>1569</v>
      </c>
      <c r="B1191" s="2" t="s">
        <v>311</v>
      </c>
      <c r="C1191" s="3">
        <v>45709.2</v>
      </c>
      <c r="D1191" s="2" t="s">
        <v>13</v>
      </c>
      <c r="E1191" s="4">
        <v>2572.3000000000002</v>
      </c>
      <c r="F1191" s="2" t="s">
        <v>14</v>
      </c>
      <c r="G1191" s="5">
        <v>56</v>
      </c>
      <c r="H1191" s="2" t="s">
        <v>29</v>
      </c>
      <c r="I1191" s="2" t="s">
        <v>60</v>
      </c>
      <c r="J1191" s="2" t="s">
        <v>49</v>
      </c>
      <c r="K1191" s="2" t="s">
        <v>35</v>
      </c>
    </row>
    <row r="1192" spans="1:11" x14ac:dyDescent="0.3">
      <c r="A1192" s="2" t="s">
        <v>1570</v>
      </c>
      <c r="B1192" s="2" t="s">
        <v>1229</v>
      </c>
      <c r="C1192" s="3">
        <v>45721.781944444447</v>
      </c>
      <c r="D1192" s="2" t="s">
        <v>28</v>
      </c>
      <c r="E1192" s="4">
        <v>5354.45</v>
      </c>
      <c r="F1192" s="2" t="s">
        <v>14</v>
      </c>
      <c r="G1192" s="5">
        <v>31</v>
      </c>
      <c r="H1192" s="2" t="s">
        <v>15</v>
      </c>
      <c r="I1192" s="2" t="s">
        <v>34</v>
      </c>
      <c r="J1192" s="2" t="s">
        <v>44</v>
      </c>
      <c r="K1192" s="2" t="s">
        <v>35</v>
      </c>
    </row>
    <row r="1193" spans="1:11" x14ac:dyDescent="0.3">
      <c r="A1193" s="2" t="s">
        <v>1571</v>
      </c>
      <c r="B1193" s="2" t="s">
        <v>692</v>
      </c>
      <c r="C1193" s="3">
        <v>45854.477083333331</v>
      </c>
      <c r="D1193" s="2" t="s">
        <v>13</v>
      </c>
      <c r="E1193" s="4">
        <v>224.81</v>
      </c>
      <c r="F1193" s="2" t="s">
        <v>14</v>
      </c>
      <c r="G1193" s="5">
        <v>41</v>
      </c>
      <c r="H1193" s="2" t="s">
        <v>15</v>
      </c>
      <c r="I1193" s="2" t="s">
        <v>25</v>
      </c>
      <c r="J1193" s="2" t="s">
        <v>17</v>
      </c>
      <c r="K1193" s="2" t="s">
        <v>22</v>
      </c>
    </row>
    <row r="1194" spans="1:11" x14ac:dyDescent="0.3">
      <c r="A1194" s="2" t="s">
        <v>1572</v>
      </c>
      <c r="B1194" s="2" t="s">
        <v>509</v>
      </c>
      <c r="C1194" s="3">
        <v>45819.177083333343</v>
      </c>
      <c r="D1194" s="2" t="s">
        <v>28</v>
      </c>
      <c r="E1194" s="4">
        <v>20272.13</v>
      </c>
      <c r="F1194" s="2" t="s">
        <v>14</v>
      </c>
      <c r="G1194" s="5">
        <v>29</v>
      </c>
      <c r="H1194" s="2" t="s">
        <v>15</v>
      </c>
      <c r="I1194" s="2" t="s">
        <v>34</v>
      </c>
      <c r="J1194" s="2" t="s">
        <v>49</v>
      </c>
      <c r="K1194" s="2" t="s">
        <v>45</v>
      </c>
    </row>
    <row r="1195" spans="1:11" x14ac:dyDescent="0.3">
      <c r="A1195" s="2" t="s">
        <v>1573</v>
      </c>
      <c r="B1195" s="2" t="s">
        <v>517</v>
      </c>
      <c r="C1195" s="3">
        <v>45799.836805555547</v>
      </c>
      <c r="D1195" s="2" t="s">
        <v>28</v>
      </c>
      <c r="E1195" s="4">
        <v>7441.75</v>
      </c>
      <c r="F1195" s="2" t="s">
        <v>122</v>
      </c>
      <c r="G1195" s="5">
        <v>34</v>
      </c>
      <c r="H1195" s="2" t="s">
        <v>15</v>
      </c>
      <c r="I1195" s="2" t="s">
        <v>48</v>
      </c>
      <c r="J1195" s="2" t="s">
        <v>17</v>
      </c>
      <c r="K1195" s="2" t="s">
        <v>35</v>
      </c>
    </row>
    <row r="1196" spans="1:11" x14ac:dyDescent="0.3">
      <c r="A1196" s="2" t="s">
        <v>1574</v>
      </c>
      <c r="B1196" s="2" t="s">
        <v>84</v>
      </c>
      <c r="C1196" s="3">
        <v>45785.734722222223</v>
      </c>
      <c r="D1196" s="2" t="s">
        <v>13</v>
      </c>
      <c r="E1196" s="4">
        <v>1510.54</v>
      </c>
      <c r="F1196" s="2" t="s">
        <v>14</v>
      </c>
      <c r="G1196" s="5">
        <v>33</v>
      </c>
      <c r="H1196" s="2" t="s">
        <v>15</v>
      </c>
      <c r="I1196" s="2" t="s">
        <v>34</v>
      </c>
      <c r="J1196" s="2" t="s">
        <v>17</v>
      </c>
      <c r="K1196" s="2" t="s">
        <v>18</v>
      </c>
    </row>
    <row r="1197" spans="1:11" x14ac:dyDescent="0.3">
      <c r="A1197" s="2" t="s">
        <v>1575</v>
      </c>
      <c r="B1197" s="2" t="s">
        <v>529</v>
      </c>
      <c r="C1197" s="3">
        <v>45965.984722222223</v>
      </c>
      <c r="D1197" s="2" t="s">
        <v>13</v>
      </c>
      <c r="E1197" s="4">
        <v>988.67</v>
      </c>
      <c r="F1197" s="2" t="s">
        <v>14</v>
      </c>
      <c r="G1197" s="5">
        <v>28</v>
      </c>
      <c r="H1197" s="2" t="s">
        <v>29</v>
      </c>
      <c r="I1197" s="2" t="s">
        <v>34</v>
      </c>
      <c r="J1197" s="2" t="s">
        <v>17</v>
      </c>
      <c r="K1197" s="2" t="s">
        <v>45</v>
      </c>
    </row>
    <row r="1198" spans="1:11" x14ac:dyDescent="0.3">
      <c r="A1198" s="2" t="s">
        <v>1576</v>
      </c>
      <c r="B1198" s="2" t="s">
        <v>483</v>
      </c>
      <c r="C1198" s="3">
        <v>45803.917361111111</v>
      </c>
      <c r="D1198" s="2" t="s">
        <v>33</v>
      </c>
      <c r="E1198" s="4">
        <v>10888.56</v>
      </c>
      <c r="F1198" s="2" t="s">
        <v>14</v>
      </c>
      <c r="G1198" s="5">
        <v>26</v>
      </c>
      <c r="H1198" s="2" t="s">
        <v>15</v>
      </c>
      <c r="I1198" s="2" t="s">
        <v>16</v>
      </c>
      <c r="J1198" s="2" t="s">
        <v>52</v>
      </c>
      <c r="K1198" s="2" t="s">
        <v>45</v>
      </c>
    </row>
    <row r="1199" spans="1:11" x14ac:dyDescent="0.3">
      <c r="A1199" s="2" t="s">
        <v>1577</v>
      </c>
      <c r="B1199" s="2" t="s">
        <v>142</v>
      </c>
      <c r="C1199" s="3">
        <v>45995.384027777778</v>
      </c>
      <c r="D1199" s="2" t="s">
        <v>28</v>
      </c>
      <c r="E1199" s="4">
        <v>53418.22</v>
      </c>
      <c r="F1199" s="2" t="s">
        <v>14</v>
      </c>
      <c r="G1199" s="5">
        <v>49</v>
      </c>
      <c r="H1199" s="2" t="s">
        <v>29</v>
      </c>
      <c r="I1199" s="2" t="s">
        <v>34</v>
      </c>
      <c r="J1199" s="2" t="s">
        <v>17</v>
      </c>
      <c r="K1199" s="2" t="s">
        <v>35</v>
      </c>
    </row>
    <row r="1200" spans="1:11" x14ac:dyDescent="0.3">
      <c r="A1200" s="2" t="s">
        <v>1578</v>
      </c>
      <c r="B1200" s="2" t="s">
        <v>406</v>
      </c>
      <c r="C1200" s="3">
        <v>45923.813888888893</v>
      </c>
      <c r="D1200" s="2" t="s">
        <v>28</v>
      </c>
      <c r="E1200" s="4">
        <v>51874.71</v>
      </c>
      <c r="F1200" s="2" t="s">
        <v>14</v>
      </c>
      <c r="G1200" s="5">
        <v>28</v>
      </c>
      <c r="H1200" s="2" t="s">
        <v>15</v>
      </c>
      <c r="I1200" s="2" t="s">
        <v>60</v>
      </c>
      <c r="J1200" s="2" t="s">
        <v>44</v>
      </c>
      <c r="K1200" s="2" t="s">
        <v>18</v>
      </c>
    </row>
    <row r="1201" spans="1:11" x14ac:dyDescent="0.3">
      <c r="A1201" s="2" t="s">
        <v>1579</v>
      </c>
      <c r="B1201" s="2" t="s">
        <v>541</v>
      </c>
      <c r="C1201" s="3">
        <v>45754.975694444453</v>
      </c>
      <c r="D1201" s="2" t="s">
        <v>28</v>
      </c>
      <c r="E1201" s="4">
        <v>31939.360000000001</v>
      </c>
      <c r="F1201" s="2" t="s">
        <v>14</v>
      </c>
      <c r="G1201" s="5">
        <v>57</v>
      </c>
      <c r="H1201" s="2" t="s">
        <v>15</v>
      </c>
      <c r="I1201" s="2" t="s">
        <v>34</v>
      </c>
      <c r="J1201" s="2" t="s">
        <v>44</v>
      </c>
      <c r="K1201" s="2" t="s">
        <v>45</v>
      </c>
    </row>
    <row r="1202" spans="1:11" x14ac:dyDescent="0.3">
      <c r="A1202" s="2" t="s">
        <v>1580</v>
      </c>
      <c r="B1202" s="2" t="s">
        <v>541</v>
      </c>
      <c r="C1202" s="3">
        <v>45809.835416666669</v>
      </c>
      <c r="D1202" s="2" t="s">
        <v>28</v>
      </c>
      <c r="E1202" s="4">
        <v>5169.1499999999996</v>
      </c>
      <c r="F1202" s="2" t="s">
        <v>57</v>
      </c>
      <c r="G1202" s="5">
        <v>57</v>
      </c>
      <c r="H1202" s="2" t="s">
        <v>15</v>
      </c>
      <c r="I1202" s="2" t="s">
        <v>34</v>
      </c>
      <c r="J1202" s="2" t="s">
        <v>44</v>
      </c>
      <c r="K1202" s="2" t="s">
        <v>18</v>
      </c>
    </row>
    <row r="1203" spans="1:11" x14ac:dyDescent="0.3">
      <c r="A1203" s="2" t="s">
        <v>1581</v>
      </c>
      <c r="B1203" s="2" t="s">
        <v>502</v>
      </c>
      <c r="C1203" s="3">
        <v>45780.64166666667</v>
      </c>
      <c r="D1203" s="2" t="s">
        <v>38</v>
      </c>
      <c r="E1203" s="4">
        <v>2185.3000000000002</v>
      </c>
      <c r="F1203" s="2" t="s">
        <v>14</v>
      </c>
      <c r="G1203" s="5">
        <v>26</v>
      </c>
      <c r="H1203" s="2" t="s">
        <v>29</v>
      </c>
      <c r="I1203" s="2" t="s">
        <v>95</v>
      </c>
      <c r="J1203" s="2" t="s">
        <v>17</v>
      </c>
      <c r="K1203" s="2" t="s">
        <v>35</v>
      </c>
    </row>
    <row r="1204" spans="1:11" x14ac:dyDescent="0.3">
      <c r="A1204" s="2" t="s">
        <v>1582</v>
      </c>
      <c r="B1204" s="2" t="s">
        <v>338</v>
      </c>
      <c r="C1204" s="3">
        <v>45715.313194444447</v>
      </c>
      <c r="D1204" s="2" t="s">
        <v>154</v>
      </c>
      <c r="E1204" s="4">
        <v>10000</v>
      </c>
      <c r="F1204" s="2" t="s">
        <v>14</v>
      </c>
      <c r="G1204" s="5">
        <v>31</v>
      </c>
      <c r="H1204" s="2" t="s">
        <v>15</v>
      </c>
      <c r="I1204" s="2" t="s">
        <v>30</v>
      </c>
      <c r="J1204" s="2" t="s">
        <v>49</v>
      </c>
      <c r="K1204" s="2" t="s">
        <v>18</v>
      </c>
    </row>
    <row r="1205" spans="1:11" x14ac:dyDescent="0.3">
      <c r="A1205" s="2" t="s">
        <v>1583</v>
      </c>
      <c r="B1205" s="2" t="s">
        <v>896</v>
      </c>
      <c r="C1205" s="3">
        <v>45984.794444444437</v>
      </c>
      <c r="D1205" s="2" t="s">
        <v>13</v>
      </c>
      <c r="E1205" s="4">
        <v>1809.97</v>
      </c>
      <c r="F1205" s="2" t="s">
        <v>14</v>
      </c>
      <c r="G1205" s="5">
        <v>50</v>
      </c>
      <c r="H1205" s="2" t="s">
        <v>15</v>
      </c>
      <c r="I1205" s="2" t="s">
        <v>78</v>
      </c>
      <c r="J1205" s="2" t="s">
        <v>49</v>
      </c>
      <c r="K1205" s="2" t="s">
        <v>18</v>
      </c>
    </row>
    <row r="1206" spans="1:11" x14ac:dyDescent="0.3">
      <c r="A1206" s="2" t="s">
        <v>1584</v>
      </c>
      <c r="B1206" s="2" t="s">
        <v>75</v>
      </c>
      <c r="C1206" s="3">
        <v>45928.015972222223</v>
      </c>
      <c r="D1206" s="2" t="s">
        <v>13</v>
      </c>
      <c r="E1206" s="4">
        <v>3207.21</v>
      </c>
      <c r="F1206" s="2" t="s">
        <v>14</v>
      </c>
      <c r="G1206" s="5">
        <v>31</v>
      </c>
      <c r="H1206" s="2" t="s">
        <v>29</v>
      </c>
      <c r="I1206" s="2" t="s">
        <v>25</v>
      </c>
      <c r="J1206" s="2" t="s">
        <v>17</v>
      </c>
      <c r="K1206" s="2" t="s">
        <v>18</v>
      </c>
    </row>
    <row r="1207" spans="1:11" x14ac:dyDescent="0.3">
      <c r="A1207" s="2" t="s">
        <v>1585</v>
      </c>
      <c r="B1207" s="2" t="s">
        <v>374</v>
      </c>
      <c r="C1207" s="3">
        <v>45820.183333333327</v>
      </c>
      <c r="D1207" s="2" t="s">
        <v>13</v>
      </c>
      <c r="E1207" s="4">
        <v>1505.95</v>
      </c>
      <c r="F1207" s="2" t="s">
        <v>14</v>
      </c>
      <c r="G1207" s="5">
        <v>28</v>
      </c>
      <c r="H1207" s="2" t="s">
        <v>29</v>
      </c>
      <c r="I1207" s="2" t="s">
        <v>21</v>
      </c>
      <c r="J1207" s="2" t="s">
        <v>17</v>
      </c>
      <c r="K1207" s="2" t="s">
        <v>45</v>
      </c>
    </row>
    <row r="1208" spans="1:11" x14ac:dyDescent="0.3">
      <c r="A1208" s="2" t="s">
        <v>1586</v>
      </c>
      <c r="B1208" s="2" t="s">
        <v>547</v>
      </c>
      <c r="C1208" s="3">
        <v>45949.557638888888</v>
      </c>
      <c r="D1208" s="2" t="s">
        <v>13</v>
      </c>
      <c r="E1208" s="4">
        <v>1279.47</v>
      </c>
      <c r="F1208" s="2" t="s">
        <v>14</v>
      </c>
      <c r="G1208" s="5">
        <v>39</v>
      </c>
      <c r="H1208" s="2" t="s">
        <v>29</v>
      </c>
      <c r="I1208" s="2" t="s">
        <v>34</v>
      </c>
      <c r="J1208" s="2" t="s">
        <v>17</v>
      </c>
      <c r="K1208" s="2" t="s">
        <v>18</v>
      </c>
    </row>
    <row r="1209" spans="1:11" x14ac:dyDescent="0.3">
      <c r="A1209" s="2" t="s">
        <v>1587</v>
      </c>
      <c r="B1209" s="2" t="s">
        <v>1086</v>
      </c>
      <c r="C1209" s="3">
        <v>45937.882638888892</v>
      </c>
      <c r="D1209" s="2" t="s">
        <v>28</v>
      </c>
      <c r="E1209" s="4">
        <v>7797.05</v>
      </c>
      <c r="F1209" s="2" t="s">
        <v>14</v>
      </c>
      <c r="G1209" s="5">
        <v>60</v>
      </c>
      <c r="H1209" s="2" t="s">
        <v>15</v>
      </c>
      <c r="I1209" s="2" t="s">
        <v>34</v>
      </c>
      <c r="J1209" s="2" t="s">
        <v>44</v>
      </c>
      <c r="K1209" s="2" t="s">
        <v>18</v>
      </c>
    </row>
    <row r="1210" spans="1:11" x14ac:dyDescent="0.3">
      <c r="A1210" s="2" t="s">
        <v>1588</v>
      </c>
      <c r="B1210" s="2" t="s">
        <v>909</v>
      </c>
      <c r="C1210" s="3">
        <v>45899.084027777782</v>
      </c>
      <c r="D1210" s="2" t="s">
        <v>154</v>
      </c>
      <c r="E1210" s="4">
        <v>20000</v>
      </c>
      <c r="F1210" s="2" t="s">
        <v>14</v>
      </c>
      <c r="G1210" s="5">
        <v>39</v>
      </c>
      <c r="H1210" s="2" t="s">
        <v>29</v>
      </c>
      <c r="I1210" s="2" t="s">
        <v>48</v>
      </c>
      <c r="J1210" s="2" t="s">
        <v>44</v>
      </c>
      <c r="K1210" s="2" t="s">
        <v>35</v>
      </c>
    </row>
    <row r="1211" spans="1:11" x14ac:dyDescent="0.3">
      <c r="A1211" s="2" t="s">
        <v>1589</v>
      </c>
      <c r="B1211" s="2" t="s">
        <v>1387</v>
      </c>
      <c r="C1211" s="3">
        <v>45958.083333333343</v>
      </c>
      <c r="D1211" s="2" t="s">
        <v>28</v>
      </c>
      <c r="E1211" s="4">
        <v>7131.27</v>
      </c>
      <c r="F1211" s="2" t="s">
        <v>14</v>
      </c>
      <c r="G1211" s="5">
        <v>29</v>
      </c>
      <c r="H1211" s="2" t="s">
        <v>29</v>
      </c>
      <c r="I1211" s="2" t="s">
        <v>25</v>
      </c>
      <c r="J1211" s="2" t="s">
        <v>17</v>
      </c>
      <c r="K1211" s="2" t="s">
        <v>45</v>
      </c>
    </row>
    <row r="1212" spans="1:11" x14ac:dyDescent="0.3">
      <c r="A1212" s="2" t="s">
        <v>1590</v>
      </c>
      <c r="B1212" s="2" t="s">
        <v>1205</v>
      </c>
      <c r="C1212" s="3">
        <v>45792.251388888893</v>
      </c>
      <c r="D1212" s="2" t="s">
        <v>28</v>
      </c>
      <c r="E1212" s="4">
        <v>17653.93</v>
      </c>
      <c r="F1212" s="2" t="s">
        <v>57</v>
      </c>
      <c r="G1212" s="5">
        <v>42</v>
      </c>
      <c r="H1212" s="2" t="s">
        <v>29</v>
      </c>
      <c r="I1212" s="2" t="s">
        <v>21</v>
      </c>
      <c r="J1212" s="2" t="s">
        <v>17</v>
      </c>
      <c r="K1212" s="2" t="s">
        <v>45</v>
      </c>
    </row>
    <row r="1213" spans="1:11" x14ac:dyDescent="0.3">
      <c r="A1213" s="2" t="s">
        <v>1591</v>
      </c>
      <c r="B1213" s="2" t="s">
        <v>254</v>
      </c>
      <c r="C1213" s="3">
        <v>45688.522222222222</v>
      </c>
      <c r="D1213" s="2" t="s">
        <v>28</v>
      </c>
      <c r="E1213" s="4">
        <v>1624.6</v>
      </c>
      <c r="F1213" s="2" t="s">
        <v>14</v>
      </c>
      <c r="G1213" s="5">
        <v>36</v>
      </c>
      <c r="H1213" s="2" t="s">
        <v>29</v>
      </c>
      <c r="I1213" s="2" t="s">
        <v>34</v>
      </c>
      <c r="J1213" s="2" t="s">
        <v>17</v>
      </c>
      <c r="K1213" s="2" t="s">
        <v>18</v>
      </c>
    </row>
    <row r="1214" spans="1:11" x14ac:dyDescent="0.3">
      <c r="A1214" s="2" t="s">
        <v>1592</v>
      </c>
      <c r="B1214" s="2" t="s">
        <v>433</v>
      </c>
      <c r="C1214" s="3">
        <v>45804.864583333343</v>
      </c>
      <c r="D1214" s="2" t="s">
        <v>13</v>
      </c>
      <c r="E1214" s="4">
        <v>2058.13</v>
      </c>
      <c r="F1214" s="2" t="s">
        <v>14</v>
      </c>
      <c r="G1214" s="5">
        <v>25</v>
      </c>
      <c r="H1214" s="2" t="s">
        <v>15</v>
      </c>
      <c r="I1214" s="2" t="s">
        <v>34</v>
      </c>
      <c r="J1214" s="2" t="s">
        <v>49</v>
      </c>
      <c r="K1214" s="2" t="s">
        <v>18</v>
      </c>
    </row>
    <row r="1215" spans="1:11" x14ac:dyDescent="0.3">
      <c r="A1215" s="2" t="s">
        <v>1593</v>
      </c>
      <c r="B1215" s="2" t="s">
        <v>427</v>
      </c>
      <c r="C1215" s="3">
        <v>45914.560416666667</v>
      </c>
      <c r="D1215" s="2" t="s">
        <v>33</v>
      </c>
      <c r="E1215" s="4">
        <v>708.4</v>
      </c>
      <c r="F1215" s="2" t="s">
        <v>14</v>
      </c>
      <c r="G1215" s="5">
        <v>44</v>
      </c>
      <c r="H1215" s="2" t="s">
        <v>29</v>
      </c>
      <c r="I1215" s="2" t="s">
        <v>34</v>
      </c>
      <c r="J1215" s="2" t="s">
        <v>17</v>
      </c>
      <c r="K1215" s="2" t="s">
        <v>45</v>
      </c>
    </row>
    <row r="1216" spans="1:11" x14ac:dyDescent="0.3">
      <c r="A1216" s="2" t="s">
        <v>1594</v>
      </c>
      <c r="B1216" s="2" t="s">
        <v>183</v>
      </c>
      <c r="C1216" s="3">
        <v>46017.503472222219</v>
      </c>
      <c r="D1216" s="2" t="s">
        <v>28</v>
      </c>
      <c r="E1216" s="4">
        <v>5726.65</v>
      </c>
      <c r="F1216" s="2" t="s">
        <v>14</v>
      </c>
      <c r="G1216" s="5">
        <v>19</v>
      </c>
      <c r="H1216" s="2" t="s">
        <v>29</v>
      </c>
      <c r="I1216" s="2" t="s">
        <v>78</v>
      </c>
      <c r="J1216" s="2" t="s">
        <v>44</v>
      </c>
      <c r="K1216" s="2" t="s">
        <v>18</v>
      </c>
    </row>
    <row r="1217" spans="1:11" x14ac:dyDescent="0.3">
      <c r="A1217" s="2" t="s">
        <v>1595</v>
      </c>
      <c r="B1217" s="2" t="s">
        <v>517</v>
      </c>
      <c r="C1217" s="3">
        <v>45985.731944444437</v>
      </c>
      <c r="D1217" s="2" t="s">
        <v>28</v>
      </c>
      <c r="E1217" s="4">
        <v>17078.77</v>
      </c>
      <c r="F1217" s="2" t="s">
        <v>14</v>
      </c>
      <c r="G1217" s="5">
        <v>34</v>
      </c>
      <c r="H1217" s="2" t="s">
        <v>15</v>
      </c>
      <c r="I1217" s="2" t="s">
        <v>48</v>
      </c>
      <c r="J1217" s="2" t="s">
        <v>17</v>
      </c>
      <c r="K1217" s="2" t="s">
        <v>45</v>
      </c>
    </row>
    <row r="1218" spans="1:11" x14ac:dyDescent="0.3">
      <c r="A1218" s="2" t="s">
        <v>1596</v>
      </c>
      <c r="B1218" s="2" t="s">
        <v>792</v>
      </c>
      <c r="C1218" s="3">
        <v>45973.178472222222</v>
      </c>
      <c r="D1218" s="2" t="s">
        <v>33</v>
      </c>
      <c r="E1218" s="4">
        <v>17402.21</v>
      </c>
      <c r="F1218" s="2" t="s">
        <v>14</v>
      </c>
      <c r="G1218" s="5">
        <v>28</v>
      </c>
      <c r="H1218" s="2" t="s">
        <v>29</v>
      </c>
      <c r="I1218" s="2" t="s">
        <v>34</v>
      </c>
      <c r="J1218" s="2" t="s">
        <v>17</v>
      </c>
      <c r="K1218" s="2" t="s">
        <v>45</v>
      </c>
    </row>
    <row r="1219" spans="1:11" x14ac:dyDescent="0.3">
      <c r="A1219" s="2" t="s">
        <v>1597</v>
      </c>
      <c r="B1219" s="2" t="s">
        <v>54</v>
      </c>
      <c r="C1219" s="3">
        <v>45700.378472222219</v>
      </c>
      <c r="D1219" s="2" t="s">
        <v>28</v>
      </c>
      <c r="E1219" s="4">
        <v>2139.83</v>
      </c>
      <c r="F1219" s="2" t="s">
        <v>14</v>
      </c>
      <c r="G1219" s="5">
        <v>60</v>
      </c>
      <c r="H1219" s="2" t="s">
        <v>29</v>
      </c>
      <c r="I1219" s="2" t="s">
        <v>34</v>
      </c>
      <c r="J1219" s="2" t="s">
        <v>49</v>
      </c>
      <c r="K1219" s="2" t="s">
        <v>18</v>
      </c>
    </row>
    <row r="1220" spans="1:11" x14ac:dyDescent="0.3">
      <c r="A1220" s="2" t="s">
        <v>1598</v>
      </c>
      <c r="B1220" s="2" t="s">
        <v>1201</v>
      </c>
      <c r="C1220" s="3">
        <v>45919.285416666673</v>
      </c>
      <c r="D1220" s="2" t="s">
        <v>13</v>
      </c>
      <c r="E1220" s="4">
        <v>2633.54</v>
      </c>
      <c r="F1220" s="2" t="s">
        <v>14</v>
      </c>
      <c r="G1220" s="5">
        <v>44</v>
      </c>
      <c r="H1220" s="2" t="s">
        <v>15</v>
      </c>
      <c r="I1220" s="2" t="s">
        <v>25</v>
      </c>
      <c r="J1220" s="2" t="s">
        <v>44</v>
      </c>
      <c r="K1220" s="2" t="s">
        <v>18</v>
      </c>
    </row>
    <row r="1221" spans="1:11" x14ac:dyDescent="0.3">
      <c r="A1221" s="2" t="s">
        <v>1599</v>
      </c>
      <c r="B1221" s="2" t="s">
        <v>158</v>
      </c>
      <c r="C1221" s="3">
        <v>45737.722222222219</v>
      </c>
      <c r="D1221" s="2" t="s">
        <v>38</v>
      </c>
      <c r="E1221" s="4">
        <v>2349.69</v>
      </c>
      <c r="F1221" s="2" t="s">
        <v>14</v>
      </c>
      <c r="G1221" s="5">
        <v>30</v>
      </c>
      <c r="H1221" s="2" t="s">
        <v>29</v>
      </c>
      <c r="I1221" s="2" t="s">
        <v>34</v>
      </c>
      <c r="J1221" s="2" t="s">
        <v>44</v>
      </c>
      <c r="K1221" s="2" t="s">
        <v>35</v>
      </c>
    </row>
    <row r="1222" spans="1:11" x14ac:dyDescent="0.3">
      <c r="A1222" s="2" t="s">
        <v>1600</v>
      </c>
      <c r="B1222" s="2" t="s">
        <v>1171</v>
      </c>
      <c r="C1222" s="3">
        <v>45858.777777777781</v>
      </c>
      <c r="D1222" s="2" t="s">
        <v>13</v>
      </c>
      <c r="E1222" s="4">
        <v>1014.27</v>
      </c>
      <c r="F1222" s="2" t="s">
        <v>14</v>
      </c>
      <c r="G1222" s="5">
        <v>32</v>
      </c>
      <c r="H1222" s="2" t="s">
        <v>29</v>
      </c>
      <c r="I1222" s="2" t="s">
        <v>34</v>
      </c>
      <c r="J1222" s="2" t="s">
        <v>17</v>
      </c>
      <c r="K1222" s="2" t="s">
        <v>45</v>
      </c>
    </row>
    <row r="1223" spans="1:11" x14ac:dyDescent="0.3">
      <c r="A1223" s="2" t="s">
        <v>1601</v>
      </c>
      <c r="B1223" s="2" t="s">
        <v>1171</v>
      </c>
      <c r="C1223" s="3">
        <v>45990.90347222222</v>
      </c>
      <c r="D1223" s="2" t="s">
        <v>33</v>
      </c>
      <c r="E1223" s="4">
        <v>10859.83</v>
      </c>
      <c r="F1223" s="2" t="s">
        <v>57</v>
      </c>
      <c r="G1223" s="5">
        <v>32</v>
      </c>
      <c r="H1223" s="2" t="s">
        <v>29</v>
      </c>
      <c r="I1223" s="2" t="s">
        <v>34</v>
      </c>
      <c r="J1223" s="2" t="s">
        <v>17</v>
      </c>
      <c r="K1223" s="2" t="s">
        <v>45</v>
      </c>
    </row>
    <row r="1224" spans="1:11" x14ac:dyDescent="0.3">
      <c r="A1224" s="2" t="s">
        <v>1602</v>
      </c>
      <c r="B1224" s="2" t="s">
        <v>631</v>
      </c>
      <c r="C1224" s="3">
        <v>45691.405555555553</v>
      </c>
      <c r="D1224" s="2" t="s">
        <v>13</v>
      </c>
      <c r="E1224" s="4">
        <v>1695.72</v>
      </c>
      <c r="F1224" s="2" t="s">
        <v>14</v>
      </c>
      <c r="G1224" s="5">
        <v>27</v>
      </c>
      <c r="H1224" s="2" t="s">
        <v>29</v>
      </c>
      <c r="I1224" s="2" t="s">
        <v>34</v>
      </c>
      <c r="J1224" s="2" t="s">
        <v>17</v>
      </c>
      <c r="K1224" s="2" t="s">
        <v>18</v>
      </c>
    </row>
    <row r="1225" spans="1:11" x14ac:dyDescent="0.3">
      <c r="A1225" s="2" t="s">
        <v>1603</v>
      </c>
      <c r="B1225" s="2" t="s">
        <v>1337</v>
      </c>
      <c r="C1225" s="3">
        <v>45881.995833333327</v>
      </c>
      <c r="D1225" s="2" t="s">
        <v>28</v>
      </c>
      <c r="E1225" s="4">
        <v>15604.98</v>
      </c>
      <c r="F1225" s="2" t="s">
        <v>14</v>
      </c>
      <c r="G1225" s="5">
        <v>38</v>
      </c>
      <c r="H1225" s="2" t="s">
        <v>15</v>
      </c>
      <c r="I1225" s="2" t="s">
        <v>21</v>
      </c>
      <c r="J1225" s="2" t="s">
        <v>17</v>
      </c>
      <c r="K1225" s="2" t="s">
        <v>22</v>
      </c>
    </row>
    <row r="1226" spans="1:11" x14ac:dyDescent="0.3">
      <c r="A1226" s="2" t="s">
        <v>1604</v>
      </c>
      <c r="B1226" s="2" t="s">
        <v>649</v>
      </c>
      <c r="C1226" s="3">
        <v>45780.052083333343</v>
      </c>
      <c r="D1226" s="2" t="s">
        <v>13</v>
      </c>
      <c r="E1226" s="4">
        <v>2183.25</v>
      </c>
      <c r="F1226" s="2" t="s">
        <v>14</v>
      </c>
      <c r="G1226" s="5">
        <v>24</v>
      </c>
      <c r="H1226" s="2" t="s">
        <v>29</v>
      </c>
      <c r="I1226" s="2" t="s">
        <v>48</v>
      </c>
      <c r="J1226" s="2" t="s">
        <v>17</v>
      </c>
      <c r="K1226" s="2" t="s">
        <v>45</v>
      </c>
    </row>
    <row r="1227" spans="1:11" x14ac:dyDescent="0.3">
      <c r="A1227" s="2" t="s">
        <v>1605</v>
      </c>
      <c r="B1227" s="2" t="s">
        <v>1194</v>
      </c>
      <c r="C1227" s="3">
        <v>45702.546527777777</v>
      </c>
      <c r="D1227" s="2" t="s">
        <v>28</v>
      </c>
      <c r="E1227" s="4">
        <v>13208.91</v>
      </c>
      <c r="F1227" s="2" t="s">
        <v>14</v>
      </c>
      <c r="G1227" s="5">
        <v>57</v>
      </c>
      <c r="H1227" s="2" t="s">
        <v>29</v>
      </c>
      <c r="I1227" s="2" t="s">
        <v>16</v>
      </c>
      <c r="J1227" s="2" t="s">
        <v>44</v>
      </c>
      <c r="K1227" s="2" t="s">
        <v>18</v>
      </c>
    </row>
    <row r="1228" spans="1:11" x14ac:dyDescent="0.3">
      <c r="A1228" s="2" t="s">
        <v>1606</v>
      </c>
      <c r="B1228" s="2" t="s">
        <v>73</v>
      </c>
      <c r="C1228" s="3">
        <v>45890.818055555559</v>
      </c>
      <c r="D1228" s="2" t="s">
        <v>33</v>
      </c>
      <c r="E1228" s="4">
        <v>21303.25</v>
      </c>
      <c r="F1228" s="2" t="s">
        <v>14</v>
      </c>
      <c r="G1228" s="5">
        <v>33</v>
      </c>
      <c r="H1228" s="2" t="s">
        <v>15</v>
      </c>
      <c r="I1228" s="2" t="s">
        <v>21</v>
      </c>
      <c r="J1228" s="2" t="s">
        <v>49</v>
      </c>
      <c r="K1228" s="2" t="s">
        <v>18</v>
      </c>
    </row>
    <row r="1229" spans="1:11" x14ac:dyDescent="0.3">
      <c r="A1229" s="2" t="s">
        <v>1607</v>
      </c>
      <c r="B1229" s="2" t="s">
        <v>502</v>
      </c>
      <c r="C1229" s="3">
        <v>45686.404166666667</v>
      </c>
      <c r="D1229" s="2" t="s">
        <v>33</v>
      </c>
      <c r="E1229" s="4">
        <v>26956.83</v>
      </c>
      <c r="F1229" s="2" t="s">
        <v>14</v>
      </c>
      <c r="G1229" s="5">
        <v>26</v>
      </c>
      <c r="H1229" s="2" t="s">
        <v>29</v>
      </c>
      <c r="I1229" s="2" t="s">
        <v>95</v>
      </c>
      <c r="J1229" s="2" t="s">
        <v>17</v>
      </c>
      <c r="K1229" s="2" t="s">
        <v>18</v>
      </c>
    </row>
    <row r="1230" spans="1:11" x14ac:dyDescent="0.3">
      <c r="A1230" s="2" t="s">
        <v>1608</v>
      </c>
      <c r="B1230" s="2" t="s">
        <v>268</v>
      </c>
      <c r="C1230" s="3">
        <v>45994.96597222222</v>
      </c>
      <c r="D1230" s="2" t="s">
        <v>13</v>
      </c>
      <c r="E1230" s="4">
        <v>3507.22</v>
      </c>
      <c r="F1230" s="2" t="s">
        <v>14</v>
      </c>
      <c r="G1230" s="5">
        <v>36</v>
      </c>
      <c r="H1230" s="2" t="s">
        <v>29</v>
      </c>
      <c r="I1230" s="2" t="s">
        <v>25</v>
      </c>
      <c r="J1230" s="2" t="s">
        <v>17</v>
      </c>
      <c r="K1230" s="2" t="s">
        <v>18</v>
      </c>
    </row>
    <row r="1231" spans="1:11" x14ac:dyDescent="0.3">
      <c r="A1231" s="2" t="s">
        <v>1609</v>
      </c>
      <c r="B1231" s="2" t="s">
        <v>217</v>
      </c>
      <c r="C1231" s="3">
        <v>45719.03125</v>
      </c>
      <c r="D1231" s="2" t="s">
        <v>28</v>
      </c>
      <c r="E1231" s="4">
        <v>19828.02</v>
      </c>
      <c r="F1231" s="2" t="s">
        <v>14</v>
      </c>
      <c r="G1231" s="5">
        <v>57</v>
      </c>
      <c r="H1231" s="2" t="s">
        <v>15</v>
      </c>
      <c r="I1231" s="2" t="s">
        <v>34</v>
      </c>
      <c r="J1231" s="2" t="s">
        <v>44</v>
      </c>
      <c r="K1231" s="2" t="s">
        <v>18</v>
      </c>
    </row>
    <row r="1232" spans="1:11" x14ac:dyDescent="0.3">
      <c r="A1232" s="2" t="s">
        <v>1610</v>
      </c>
      <c r="B1232" s="2" t="s">
        <v>84</v>
      </c>
      <c r="C1232" s="3">
        <v>45728.916666666657</v>
      </c>
      <c r="D1232" s="2" t="s">
        <v>28</v>
      </c>
      <c r="E1232" s="4">
        <v>16117.27</v>
      </c>
      <c r="F1232" s="2" t="s">
        <v>14</v>
      </c>
      <c r="G1232" s="5">
        <v>33</v>
      </c>
      <c r="H1232" s="2" t="s">
        <v>15</v>
      </c>
      <c r="I1232" s="2" t="s">
        <v>34</v>
      </c>
      <c r="J1232" s="2" t="s">
        <v>17</v>
      </c>
      <c r="K1232" s="2" t="s">
        <v>22</v>
      </c>
    </row>
    <row r="1233" spans="1:11" x14ac:dyDescent="0.3">
      <c r="A1233" s="2" t="s">
        <v>1611</v>
      </c>
      <c r="B1233" s="2" t="s">
        <v>388</v>
      </c>
      <c r="C1233" s="3">
        <v>45741.640277777777</v>
      </c>
      <c r="D1233" s="2" t="s">
        <v>13</v>
      </c>
      <c r="E1233" s="4">
        <v>718.26</v>
      </c>
      <c r="F1233" s="2" t="s">
        <v>14</v>
      </c>
      <c r="G1233" s="5">
        <v>31</v>
      </c>
      <c r="H1233" s="2" t="s">
        <v>15</v>
      </c>
      <c r="I1233" s="2" t="s">
        <v>34</v>
      </c>
      <c r="J1233" s="2" t="s">
        <v>17</v>
      </c>
      <c r="K1233" s="2" t="s">
        <v>18</v>
      </c>
    </row>
    <row r="1234" spans="1:11" x14ac:dyDescent="0.3">
      <c r="A1234" s="2" t="s">
        <v>1612</v>
      </c>
      <c r="B1234" s="2" t="s">
        <v>121</v>
      </c>
      <c r="C1234" s="3">
        <v>45925.701388888891</v>
      </c>
      <c r="D1234" s="2" t="s">
        <v>28</v>
      </c>
      <c r="E1234" s="4">
        <v>38682.75</v>
      </c>
      <c r="F1234" s="2" t="s">
        <v>14</v>
      </c>
      <c r="G1234" s="5">
        <v>21</v>
      </c>
      <c r="H1234" s="2" t="s">
        <v>29</v>
      </c>
      <c r="I1234" s="2" t="s">
        <v>16</v>
      </c>
      <c r="J1234" s="2" t="s">
        <v>17</v>
      </c>
      <c r="K1234" s="2" t="s">
        <v>18</v>
      </c>
    </row>
    <row r="1235" spans="1:11" x14ac:dyDescent="0.3">
      <c r="A1235" s="2" t="s">
        <v>1613</v>
      </c>
      <c r="B1235" s="2" t="s">
        <v>140</v>
      </c>
      <c r="C1235" s="3">
        <v>45790.224305555559</v>
      </c>
      <c r="D1235" s="2" t="s">
        <v>13</v>
      </c>
      <c r="E1235" s="4">
        <v>1632.81</v>
      </c>
      <c r="F1235" s="2" t="s">
        <v>14</v>
      </c>
      <c r="G1235" s="5">
        <v>49</v>
      </c>
      <c r="H1235" s="2" t="s">
        <v>15</v>
      </c>
      <c r="I1235" s="2" t="s">
        <v>21</v>
      </c>
      <c r="J1235" s="2" t="s">
        <v>44</v>
      </c>
      <c r="K1235" s="2" t="s">
        <v>35</v>
      </c>
    </row>
    <row r="1236" spans="1:11" x14ac:dyDescent="0.3">
      <c r="A1236" s="2" t="s">
        <v>1614</v>
      </c>
      <c r="B1236" s="2" t="s">
        <v>896</v>
      </c>
      <c r="C1236" s="3">
        <v>45722.992361111108</v>
      </c>
      <c r="D1236" s="2" t="s">
        <v>13</v>
      </c>
      <c r="E1236" s="4">
        <v>1259.26</v>
      </c>
      <c r="F1236" s="2" t="s">
        <v>14</v>
      </c>
      <c r="G1236" s="5">
        <v>50</v>
      </c>
      <c r="H1236" s="2" t="s">
        <v>15</v>
      </c>
      <c r="I1236" s="2" t="s">
        <v>78</v>
      </c>
      <c r="J1236" s="2" t="s">
        <v>49</v>
      </c>
      <c r="K1236" s="2" t="s">
        <v>18</v>
      </c>
    </row>
    <row r="1237" spans="1:11" x14ac:dyDescent="0.3">
      <c r="A1237" s="2" t="s">
        <v>1615</v>
      </c>
      <c r="B1237" s="2" t="s">
        <v>1616</v>
      </c>
      <c r="C1237" s="3">
        <v>45795.99722222222</v>
      </c>
      <c r="D1237" s="2" t="s">
        <v>33</v>
      </c>
      <c r="E1237" s="4">
        <v>16145.09</v>
      </c>
      <c r="F1237" s="2" t="s">
        <v>14</v>
      </c>
      <c r="G1237" s="5">
        <v>29</v>
      </c>
      <c r="H1237" s="2" t="s">
        <v>15</v>
      </c>
      <c r="I1237" s="2" t="s">
        <v>34</v>
      </c>
      <c r="J1237" s="2" t="s">
        <v>17</v>
      </c>
      <c r="K1237" s="2" t="s">
        <v>35</v>
      </c>
    </row>
    <row r="1238" spans="1:11" x14ac:dyDescent="0.3">
      <c r="A1238" s="2" t="s">
        <v>1617</v>
      </c>
      <c r="B1238" s="2" t="s">
        <v>1214</v>
      </c>
      <c r="C1238" s="3">
        <v>45718.01458333333</v>
      </c>
      <c r="D1238" s="2" t="s">
        <v>38</v>
      </c>
      <c r="E1238" s="4">
        <v>3578</v>
      </c>
      <c r="F1238" s="2" t="s">
        <v>14</v>
      </c>
      <c r="G1238" s="5">
        <v>54</v>
      </c>
      <c r="H1238" s="2" t="s">
        <v>29</v>
      </c>
      <c r="I1238" s="2" t="s">
        <v>95</v>
      </c>
      <c r="J1238" s="2" t="s">
        <v>52</v>
      </c>
      <c r="K1238" s="2" t="s">
        <v>22</v>
      </c>
    </row>
    <row r="1239" spans="1:11" x14ac:dyDescent="0.3">
      <c r="A1239" s="2" t="s">
        <v>1618</v>
      </c>
      <c r="B1239" s="2" t="s">
        <v>71</v>
      </c>
      <c r="C1239" s="3">
        <v>45877.356249999997</v>
      </c>
      <c r="D1239" s="2" t="s">
        <v>38</v>
      </c>
      <c r="E1239" s="4">
        <v>16444.77</v>
      </c>
      <c r="F1239" s="2" t="s">
        <v>57</v>
      </c>
      <c r="G1239" s="5">
        <v>42</v>
      </c>
      <c r="H1239" s="2" t="s">
        <v>15</v>
      </c>
      <c r="I1239" s="2" t="s">
        <v>60</v>
      </c>
      <c r="J1239" s="2" t="s">
        <v>17</v>
      </c>
      <c r="K1239" s="2" t="s">
        <v>22</v>
      </c>
    </row>
    <row r="1240" spans="1:11" x14ac:dyDescent="0.3">
      <c r="A1240" s="2" t="s">
        <v>1619</v>
      </c>
      <c r="B1240" s="2" t="s">
        <v>146</v>
      </c>
      <c r="C1240" s="3">
        <v>45690.364583333343</v>
      </c>
      <c r="D1240" s="2" t="s">
        <v>28</v>
      </c>
      <c r="E1240" s="4">
        <v>70276.62</v>
      </c>
      <c r="F1240" s="2" t="s">
        <v>57</v>
      </c>
      <c r="G1240" s="5">
        <v>24</v>
      </c>
      <c r="H1240" s="2" t="s">
        <v>15</v>
      </c>
      <c r="I1240" s="2" t="s">
        <v>60</v>
      </c>
      <c r="J1240" s="2" t="s">
        <v>17</v>
      </c>
      <c r="K1240" s="2" t="s">
        <v>18</v>
      </c>
    </row>
    <row r="1241" spans="1:11" x14ac:dyDescent="0.3">
      <c r="A1241" s="2" t="s">
        <v>1620</v>
      </c>
      <c r="B1241" s="2" t="s">
        <v>688</v>
      </c>
      <c r="C1241" s="3">
        <v>45953.836111111108</v>
      </c>
      <c r="D1241" s="2" t="s">
        <v>28</v>
      </c>
      <c r="E1241" s="4">
        <v>52010.74</v>
      </c>
      <c r="F1241" s="2" t="s">
        <v>14</v>
      </c>
      <c r="G1241" s="5">
        <v>24</v>
      </c>
      <c r="H1241" s="2" t="s">
        <v>29</v>
      </c>
      <c r="I1241" s="2" t="s">
        <v>34</v>
      </c>
      <c r="J1241" s="2" t="s">
        <v>44</v>
      </c>
      <c r="K1241" s="2" t="s">
        <v>45</v>
      </c>
    </row>
    <row r="1242" spans="1:11" x14ac:dyDescent="0.3">
      <c r="A1242" s="2" t="s">
        <v>1621</v>
      </c>
      <c r="B1242" s="2" t="s">
        <v>179</v>
      </c>
      <c r="C1242" s="3">
        <v>45912.605555555558</v>
      </c>
      <c r="D1242" s="2" t="s">
        <v>33</v>
      </c>
      <c r="E1242" s="4">
        <v>1892.52</v>
      </c>
      <c r="F1242" s="2" t="s">
        <v>14</v>
      </c>
      <c r="G1242" s="5">
        <v>38</v>
      </c>
      <c r="H1242" s="2" t="s">
        <v>15</v>
      </c>
      <c r="I1242" s="2" t="s">
        <v>34</v>
      </c>
      <c r="J1242" s="2" t="s">
        <v>17</v>
      </c>
      <c r="K1242" s="2" t="s">
        <v>35</v>
      </c>
    </row>
    <row r="1243" spans="1:11" x14ac:dyDescent="0.3">
      <c r="A1243" s="2" t="s">
        <v>1622</v>
      </c>
      <c r="B1243" s="2" t="s">
        <v>221</v>
      </c>
      <c r="C1243" s="3">
        <v>45842.063194444447</v>
      </c>
      <c r="D1243" s="2" t="s">
        <v>154</v>
      </c>
      <c r="E1243" s="4">
        <v>40000</v>
      </c>
      <c r="F1243" s="2" t="s">
        <v>14</v>
      </c>
      <c r="G1243" s="5">
        <v>43</v>
      </c>
      <c r="H1243" s="2" t="s">
        <v>15</v>
      </c>
      <c r="I1243" s="2" t="s">
        <v>60</v>
      </c>
      <c r="J1243" s="2" t="s">
        <v>49</v>
      </c>
      <c r="K1243" s="2" t="s">
        <v>35</v>
      </c>
    </row>
    <row r="1244" spans="1:11" x14ac:dyDescent="0.3">
      <c r="A1244" s="2" t="s">
        <v>1623</v>
      </c>
      <c r="B1244" s="2" t="s">
        <v>67</v>
      </c>
      <c r="C1244" s="3">
        <v>45948.224305555559</v>
      </c>
      <c r="D1244" s="2" t="s">
        <v>13</v>
      </c>
      <c r="E1244" s="4">
        <v>2313.38</v>
      </c>
      <c r="F1244" s="2" t="s">
        <v>14</v>
      </c>
      <c r="G1244" s="5">
        <v>29</v>
      </c>
      <c r="H1244" s="2" t="s">
        <v>15</v>
      </c>
      <c r="I1244" s="2" t="s">
        <v>34</v>
      </c>
      <c r="J1244" s="2" t="s">
        <v>44</v>
      </c>
      <c r="K1244" s="2" t="s">
        <v>22</v>
      </c>
    </row>
    <row r="1245" spans="1:11" x14ac:dyDescent="0.3">
      <c r="A1245" s="2" t="s">
        <v>1624</v>
      </c>
      <c r="B1245" s="2" t="s">
        <v>1616</v>
      </c>
      <c r="C1245" s="3">
        <v>45738.367361111108</v>
      </c>
      <c r="D1245" s="2" t="s">
        <v>154</v>
      </c>
      <c r="E1245" s="4">
        <v>5000</v>
      </c>
      <c r="F1245" s="2" t="s">
        <v>14</v>
      </c>
      <c r="G1245" s="5">
        <v>29</v>
      </c>
      <c r="H1245" s="2" t="s">
        <v>15</v>
      </c>
      <c r="I1245" s="2" t="s">
        <v>34</v>
      </c>
      <c r="J1245" s="2" t="s">
        <v>17</v>
      </c>
      <c r="K1245" s="2" t="s">
        <v>18</v>
      </c>
    </row>
    <row r="1246" spans="1:11" x14ac:dyDescent="0.3">
      <c r="A1246" s="2" t="s">
        <v>1625</v>
      </c>
      <c r="B1246" s="2" t="s">
        <v>1040</v>
      </c>
      <c r="C1246" s="3">
        <v>45710.779861111107</v>
      </c>
      <c r="D1246" s="2" t="s">
        <v>13</v>
      </c>
      <c r="E1246" s="4">
        <v>1838.37</v>
      </c>
      <c r="F1246" s="2" t="s">
        <v>14</v>
      </c>
      <c r="G1246" s="5">
        <v>43</v>
      </c>
      <c r="H1246" s="2" t="s">
        <v>15</v>
      </c>
      <c r="I1246" s="2" t="s">
        <v>25</v>
      </c>
      <c r="J1246" s="2" t="s">
        <v>44</v>
      </c>
      <c r="K1246" s="2" t="s">
        <v>18</v>
      </c>
    </row>
    <row r="1247" spans="1:11" x14ac:dyDescent="0.3">
      <c r="A1247" s="2" t="s">
        <v>1626</v>
      </c>
      <c r="B1247" s="2" t="s">
        <v>134</v>
      </c>
      <c r="C1247" s="3">
        <v>45717.324305555558</v>
      </c>
      <c r="D1247" s="2" t="s">
        <v>13</v>
      </c>
      <c r="E1247" s="4">
        <v>598.29</v>
      </c>
      <c r="F1247" s="2" t="s">
        <v>14</v>
      </c>
      <c r="G1247" s="5">
        <v>26</v>
      </c>
      <c r="H1247" s="2" t="s">
        <v>15</v>
      </c>
      <c r="I1247" s="2" t="s">
        <v>25</v>
      </c>
      <c r="J1247" s="2" t="s">
        <v>49</v>
      </c>
      <c r="K1247" s="2" t="s">
        <v>18</v>
      </c>
    </row>
    <row r="1248" spans="1:11" x14ac:dyDescent="0.3">
      <c r="A1248" s="2" t="s">
        <v>1627</v>
      </c>
      <c r="B1248" s="2" t="s">
        <v>943</v>
      </c>
      <c r="C1248" s="3">
        <v>45918.001388888893</v>
      </c>
      <c r="D1248" s="2" t="s">
        <v>38</v>
      </c>
      <c r="E1248" s="4">
        <v>10910.38</v>
      </c>
      <c r="F1248" s="2" t="s">
        <v>14</v>
      </c>
      <c r="G1248" s="5">
        <v>32</v>
      </c>
      <c r="H1248" s="2" t="s">
        <v>15</v>
      </c>
      <c r="I1248" s="2" t="s">
        <v>95</v>
      </c>
      <c r="J1248" s="2" t="s">
        <v>44</v>
      </c>
      <c r="K1248" s="2" t="s">
        <v>45</v>
      </c>
    </row>
    <row r="1249" spans="1:11" x14ac:dyDescent="0.3">
      <c r="A1249" s="2" t="s">
        <v>1628</v>
      </c>
      <c r="B1249" s="2" t="s">
        <v>272</v>
      </c>
      <c r="C1249" s="3">
        <v>45664.293055555558</v>
      </c>
      <c r="D1249" s="2" t="s">
        <v>13</v>
      </c>
      <c r="E1249" s="4">
        <v>4101.78</v>
      </c>
      <c r="F1249" s="2" t="s">
        <v>14</v>
      </c>
      <c r="G1249" s="5">
        <v>42</v>
      </c>
      <c r="H1249" s="2" t="s">
        <v>29</v>
      </c>
      <c r="I1249" s="2" t="s">
        <v>60</v>
      </c>
      <c r="J1249" s="2" t="s">
        <v>17</v>
      </c>
      <c r="K1249" s="2" t="s">
        <v>18</v>
      </c>
    </row>
    <row r="1250" spans="1:11" x14ac:dyDescent="0.3">
      <c r="A1250" s="2" t="s">
        <v>1629</v>
      </c>
      <c r="B1250" s="2" t="s">
        <v>909</v>
      </c>
      <c r="C1250" s="3">
        <v>45899.474999999999</v>
      </c>
      <c r="D1250" s="2" t="s">
        <v>13</v>
      </c>
      <c r="E1250" s="4">
        <v>1120.22</v>
      </c>
      <c r="F1250" s="2" t="s">
        <v>14</v>
      </c>
      <c r="G1250" s="5">
        <v>39</v>
      </c>
      <c r="H1250" s="2" t="s">
        <v>29</v>
      </c>
      <c r="I1250" s="2" t="s">
        <v>48</v>
      </c>
      <c r="J1250" s="2" t="s">
        <v>44</v>
      </c>
      <c r="K1250" s="2" t="s">
        <v>18</v>
      </c>
    </row>
    <row r="1251" spans="1:11" x14ac:dyDescent="0.3">
      <c r="A1251" s="2" t="s">
        <v>1630</v>
      </c>
      <c r="B1251" s="2" t="s">
        <v>73</v>
      </c>
      <c r="C1251" s="3">
        <v>45734.249305555553</v>
      </c>
      <c r="D1251" s="2" t="s">
        <v>33</v>
      </c>
      <c r="E1251" s="4">
        <v>5946.13</v>
      </c>
      <c r="F1251" s="2" t="s">
        <v>14</v>
      </c>
      <c r="G1251" s="5">
        <v>33</v>
      </c>
      <c r="H1251" s="2" t="s">
        <v>15</v>
      </c>
      <c r="I1251" s="2" t="s">
        <v>21</v>
      </c>
      <c r="J1251" s="2" t="s">
        <v>49</v>
      </c>
      <c r="K1251" s="2" t="s">
        <v>45</v>
      </c>
    </row>
    <row r="1252" spans="1:11" x14ac:dyDescent="0.3">
      <c r="A1252" s="2" t="s">
        <v>1631</v>
      </c>
      <c r="B1252" s="2" t="s">
        <v>362</v>
      </c>
      <c r="C1252" s="3">
        <v>45676.743750000001</v>
      </c>
      <c r="D1252" s="2" t="s">
        <v>13</v>
      </c>
      <c r="E1252" s="4">
        <v>395.01</v>
      </c>
      <c r="F1252" s="2" t="s">
        <v>14</v>
      </c>
      <c r="G1252" s="5">
        <v>25</v>
      </c>
      <c r="H1252" s="2" t="s">
        <v>29</v>
      </c>
      <c r="I1252" s="2" t="s">
        <v>34</v>
      </c>
      <c r="J1252" s="2" t="s">
        <v>44</v>
      </c>
      <c r="K1252" s="2" t="s">
        <v>45</v>
      </c>
    </row>
    <row r="1253" spans="1:11" x14ac:dyDescent="0.3">
      <c r="A1253" s="2" t="s">
        <v>1632</v>
      </c>
      <c r="B1253" s="2" t="s">
        <v>1101</v>
      </c>
      <c r="C1253" s="3">
        <v>45993.551388888889</v>
      </c>
      <c r="D1253" s="2" t="s">
        <v>33</v>
      </c>
      <c r="E1253" s="4">
        <v>4693.12</v>
      </c>
      <c r="F1253" s="2" t="s">
        <v>14</v>
      </c>
      <c r="G1253" s="5">
        <v>38</v>
      </c>
      <c r="H1253" s="2" t="s">
        <v>15</v>
      </c>
      <c r="I1253" s="2" t="s">
        <v>21</v>
      </c>
      <c r="J1253" s="2" t="s">
        <v>44</v>
      </c>
      <c r="K1253" s="2" t="s">
        <v>45</v>
      </c>
    </row>
    <row r="1254" spans="1:11" x14ac:dyDescent="0.3">
      <c r="A1254" s="2" t="s">
        <v>1633</v>
      </c>
      <c r="B1254" s="2" t="s">
        <v>829</v>
      </c>
      <c r="C1254" s="3">
        <v>45822.30972222222</v>
      </c>
      <c r="D1254" s="2" t="s">
        <v>28</v>
      </c>
      <c r="E1254" s="4">
        <v>83669.37</v>
      </c>
      <c r="F1254" s="2" t="s">
        <v>14</v>
      </c>
      <c r="G1254" s="5">
        <v>43</v>
      </c>
      <c r="H1254" s="2" t="s">
        <v>15</v>
      </c>
      <c r="I1254" s="2" t="s">
        <v>25</v>
      </c>
      <c r="J1254" s="2" t="s">
        <v>52</v>
      </c>
      <c r="K1254" s="2" t="s">
        <v>18</v>
      </c>
    </row>
    <row r="1255" spans="1:11" x14ac:dyDescent="0.3">
      <c r="A1255" s="2" t="s">
        <v>1634</v>
      </c>
      <c r="B1255" s="2" t="s">
        <v>1205</v>
      </c>
      <c r="C1255" s="3">
        <v>45821.369444444441</v>
      </c>
      <c r="D1255" s="2" t="s">
        <v>33</v>
      </c>
      <c r="E1255" s="4">
        <v>1759.97</v>
      </c>
      <c r="F1255" s="2" t="s">
        <v>14</v>
      </c>
      <c r="G1255" s="5">
        <v>42</v>
      </c>
      <c r="H1255" s="2" t="s">
        <v>29</v>
      </c>
      <c r="I1255" s="2" t="s">
        <v>21</v>
      </c>
      <c r="J1255" s="2" t="s">
        <v>17</v>
      </c>
      <c r="K1255" s="2" t="s">
        <v>18</v>
      </c>
    </row>
    <row r="1256" spans="1:11" x14ac:dyDescent="0.3">
      <c r="A1256" s="2" t="s">
        <v>1635</v>
      </c>
      <c r="B1256" s="2" t="s">
        <v>722</v>
      </c>
      <c r="C1256" s="3">
        <v>45697.765972222223</v>
      </c>
      <c r="D1256" s="2" t="s">
        <v>28</v>
      </c>
      <c r="E1256" s="4">
        <v>34941.879999999997</v>
      </c>
      <c r="F1256" s="2" t="s">
        <v>14</v>
      </c>
      <c r="G1256" s="5">
        <v>42</v>
      </c>
      <c r="H1256" s="2" t="s">
        <v>29</v>
      </c>
      <c r="I1256" s="2" t="s">
        <v>25</v>
      </c>
      <c r="J1256" s="2" t="s">
        <v>44</v>
      </c>
      <c r="K1256" s="2" t="s">
        <v>35</v>
      </c>
    </row>
    <row r="1257" spans="1:11" x14ac:dyDescent="0.3">
      <c r="A1257" s="2" t="s">
        <v>1636</v>
      </c>
      <c r="B1257" s="2" t="s">
        <v>692</v>
      </c>
      <c r="C1257" s="3">
        <v>45719.696527777778</v>
      </c>
      <c r="D1257" s="2" t="s">
        <v>28</v>
      </c>
      <c r="E1257" s="4">
        <v>8200.75</v>
      </c>
      <c r="F1257" s="2" t="s">
        <v>14</v>
      </c>
      <c r="G1257" s="5">
        <v>41</v>
      </c>
      <c r="H1257" s="2" t="s">
        <v>15</v>
      </c>
      <c r="I1257" s="2" t="s">
        <v>25</v>
      </c>
      <c r="J1257" s="2" t="s">
        <v>17</v>
      </c>
      <c r="K1257" s="2" t="s">
        <v>18</v>
      </c>
    </row>
    <row r="1258" spans="1:11" x14ac:dyDescent="0.3">
      <c r="A1258" s="2" t="s">
        <v>1637</v>
      </c>
      <c r="B1258" s="2" t="s">
        <v>293</v>
      </c>
      <c r="C1258" s="3">
        <v>45684.218055555553</v>
      </c>
      <c r="D1258" s="2" t="s">
        <v>28</v>
      </c>
      <c r="E1258" s="4">
        <v>24302.58</v>
      </c>
      <c r="F1258" s="2" t="s">
        <v>14</v>
      </c>
      <c r="G1258" s="5">
        <v>36</v>
      </c>
      <c r="H1258" s="2" t="s">
        <v>15</v>
      </c>
      <c r="I1258" s="2" t="s">
        <v>34</v>
      </c>
      <c r="J1258" s="2" t="s">
        <v>17</v>
      </c>
      <c r="K1258" s="2" t="s">
        <v>18</v>
      </c>
    </row>
    <row r="1259" spans="1:11" x14ac:dyDescent="0.3">
      <c r="A1259" s="2" t="s">
        <v>1638</v>
      </c>
      <c r="B1259" s="2" t="s">
        <v>244</v>
      </c>
      <c r="C1259" s="3">
        <v>45922.059027777781</v>
      </c>
      <c r="D1259" s="2" t="s">
        <v>28</v>
      </c>
      <c r="E1259" s="4">
        <v>119622.78</v>
      </c>
      <c r="F1259" s="2" t="s">
        <v>14</v>
      </c>
      <c r="G1259" s="5">
        <v>49</v>
      </c>
      <c r="H1259" s="2" t="s">
        <v>29</v>
      </c>
      <c r="I1259" s="2" t="s">
        <v>16</v>
      </c>
      <c r="J1259" s="2" t="s">
        <v>17</v>
      </c>
      <c r="K1259" s="2" t="s">
        <v>35</v>
      </c>
    </row>
    <row r="1260" spans="1:11" x14ac:dyDescent="0.3">
      <c r="A1260" s="2" t="s">
        <v>1639</v>
      </c>
      <c r="B1260" s="2" t="s">
        <v>429</v>
      </c>
      <c r="C1260" s="3">
        <v>45693.621527777781</v>
      </c>
      <c r="D1260" s="2" t="s">
        <v>33</v>
      </c>
      <c r="E1260" s="4">
        <v>26288.14</v>
      </c>
      <c r="F1260" s="2" t="s">
        <v>14</v>
      </c>
      <c r="G1260" s="5">
        <v>31</v>
      </c>
      <c r="H1260" s="2" t="s">
        <v>29</v>
      </c>
      <c r="I1260" s="2" t="s">
        <v>25</v>
      </c>
      <c r="J1260" s="2" t="s">
        <v>49</v>
      </c>
      <c r="K1260" s="2" t="s">
        <v>18</v>
      </c>
    </row>
    <row r="1261" spans="1:11" x14ac:dyDescent="0.3">
      <c r="A1261" s="2" t="s">
        <v>1640</v>
      </c>
      <c r="B1261" s="2" t="s">
        <v>629</v>
      </c>
      <c r="C1261" s="3">
        <v>45802.388888888891</v>
      </c>
      <c r="D1261" s="2" t="s">
        <v>13</v>
      </c>
      <c r="E1261" s="4">
        <v>1965.74</v>
      </c>
      <c r="F1261" s="2" t="s">
        <v>14</v>
      </c>
      <c r="G1261" s="5">
        <v>22</v>
      </c>
      <c r="H1261" s="2" t="s">
        <v>15</v>
      </c>
      <c r="I1261" s="2" t="s">
        <v>21</v>
      </c>
      <c r="J1261" s="2" t="s">
        <v>49</v>
      </c>
      <c r="K1261" s="2" t="s">
        <v>18</v>
      </c>
    </row>
    <row r="1262" spans="1:11" x14ac:dyDescent="0.3">
      <c r="A1262" s="2" t="s">
        <v>1641</v>
      </c>
      <c r="B1262" s="2" t="s">
        <v>489</v>
      </c>
      <c r="C1262" s="3">
        <v>45702.728472222218</v>
      </c>
      <c r="D1262" s="2" t="s">
        <v>28</v>
      </c>
      <c r="E1262" s="4">
        <v>23036.84</v>
      </c>
      <c r="F1262" s="2" t="s">
        <v>57</v>
      </c>
      <c r="G1262" s="5">
        <v>28</v>
      </c>
      <c r="H1262" s="2" t="s">
        <v>15</v>
      </c>
      <c r="I1262" s="2" t="s">
        <v>30</v>
      </c>
      <c r="J1262" s="2" t="s">
        <v>17</v>
      </c>
      <c r="K1262" s="2" t="s">
        <v>35</v>
      </c>
    </row>
    <row r="1263" spans="1:11" x14ac:dyDescent="0.3">
      <c r="A1263" s="2" t="s">
        <v>1642</v>
      </c>
      <c r="B1263" s="2" t="s">
        <v>171</v>
      </c>
      <c r="C1263" s="3">
        <v>45662.466666666667</v>
      </c>
      <c r="D1263" s="2" t="s">
        <v>28</v>
      </c>
      <c r="E1263" s="4">
        <v>5767.35</v>
      </c>
      <c r="F1263" s="2" t="s">
        <v>14</v>
      </c>
      <c r="G1263" s="5">
        <v>51</v>
      </c>
      <c r="H1263" s="2" t="s">
        <v>29</v>
      </c>
      <c r="I1263" s="2" t="s">
        <v>25</v>
      </c>
      <c r="J1263" s="2" t="s">
        <v>17</v>
      </c>
      <c r="K1263" s="2" t="s">
        <v>18</v>
      </c>
    </row>
    <row r="1264" spans="1:11" x14ac:dyDescent="0.3">
      <c r="A1264" s="2" t="s">
        <v>1643</v>
      </c>
      <c r="B1264" s="2" t="s">
        <v>275</v>
      </c>
      <c r="C1264" s="3">
        <v>45807.784722222219</v>
      </c>
      <c r="D1264" s="2" t="s">
        <v>28</v>
      </c>
      <c r="E1264" s="4">
        <v>23025.18</v>
      </c>
      <c r="F1264" s="2" t="s">
        <v>14</v>
      </c>
      <c r="G1264" s="5">
        <v>29</v>
      </c>
      <c r="H1264" s="2" t="s">
        <v>15</v>
      </c>
      <c r="I1264" s="2" t="s">
        <v>34</v>
      </c>
      <c r="J1264" s="2" t="s">
        <v>49</v>
      </c>
      <c r="K1264" s="2" t="s">
        <v>18</v>
      </c>
    </row>
    <row r="1265" spans="1:11" x14ac:dyDescent="0.3">
      <c r="A1265" s="2" t="s">
        <v>1644</v>
      </c>
      <c r="B1265" s="2" t="s">
        <v>502</v>
      </c>
      <c r="C1265" s="3">
        <v>45813.98541666667</v>
      </c>
      <c r="D1265" s="2" t="s">
        <v>28</v>
      </c>
      <c r="E1265" s="4">
        <v>115410.95</v>
      </c>
      <c r="F1265" s="2" t="s">
        <v>122</v>
      </c>
      <c r="G1265" s="5">
        <v>26</v>
      </c>
      <c r="H1265" s="2" t="s">
        <v>29</v>
      </c>
      <c r="I1265" s="2" t="s">
        <v>95</v>
      </c>
      <c r="J1265" s="2" t="s">
        <v>17</v>
      </c>
      <c r="K1265" s="2" t="s">
        <v>18</v>
      </c>
    </row>
    <row r="1266" spans="1:11" x14ac:dyDescent="0.3">
      <c r="A1266" s="2" t="s">
        <v>1645</v>
      </c>
      <c r="B1266" s="2" t="s">
        <v>634</v>
      </c>
      <c r="C1266" s="3">
        <v>45782.599305555559</v>
      </c>
      <c r="D1266" s="2" t="s">
        <v>13</v>
      </c>
      <c r="E1266" s="4">
        <v>4655.1899999999996</v>
      </c>
      <c r="F1266" s="2" t="s">
        <v>14</v>
      </c>
      <c r="G1266" s="5">
        <v>56</v>
      </c>
      <c r="H1266" s="2" t="s">
        <v>29</v>
      </c>
      <c r="I1266" s="2" t="s">
        <v>25</v>
      </c>
      <c r="J1266" s="2" t="s">
        <v>17</v>
      </c>
      <c r="K1266" s="2" t="s">
        <v>18</v>
      </c>
    </row>
    <row r="1267" spans="1:11" x14ac:dyDescent="0.3">
      <c r="A1267" s="2" t="s">
        <v>1646</v>
      </c>
      <c r="B1267" s="2" t="s">
        <v>134</v>
      </c>
      <c r="C1267" s="3">
        <v>45960.65902777778</v>
      </c>
      <c r="D1267" s="2" t="s">
        <v>33</v>
      </c>
      <c r="E1267" s="4">
        <v>5071.24</v>
      </c>
      <c r="F1267" s="2" t="s">
        <v>57</v>
      </c>
      <c r="G1267" s="5">
        <v>26</v>
      </c>
      <c r="H1267" s="2" t="s">
        <v>15</v>
      </c>
      <c r="I1267" s="2" t="s">
        <v>25</v>
      </c>
      <c r="J1267" s="2" t="s">
        <v>49</v>
      </c>
      <c r="K1267" s="2" t="s">
        <v>18</v>
      </c>
    </row>
    <row r="1268" spans="1:11" x14ac:dyDescent="0.3">
      <c r="A1268" s="2" t="s">
        <v>1647</v>
      </c>
      <c r="B1268" s="2" t="s">
        <v>32</v>
      </c>
      <c r="C1268" s="3">
        <v>45758.997916666667</v>
      </c>
      <c r="D1268" s="2" t="s">
        <v>28</v>
      </c>
      <c r="E1268" s="4">
        <v>20103.830000000002</v>
      </c>
      <c r="F1268" s="2" t="s">
        <v>14</v>
      </c>
      <c r="G1268" s="5">
        <v>53</v>
      </c>
      <c r="H1268" s="2" t="s">
        <v>15</v>
      </c>
      <c r="I1268" s="2" t="s">
        <v>34</v>
      </c>
      <c r="J1268" s="2" t="s">
        <v>17</v>
      </c>
      <c r="K1268" s="2" t="s">
        <v>18</v>
      </c>
    </row>
    <row r="1269" spans="1:11" x14ac:dyDescent="0.3">
      <c r="A1269" s="2" t="s">
        <v>1648</v>
      </c>
      <c r="B1269" s="2" t="s">
        <v>346</v>
      </c>
      <c r="C1269" s="3">
        <v>45937.29791666667</v>
      </c>
      <c r="D1269" s="2" t="s">
        <v>33</v>
      </c>
      <c r="E1269" s="4">
        <v>30189.360000000001</v>
      </c>
      <c r="F1269" s="2" t="s">
        <v>14</v>
      </c>
      <c r="G1269" s="5">
        <v>55</v>
      </c>
      <c r="H1269" s="2" t="s">
        <v>29</v>
      </c>
      <c r="I1269" s="2" t="s">
        <v>95</v>
      </c>
      <c r="J1269" s="2" t="s">
        <v>49</v>
      </c>
      <c r="K1269" s="2" t="s">
        <v>18</v>
      </c>
    </row>
    <row r="1270" spans="1:11" x14ac:dyDescent="0.3">
      <c r="A1270" s="2" t="s">
        <v>1649</v>
      </c>
      <c r="B1270" s="2" t="s">
        <v>730</v>
      </c>
      <c r="C1270" s="3">
        <v>45661.542361111111</v>
      </c>
      <c r="D1270" s="2" t="s">
        <v>33</v>
      </c>
      <c r="E1270" s="4">
        <v>3477.34</v>
      </c>
      <c r="F1270" s="2" t="s">
        <v>14</v>
      </c>
      <c r="G1270" s="5">
        <v>40</v>
      </c>
      <c r="H1270" s="2" t="s">
        <v>15</v>
      </c>
      <c r="I1270" s="2" t="s">
        <v>34</v>
      </c>
      <c r="J1270" s="2" t="s">
        <v>17</v>
      </c>
      <c r="K1270" s="2" t="s">
        <v>35</v>
      </c>
    </row>
    <row r="1271" spans="1:11" x14ac:dyDescent="0.3">
      <c r="A1271" s="2" t="s">
        <v>1650</v>
      </c>
      <c r="B1271" s="2" t="s">
        <v>1191</v>
      </c>
      <c r="C1271" s="3">
        <v>45777.723611111112</v>
      </c>
      <c r="D1271" s="2" t="s">
        <v>38</v>
      </c>
      <c r="E1271" s="4">
        <v>2510.67</v>
      </c>
      <c r="F1271" s="2" t="s">
        <v>14</v>
      </c>
      <c r="G1271" s="5">
        <v>25</v>
      </c>
      <c r="H1271" s="2" t="s">
        <v>29</v>
      </c>
      <c r="I1271" s="2" t="s">
        <v>34</v>
      </c>
      <c r="J1271" s="2" t="s">
        <v>17</v>
      </c>
      <c r="K1271" s="2" t="s">
        <v>35</v>
      </c>
    </row>
    <row r="1272" spans="1:11" x14ac:dyDescent="0.3">
      <c r="A1272" s="2" t="s">
        <v>1651</v>
      </c>
      <c r="B1272" s="2" t="s">
        <v>769</v>
      </c>
      <c r="C1272" s="3">
        <v>45983.955555555563</v>
      </c>
      <c r="D1272" s="2" t="s">
        <v>28</v>
      </c>
      <c r="E1272" s="4">
        <v>5291.5</v>
      </c>
      <c r="F1272" s="2" t="s">
        <v>14</v>
      </c>
      <c r="G1272" s="5">
        <v>38</v>
      </c>
      <c r="H1272" s="2" t="s">
        <v>15</v>
      </c>
      <c r="I1272" s="2" t="s">
        <v>34</v>
      </c>
      <c r="J1272" s="2" t="s">
        <v>17</v>
      </c>
      <c r="K1272" s="2" t="s">
        <v>35</v>
      </c>
    </row>
    <row r="1273" spans="1:11" x14ac:dyDescent="0.3">
      <c r="A1273" s="2" t="s">
        <v>1652</v>
      </c>
      <c r="B1273" s="2" t="s">
        <v>1101</v>
      </c>
      <c r="C1273" s="3">
        <v>45662.416666666657</v>
      </c>
      <c r="D1273" s="2" t="s">
        <v>38</v>
      </c>
      <c r="E1273" s="4">
        <v>1800.04</v>
      </c>
      <c r="F1273" s="2" t="s">
        <v>14</v>
      </c>
      <c r="G1273" s="5">
        <v>38</v>
      </c>
      <c r="H1273" s="2" t="s">
        <v>15</v>
      </c>
      <c r="I1273" s="2" t="s">
        <v>21</v>
      </c>
      <c r="J1273" s="2" t="s">
        <v>44</v>
      </c>
      <c r="K1273" s="2" t="s">
        <v>45</v>
      </c>
    </row>
    <row r="1274" spans="1:11" x14ac:dyDescent="0.3">
      <c r="A1274" s="2" t="s">
        <v>1653</v>
      </c>
      <c r="B1274" s="2" t="s">
        <v>364</v>
      </c>
      <c r="C1274" s="3">
        <v>45994.537499999999</v>
      </c>
      <c r="D1274" s="2" t="s">
        <v>28</v>
      </c>
      <c r="E1274" s="4">
        <v>43548.62</v>
      </c>
      <c r="F1274" s="2" t="s">
        <v>14</v>
      </c>
      <c r="G1274" s="5">
        <v>32</v>
      </c>
      <c r="H1274" s="2" t="s">
        <v>15</v>
      </c>
      <c r="I1274" s="2" t="s">
        <v>34</v>
      </c>
      <c r="J1274" s="2" t="s">
        <v>17</v>
      </c>
      <c r="K1274" s="2" t="s">
        <v>35</v>
      </c>
    </row>
    <row r="1275" spans="1:11" x14ac:dyDescent="0.3">
      <c r="A1275" s="2" t="s">
        <v>1654</v>
      </c>
      <c r="B1275" s="2" t="s">
        <v>1040</v>
      </c>
      <c r="C1275" s="3">
        <v>45815.134027777778</v>
      </c>
      <c r="D1275" s="2" t="s">
        <v>28</v>
      </c>
      <c r="E1275" s="4">
        <v>12190.54</v>
      </c>
      <c r="F1275" s="2" t="s">
        <v>57</v>
      </c>
      <c r="G1275" s="5">
        <v>43</v>
      </c>
      <c r="H1275" s="2" t="s">
        <v>15</v>
      </c>
      <c r="I1275" s="2" t="s">
        <v>25</v>
      </c>
      <c r="J1275" s="2" t="s">
        <v>44</v>
      </c>
      <c r="K1275" s="2" t="s">
        <v>18</v>
      </c>
    </row>
    <row r="1276" spans="1:11" x14ac:dyDescent="0.3">
      <c r="A1276" s="2" t="s">
        <v>1655</v>
      </c>
      <c r="B1276" s="2" t="s">
        <v>784</v>
      </c>
      <c r="C1276" s="3">
        <v>45929.30972222222</v>
      </c>
      <c r="D1276" s="2" t="s">
        <v>13</v>
      </c>
      <c r="E1276" s="4">
        <v>3830.83</v>
      </c>
      <c r="F1276" s="2" t="s">
        <v>14</v>
      </c>
      <c r="G1276" s="5">
        <v>24</v>
      </c>
      <c r="H1276" s="2" t="s">
        <v>15</v>
      </c>
      <c r="I1276" s="2" t="s">
        <v>34</v>
      </c>
      <c r="J1276" s="2" t="s">
        <v>17</v>
      </c>
      <c r="K1276" s="2" t="s">
        <v>18</v>
      </c>
    </row>
    <row r="1277" spans="1:11" x14ac:dyDescent="0.3">
      <c r="A1277" s="2" t="s">
        <v>1656</v>
      </c>
      <c r="B1277" s="2" t="s">
        <v>171</v>
      </c>
      <c r="C1277" s="3">
        <v>45909.04791666667</v>
      </c>
      <c r="D1277" s="2" t="s">
        <v>13</v>
      </c>
      <c r="E1277" s="4">
        <v>862.88</v>
      </c>
      <c r="F1277" s="2" t="s">
        <v>14</v>
      </c>
      <c r="G1277" s="5">
        <v>51</v>
      </c>
      <c r="H1277" s="2" t="s">
        <v>29</v>
      </c>
      <c r="I1277" s="2" t="s">
        <v>25</v>
      </c>
      <c r="J1277" s="2" t="s">
        <v>17</v>
      </c>
      <c r="K1277" s="2" t="s">
        <v>45</v>
      </c>
    </row>
    <row r="1278" spans="1:11" x14ac:dyDescent="0.3">
      <c r="A1278" s="2" t="s">
        <v>1657</v>
      </c>
      <c r="B1278" s="2" t="s">
        <v>225</v>
      </c>
      <c r="C1278" s="3">
        <v>45801.084722222222</v>
      </c>
      <c r="D1278" s="2" t="s">
        <v>28</v>
      </c>
      <c r="E1278" s="4">
        <v>75987.8</v>
      </c>
      <c r="F1278" s="2" t="s">
        <v>14</v>
      </c>
      <c r="G1278" s="5">
        <v>35</v>
      </c>
      <c r="H1278" s="2" t="s">
        <v>29</v>
      </c>
      <c r="I1278" s="2" t="s">
        <v>78</v>
      </c>
      <c r="J1278" s="2" t="s">
        <v>17</v>
      </c>
      <c r="K1278" s="2" t="s">
        <v>45</v>
      </c>
    </row>
    <row r="1279" spans="1:11" x14ac:dyDescent="0.3">
      <c r="A1279" s="2" t="s">
        <v>1658</v>
      </c>
      <c r="B1279" s="2" t="s">
        <v>1387</v>
      </c>
      <c r="C1279" s="3">
        <v>45776.68472222222</v>
      </c>
      <c r="D1279" s="2" t="s">
        <v>28</v>
      </c>
      <c r="E1279" s="4">
        <v>37924.22</v>
      </c>
      <c r="F1279" s="2" t="s">
        <v>14</v>
      </c>
      <c r="G1279" s="5">
        <v>29</v>
      </c>
      <c r="H1279" s="2" t="s">
        <v>29</v>
      </c>
      <c r="I1279" s="2" t="s">
        <v>25</v>
      </c>
      <c r="J1279" s="2" t="s">
        <v>17</v>
      </c>
      <c r="K1279" s="2" t="s">
        <v>18</v>
      </c>
    </row>
    <row r="1280" spans="1:11" x14ac:dyDescent="0.3">
      <c r="A1280" s="2" t="s">
        <v>1659</v>
      </c>
      <c r="B1280" s="2" t="s">
        <v>607</v>
      </c>
      <c r="C1280" s="3">
        <v>46016.478472222218</v>
      </c>
      <c r="D1280" s="2" t="s">
        <v>38</v>
      </c>
      <c r="E1280" s="4">
        <v>9687.48</v>
      </c>
      <c r="F1280" s="2" t="s">
        <v>14</v>
      </c>
      <c r="G1280" s="5">
        <v>20</v>
      </c>
      <c r="H1280" s="2" t="s">
        <v>29</v>
      </c>
      <c r="I1280" s="2" t="s">
        <v>34</v>
      </c>
      <c r="J1280" s="2" t="s">
        <v>52</v>
      </c>
      <c r="K1280" s="2" t="s">
        <v>18</v>
      </c>
    </row>
    <row r="1281" spans="1:11" x14ac:dyDescent="0.3">
      <c r="A1281" s="2" t="s">
        <v>1660</v>
      </c>
      <c r="B1281" s="2" t="s">
        <v>62</v>
      </c>
      <c r="C1281" s="3">
        <v>45701.754166666673</v>
      </c>
      <c r="D1281" s="2" t="s">
        <v>28</v>
      </c>
      <c r="E1281" s="4">
        <v>10071.5</v>
      </c>
      <c r="F1281" s="2" t="s">
        <v>14</v>
      </c>
      <c r="G1281" s="5">
        <v>32</v>
      </c>
      <c r="H1281" s="2" t="s">
        <v>29</v>
      </c>
      <c r="I1281" s="2" t="s">
        <v>25</v>
      </c>
      <c r="J1281" s="2" t="s">
        <v>17</v>
      </c>
      <c r="K1281" s="2" t="s">
        <v>35</v>
      </c>
    </row>
    <row r="1282" spans="1:11" x14ac:dyDescent="0.3">
      <c r="A1282" s="2" t="s">
        <v>1661</v>
      </c>
      <c r="B1282" s="2" t="s">
        <v>1412</v>
      </c>
      <c r="C1282" s="3">
        <v>45916.194444444453</v>
      </c>
      <c r="D1282" s="2" t="s">
        <v>28</v>
      </c>
      <c r="E1282" s="4">
        <v>80556.3</v>
      </c>
      <c r="F1282" s="2" t="s">
        <v>14</v>
      </c>
      <c r="G1282" s="5">
        <v>34</v>
      </c>
      <c r="H1282" s="2" t="s">
        <v>15</v>
      </c>
      <c r="I1282" s="2" t="s">
        <v>34</v>
      </c>
      <c r="J1282" s="2" t="s">
        <v>17</v>
      </c>
      <c r="K1282" s="2" t="s">
        <v>45</v>
      </c>
    </row>
    <row r="1283" spans="1:11" x14ac:dyDescent="0.3">
      <c r="A1283" s="2" t="s">
        <v>1662</v>
      </c>
      <c r="B1283" s="2" t="s">
        <v>408</v>
      </c>
      <c r="C1283" s="3">
        <v>45859.109027777777</v>
      </c>
      <c r="D1283" s="2" t="s">
        <v>13</v>
      </c>
      <c r="E1283" s="4">
        <v>1706.96</v>
      </c>
      <c r="F1283" s="2" t="s">
        <v>14</v>
      </c>
      <c r="G1283" s="5">
        <v>25</v>
      </c>
      <c r="H1283" s="2" t="s">
        <v>15</v>
      </c>
      <c r="I1283" s="2" t="s">
        <v>48</v>
      </c>
      <c r="J1283" s="2" t="s">
        <v>44</v>
      </c>
      <c r="K1283" s="2" t="s">
        <v>45</v>
      </c>
    </row>
    <row r="1284" spans="1:11" x14ac:dyDescent="0.3">
      <c r="A1284" s="2" t="s">
        <v>1663</v>
      </c>
      <c r="B1284" s="2" t="s">
        <v>62</v>
      </c>
      <c r="C1284" s="3">
        <v>45948.060416666667</v>
      </c>
      <c r="D1284" s="2" t="s">
        <v>28</v>
      </c>
      <c r="E1284" s="4">
        <v>30959.53</v>
      </c>
      <c r="F1284" s="2" t="s">
        <v>14</v>
      </c>
      <c r="G1284" s="5">
        <v>32</v>
      </c>
      <c r="H1284" s="2" t="s">
        <v>29</v>
      </c>
      <c r="I1284" s="2" t="s">
        <v>25</v>
      </c>
      <c r="J1284" s="2" t="s">
        <v>17</v>
      </c>
      <c r="K1284" s="2" t="s">
        <v>45</v>
      </c>
    </row>
    <row r="1285" spans="1:11" x14ac:dyDescent="0.3">
      <c r="A1285" s="2" t="s">
        <v>1664</v>
      </c>
      <c r="B1285" s="2" t="s">
        <v>438</v>
      </c>
      <c r="C1285" s="3">
        <v>45997.177083333343</v>
      </c>
      <c r="D1285" s="2" t="s">
        <v>28</v>
      </c>
      <c r="E1285" s="4">
        <v>13663.34</v>
      </c>
      <c r="F1285" s="2" t="s">
        <v>14</v>
      </c>
      <c r="G1285" s="5">
        <v>27</v>
      </c>
      <c r="H1285" s="2" t="s">
        <v>15</v>
      </c>
      <c r="I1285" s="2" t="s">
        <v>34</v>
      </c>
      <c r="J1285" s="2" t="s">
        <v>17</v>
      </c>
      <c r="K1285" s="2" t="s">
        <v>18</v>
      </c>
    </row>
    <row r="1286" spans="1:11" x14ac:dyDescent="0.3">
      <c r="A1286" s="2" t="s">
        <v>1665</v>
      </c>
      <c r="B1286" s="2" t="s">
        <v>332</v>
      </c>
      <c r="C1286" s="3">
        <v>45807.370833333327</v>
      </c>
      <c r="D1286" s="2" t="s">
        <v>28</v>
      </c>
      <c r="E1286" s="4">
        <v>13138.21</v>
      </c>
      <c r="F1286" s="2" t="s">
        <v>14</v>
      </c>
      <c r="G1286" s="5">
        <v>36</v>
      </c>
      <c r="H1286" s="2" t="s">
        <v>29</v>
      </c>
      <c r="I1286" s="2" t="s">
        <v>25</v>
      </c>
      <c r="J1286" s="2" t="s">
        <v>44</v>
      </c>
      <c r="K1286" s="2" t="s">
        <v>18</v>
      </c>
    </row>
    <row r="1287" spans="1:11" x14ac:dyDescent="0.3">
      <c r="A1287" s="2" t="s">
        <v>1666</v>
      </c>
      <c r="B1287" s="2" t="s">
        <v>847</v>
      </c>
      <c r="C1287" s="3">
        <v>45819.530555555553</v>
      </c>
      <c r="D1287" s="2" t="s">
        <v>33</v>
      </c>
      <c r="E1287" s="4">
        <v>21957.55</v>
      </c>
      <c r="F1287" s="2" t="s">
        <v>14</v>
      </c>
      <c r="G1287" s="5">
        <v>39</v>
      </c>
      <c r="H1287" s="2" t="s">
        <v>15</v>
      </c>
      <c r="I1287" s="2" t="s">
        <v>60</v>
      </c>
      <c r="J1287" s="2" t="s">
        <v>17</v>
      </c>
      <c r="K1287" s="2" t="s">
        <v>18</v>
      </c>
    </row>
    <row r="1288" spans="1:11" x14ac:dyDescent="0.3">
      <c r="A1288" s="2" t="s">
        <v>1667</v>
      </c>
      <c r="B1288" s="2" t="s">
        <v>323</v>
      </c>
      <c r="C1288" s="3">
        <v>45825.436111111107</v>
      </c>
      <c r="D1288" s="2" t="s">
        <v>28</v>
      </c>
      <c r="E1288" s="4">
        <v>29460.66</v>
      </c>
      <c r="F1288" s="2" t="s">
        <v>14</v>
      </c>
      <c r="G1288" s="5">
        <v>27</v>
      </c>
      <c r="H1288" s="2" t="s">
        <v>29</v>
      </c>
      <c r="I1288" s="2" t="s">
        <v>43</v>
      </c>
      <c r="J1288" s="2" t="s">
        <v>17</v>
      </c>
      <c r="K1288" s="2" t="s">
        <v>18</v>
      </c>
    </row>
    <row r="1289" spans="1:11" x14ac:dyDescent="0.3">
      <c r="A1289" s="2" t="s">
        <v>1668</v>
      </c>
      <c r="B1289" s="2" t="s">
        <v>323</v>
      </c>
      <c r="C1289" s="3">
        <v>45797.294444444437</v>
      </c>
      <c r="D1289" s="2" t="s">
        <v>38</v>
      </c>
      <c r="E1289" s="4">
        <v>12421.88</v>
      </c>
      <c r="F1289" s="2" t="s">
        <v>14</v>
      </c>
      <c r="G1289" s="5">
        <v>27</v>
      </c>
      <c r="H1289" s="2" t="s">
        <v>29</v>
      </c>
      <c r="I1289" s="2" t="s">
        <v>43</v>
      </c>
      <c r="J1289" s="2" t="s">
        <v>17</v>
      </c>
      <c r="K1289" s="2" t="s">
        <v>45</v>
      </c>
    </row>
    <row r="1290" spans="1:11" x14ac:dyDescent="0.3">
      <c r="A1290" s="2" t="s">
        <v>1669</v>
      </c>
      <c r="B1290" s="2" t="s">
        <v>767</v>
      </c>
      <c r="C1290" s="3">
        <v>45761.200694444437</v>
      </c>
      <c r="D1290" s="2" t="s">
        <v>154</v>
      </c>
      <c r="E1290" s="4">
        <v>2000</v>
      </c>
      <c r="F1290" s="2" t="s">
        <v>14</v>
      </c>
      <c r="G1290" s="5">
        <v>33</v>
      </c>
      <c r="H1290" s="2" t="s">
        <v>29</v>
      </c>
      <c r="I1290" s="2" t="s">
        <v>21</v>
      </c>
      <c r="J1290" s="2" t="s">
        <v>17</v>
      </c>
      <c r="K1290" s="2" t="s">
        <v>18</v>
      </c>
    </row>
    <row r="1291" spans="1:11" x14ac:dyDescent="0.3">
      <c r="A1291" s="2" t="s">
        <v>1670</v>
      </c>
      <c r="B1291" s="2" t="s">
        <v>384</v>
      </c>
      <c r="C1291" s="3">
        <v>45957.131249999999</v>
      </c>
      <c r="D1291" s="2" t="s">
        <v>13</v>
      </c>
      <c r="E1291" s="4">
        <v>1006.1</v>
      </c>
      <c r="F1291" s="2" t="s">
        <v>14</v>
      </c>
      <c r="G1291" s="5">
        <v>32</v>
      </c>
      <c r="H1291" s="2" t="s">
        <v>15</v>
      </c>
      <c r="I1291" s="2" t="s">
        <v>25</v>
      </c>
      <c r="J1291" s="2" t="s">
        <v>17</v>
      </c>
      <c r="K1291" s="2" t="s">
        <v>18</v>
      </c>
    </row>
    <row r="1292" spans="1:11" x14ac:dyDescent="0.3">
      <c r="A1292" s="2" t="s">
        <v>1671</v>
      </c>
      <c r="B1292" s="2" t="s">
        <v>730</v>
      </c>
      <c r="C1292" s="3">
        <v>45712.227777777778</v>
      </c>
      <c r="D1292" s="2" t="s">
        <v>28</v>
      </c>
      <c r="E1292" s="4">
        <v>21645.4</v>
      </c>
      <c r="F1292" s="2" t="s">
        <v>14</v>
      </c>
      <c r="G1292" s="5">
        <v>40</v>
      </c>
      <c r="H1292" s="2" t="s">
        <v>15</v>
      </c>
      <c r="I1292" s="2" t="s">
        <v>34</v>
      </c>
      <c r="J1292" s="2" t="s">
        <v>17</v>
      </c>
      <c r="K1292" s="2" t="s">
        <v>18</v>
      </c>
    </row>
    <row r="1293" spans="1:11" x14ac:dyDescent="0.3">
      <c r="A1293" s="2" t="s">
        <v>1672</v>
      </c>
      <c r="B1293" s="2" t="s">
        <v>1401</v>
      </c>
      <c r="C1293" s="3">
        <v>45896.43472222222</v>
      </c>
      <c r="D1293" s="2" t="s">
        <v>28</v>
      </c>
      <c r="E1293" s="4">
        <v>69615.710000000006</v>
      </c>
      <c r="F1293" s="2" t="s">
        <v>14</v>
      </c>
      <c r="G1293" s="5">
        <v>60</v>
      </c>
      <c r="H1293" s="2" t="s">
        <v>29</v>
      </c>
      <c r="I1293" s="2" t="s">
        <v>95</v>
      </c>
      <c r="J1293" s="2" t="s">
        <v>17</v>
      </c>
      <c r="K1293" s="2" t="s">
        <v>45</v>
      </c>
    </row>
    <row r="1294" spans="1:11" x14ac:dyDescent="0.3">
      <c r="A1294" s="2" t="s">
        <v>1673</v>
      </c>
      <c r="B1294" s="2" t="s">
        <v>605</v>
      </c>
      <c r="C1294" s="3">
        <v>45719.723611111112</v>
      </c>
      <c r="D1294" s="2" t="s">
        <v>28</v>
      </c>
      <c r="E1294" s="4">
        <v>44227.17</v>
      </c>
      <c r="F1294" s="2" t="s">
        <v>14</v>
      </c>
      <c r="G1294" s="5">
        <v>29</v>
      </c>
      <c r="H1294" s="2" t="s">
        <v>29</v>
      </c>
      <c r="I1294" s="2" t="s">
        <v>60</v>
      </c>
      <c r="J1294" s="2" t="s">
        <v>17</v>
      </c>
      <c r="K1294" s="2" t="s">
        <v>18</v>
      </c>
    </row>
    <row r="1295" spans="1:11" x14ac:dyDescent="0.3">
      <c r="A1295" s="2" t="s">
        <v>1674</v>
      </c>
      <c r="B1295" s="2" t="s">
        <v>587</v>
      </c>
      <c r="C1295" s="3">
        <v>45764.59652777778</v>
      </c>
      <c r="D1295" s="2" t="s">
        <v>33</v>
      </c>
      <c r="E1295" s="4">
        <v>4814.12</v>
      </c>
      <c r="F1295" s="2" t="s">
        <v>14</v>
      </c>
      <c r="G1295" s="5">
        <v>47</v>
      </c>
      <c r="H1295" s="2" t="s">
        <v>29</v>
      </c>
      <c r="I1295" s="2" t="s">
        <v>34</v>
      </c>
      <c r="J1295" s="2" t="s">
        <v>49</v>
      </c>
      <c r="K1295" s="2" t="s">
        <v>45</v>
      </c>
    </row>
    <row r="1296" spans="1:11" x14ac:dyDescent="0.3">
      <c r="A1296" s="2" t="s">
        <v>1675</v>
      </c>
      <c r="B1296" s="2" t="s">
        <v>461</v>
      </c>
      <c r="C1296" s="3">
        <v>45895.370833333327</v>
      </c>
      <c r="D1296" s="2" t="s">
        <v>38</v>
      </c>
      <c r="E1296" s="4">
        <v>21189.53</v>
      </c>
      <c r="F1296" s="2" t="s">
        <v>14</v>
      </c>
      <c r="G1296" s="5">
        <v>39</v>
      </c>
      <c r="H1296" s="2" t="s">
        <v>29</v>
      </c>
      <c r="I1296" s="2" t="s">
        <v>60</v>
      </c>
      <c r="J1296" s="2" t="s">
        <v>52</v>
      </c>
      <c r="K1296" s="2" t="s">
        <v>18</v>
      </c>
    </row>
    <row r="1297" spans="1:11" x14ac:dyDescent="0.3">
      <c r="A1297" s="2" t="s">
        <v>1676</v>
      </c>
      <c r="B1297" s="2" t="s">
        <v>254</v>
      </c>
      <c r="C1297" s="3">
        <v>45719.090277777781</v>
      </c>
      <c r="D1297" s="2" t="s">
        <v>33</v>
      </c>
      <c r="E1297" s="4">
        <v>14921.09</v>
      </c>
      <c r="F1297" s="2" t="s">
        <v>57</v>
      </c>
      <c r="G1297" s="5">
        <v>36</v>
      </c>
      <c r="H1297" s="2" t="s">
        <v>29</v>
      </c>
      <c r="I1297" s="2" t="s">
        <v>34</v>
      </c>
      <c r="J1297" s="2" t="s">
        <v>17</v>
      </c>
      <c r="K1297" s="2" t="s">
        <v>18</v>
      </c>
    </row>
    <row r="1298" spans="1:11" x14ac:dyDescent="0.3">
      <c r="A1298" s="2" t="s">
        <v>1677</v>
      </c>
      <c r="B1298" s="2" t="s">
        <v>847</v>
      </c>
      <c r="C1298" s="3">
        <v>46009.411111111112</v>
      </c>
      <c r="D1298" s="2" t="s">
        <v>33</v>
      </c>
      <c r="E1298" s="4">
        <v>2402.9299999999998</v>
      </c>
      <c r="F1298" s="2" t="s">
        <v>14</v>
      </c>
      <c r="G1298" s="5">
        <v>39</v>
      </c>
      <c r="H1298" s="2" t="s">
        <v>15</v>
      </c>
      <c r="I1298" s="2" t="s">
        <v>60</v>
      </c>
      <c r="J1298" s="2" t="s">
        <v>17</v>
      </c>
      <c r="K1298" s="2" t="s">
        <v>18</v>
      </c>
    </row>
    <row r="1299" spans="1:11" x14ac:dyDescent="0.3">
      <c r="A1299" s="2" t="s">
        <v>1678</v>
      </c>
      <c r="B1299" s="2" t="s">
        <v>1118</v>
      </c>
      <c r="C1299" s="3">
        <v>46018.943055555559</v>
      </c>
      <c r="D1299" s="2" t="s">
        <v>13</v>
      </c>
      <c r="E1299" s="4">
        <v>8467.7199999999993</v>
      </c>
      <c r="F1299" s="2" t="s">
        <v>14</v>
      </c>
      <c r="G1299" s="5">
        <v>33</v>
      </c>
      <c r="H1299" s="2" t="s">
        <v>29</v>
      </c>
      <c r="I1299" s="2" t="s">
        <v>34</v>
      </c>
      <c r="J1299" s="2" t="s">
        <v>52</v>
      </c>
      <c r="K1299" s="2" t="s">
        <v>18</v>
      </c>
    </row>
    <row r="1300" spans="1:11" x14ac:dyDescent="0.3">
      <c r="A1300" s="2" t="s">
        <v>1679</v>
      </c>
      <c r="B1300" s="2" t="s">
        <v>963</v>
      </c>
      <c r="C1300" s="3">
        <v>45678.286805555559</v>
      </c>
      <c r="D1300" s="2" t="s">
        <v>28</v>
      </c>
      <c r="E1300" s="4">
        <v>5024.0200000000004</v>
      </c>
      <c r="F1300" s="2" t="s">
        <v>14</v>
      </c>
      <c r="G1300" s="5">
        <v>51</v>
      </c>
      <c r="H1300" s="2" t="s">
        <v>29</v>
      </c>
      <c r="I1300" s="2" t="s">
        <v>48</v>
      </c>
      <c r="J1300" s="2" t="s">
        <v>49</v>
      </c>
      <c r="K1300" s="2" t="s">
        <v>45</v>
      </c>
    </row>
    <row r="1301" spans="1:11" x14ac:dyDescent="0.3">
      <c r="A1301" s="2" t="s">
        <v>1680</v>
      </c>
      <c r="B1301" s="2" t="s">
        <v>438</v>
      </c>
      <c r="C1301" s="3">
        <v>45825.170138888891</v>
      </c>
      <c r="D1301" s="2" t="s">
        <v>38</v>
      </c>
      <c r="E1301" s="4">
        <v>5443.92</v>
      </c>
      <c r="F1301" s="2" t="s">
        <v>57</v>
      </c>
      <c r="G1301" s="5">
        <v>27</v>
      </c>
      <c r="H1301" s="2" t="s">
        <v>15</v>
      </c>
      <c r="I1301" s="2" t="s">
        <v>34</v>
      </c>
      <c r="J1301" s="2" t="s">
        <v>17</v>
      </c>
      <c r="K1301" s="2" t="s">
        <v>35</v>
      </c>
    </row>
    <row r="1302" spans="1:11" x14ac:dyDescent="0.3">
      <c r="A1302" s="2" t="s">
        <v>1681</v>
      </c>
      <c r="B1302" s="2" t="s">
        <v>1049</v>
      </c>
      <c r="C1302" s="3">
        <v>45785.475694444453</v>
      </c>
      <c r="D1302" s="2" t="s">
        <v>33</v>
      </c>
      <c r="E1302" s="4">
        <v>3008.77</v>
      </c>
      <c r="F1302" s="2" t="s">
        <v>14</v>
      </c>
      <c r="G1302" s="5">
        <v>40</v>
      </c>
      <c r="H1302" s="2" t="s">
        <v>15</v>
      </c>
      <c r="I1302" s="2" t="s">
        <v>34</v>
      </c>
      <c r="J1302" s="2" t="s">
        <v>52</v>
      </c>
      <c r="K1302" s="2" t="s">
        <v>18</v>
      </c>
    </row>
    <row r="1303" spans="1:11" x14ac:dyDescent="0.3">
      <c r="A1303" s="2" t="s">
        <v>1682</v>
      </c>
      <c r="B1303" s="2" t="s">
        <v>176</v>
      </c>
      <c r="C1303" s="3">
        <v>45920.071527777778</v>
      </c>
      <c r="D1303" s="2" t="s">
        <v>28</v>
      </c>
      <c r="E1303" s="4">
        <v>12305.11</v>
      </c>
      <c r="F1303" s="2" t="s">
        <v>14</v>
      </c>
      <c r="G1303" s="5">
        <v>32</v>
      </c>
      <c r="H1303" s="2" t="s">
        <v>15</v>
      </c>
      <c r="I1303" s="2" t="s">
        <v>34</v>
      </c>
      <c r="J1303" s="2" t="s">
        <v>49</v>
      </c>
      <c r="K1303" s="2" t="s">
        <v>45</v>
      </c>
    </row>
    <row r="1304" spans="1:11" x14ac:dyDescent="0.3">
      <c r="A1304" s="2" t="s">
        <v>1683</v>
      </c>
      <c r="B1304" s="2" t="s">
        <v>435</v>
      </c>
      <c r="C1304" s="3">
        <v>45811.369444444441</v>
      </c>
      <c r="D1304" s="2" t="s">
        <v>33</v>
      </c>
      <c r="E1304" s="4">
        <v>7803.69</v>
      </c>
      <c r="F1304" s="2" t="s">
        <v>14</v>
      </c>
      <c r="G1304" s="5">
        <v>30</v>
      </c>
      <c r="H1304" s="2" t="s">
        <v>15</v>
      </c>
      <c r="I1304" s="2" t="s">
        <v>48</v>
      </c>
      <c r="J1304" s="2" t="s">
        <v>44</v>
      </c>
      <c r="K1304" s="2" t="s">
        <v>18</v>
      </c>
    </row>
    <row r="1305" spans="1:11" x14ac:dyDescent="0.3">
      <c r="A1305" s="2" t="s">
        <v>1684</v>
      </c>
      <c r="B1305" s="2" t="s">
        <v>619</v>
      </c>
      <c r="C1305" s="3">
        <v>45747.017361111109</v>
      </c>
      <c r="D1305" s="2" t="s">
        <v>28</v>
      </c>
      <c r="E1305" s="4">
        <v>17205.939999999999</v>
      </c>
      <c r="F1305" s="2" t="s">
        <v>14</v>
      </c>
      <c r="G1305" s="5">
        <v>51</v>
      </c>
      <c r="H1305" s="2" t="s">
        <v>15</v>
      </c>
      <c r="I1305" s="2" t="s">
        <v>34</v>
      </c>
      <c r="J1305" s="2" t="s">
        <v>17</v>
      </c>
      <c r="K1305" s="2" t="s">
        <v>22</v>
      </c>
    </row>
    <row r="1306" spans="1:11" x14ac:dyDescent="0.3">
      <c r="A1306" s="2" t="s">
        <v>1685</v>
      </c>
      <c r="B1306" s="2" t="s">
        <v>232</v>
      </c>
      <c r="C1306" s="3">
        <v>45889.740972222222</v>
      </c>
      <c r="D1306" s="2" t="s">
        <v>28</v>
      </c>
      <c r="E1306" s="4">
        <v>19805.03</v>
      </c>
      <c r="F1306" s="2" t="s">
        <v>14</v>
      </c>
      <c r="G1306" s="5">
        <v>36</v>
      </c>
      <c r="H1306" s="2" t="s">
        <v>15</v>
      </c>
      <c r="I1306" s="2" t="s">
        <v>34</v>
      </c>
      <c r="J1306" s="2" t="s">
        <v>44</v>
      </c>
      <c r="K1306" s="2" t="s">
        <v>18</v>
      </c>
    </row>
    <row r="1307" spans="1:11" x14ac:dyDescent="0.3">
      <c r="A1307" s="2" t="s">
        <v>1686</v>
      </c>
      <c r="B1307" s="2" t="s">
        <v>270</v>
      </c>
      <c r="C1307" s="3">
        <v>45939.29583333333</v>
      </c>
      <c r="D1307" s="2" t="s">
        <v>28</v>
      </c>
      <c r="E1307" s="4">
        <v>12208.45</v>
      </c>
      <c r="F1307" s="2" t="s">
        <v>14</v>
      </c>
      <c r="G1307" s="5">
        <v>50</v>
      </c>
      <c r="H1307" s="2" t="s">
        <v>29</v>
      </c>
      <c r="I1307" s="2" t="s">
        <v>95</v>
      </c>
      <c r="J1307" s="2" t="s">
        <v>49</v>
      </c>
      <c r="K1307" s="2" t="s">
        <v>18</v>
      </c>
    </row>
    <row r="1308" spans="1:11" x14ac:dyDescent="0.3">
      <c r="A1308" s="2" t="s">
        <v>1687</v>
      </c>
      <c r="B1308" s="2" t="s">
        <v>662</v>
      </c>
      <c r="C1308" s="3">
        <v>45894.160416666673</v>
      </c>
      <c r="D1308" s="2" t="s">
        <v>28</v>
      </c>
      <c r="E1308" s="4">
        <v>1778.45</v>
      </c>
      <c r="F1308" s="2" t="s">
        <v>14</v>
      </c>
      <c r="G1308" s="5">
        <v>45</v>
      </c>
      <c r="H1308" s="2" t="s">
        <v>15</v>
      </c>
      <c r="I1308" s="2" t="s">
        <v>34</v>
      </c>
      <c r="J1308" s="2" t="s">
        <v>52</v>
      </c>
      <c r="K1308" s="2" t="s">
        <v>18</v>
      </c>
    </row>
    <row r="1309" spans="1:11" x14ac:dyDescent="0.3">
      <c r="A1309" s="2" t="s">
        <v>1688</v>
      </c>
      <c r="B1309" s="2" t="s">
        <v>146</v>
      </c>
      <c r="C1309" s="3">
        <v>45729.125</v>
      </c>
      <c r="D1309" s="2" t="s">
        <v>28</v>
      </c>
      <c r="E1309" s="4">
        <v>20650.900000000001</v>
      </c>
      <c r="F1309" s="2" t="s">
        <v>14</v>
      </c>
      <c r="G1309" s="5">
        <v>24</v>
      </c>
      <c r="H1309" s="2" t="s">
        <v>15</v>
      </c>
      <c r="I1309" s="2" t="s">
        <v>60</v>
      </c>
      <c r="J1309" s="2" t="s">
        <v>17</v>
      </c>
      <c r="K1309" s="2" t="s">
        <v>45</v>
      </c>
    </row>
    <row r="1310" spans="1:11" x14ac:dyDescent="0.3">
      <c r="A1310" s="2" t="s">
        <v>1689</v>
      </c>
      <c r="B1310" s="2" t="s">
        <v>130</v>
      </c>
      <c r="C1310" s="3">
        <v>45689.297222222223</v>
      </c>
      <c r="D1310" s="2" t="s">
        <v>28</v>
      </c>
      <c r="E1310" s="4">
        <v>10738.43</v>
      </c>
      <c r="F1310" s="2" t="s">
        <v>14</v>
      </c>
      <c r="G1310" s="5">
        <v>38</v>
      </c>
      <c r="H1310" s="2" t="s">
        <v>29</v>
      </c>
      <c r="I1310" s="2" t="s">
        <v>48</v>
      </c>
      <c r="J1310" s="2" t="s">
        <v>17</v>
      </c>
      <c r="K1310" s="2" t="s">
        <v>45</v>
      </c>
    </row>
    <row r="1311" spans="1:11" x14ac:dyDescent="0.3">
      <c r="A1311" s="2" t="s">
        <v>1690</v>
      </c>
      <c r="B1311" s="2" t="s">
        <v>688</v>
      </c>
      <c r="C1311" s="3">
        <v>45759.515972222223</v>
      </c>
      <c r="D1311" s="2" t="s">
        <v>38</v>
      </c>
      <c r="E1311" s="4">
        <v>3145.21</v>
      </c>
      <c r="F1311" s="2" t="s">
        <v>14</v>
      </c>
      <c r="G1311" s="5">
        <v>24</v>
      </c>
      <c r="H1311" s="2" t="s">
        <v>29</v>
      </c>
      <c r="I1311" s="2" t="s">
        <v>34</v>
      </c>
      <c r="J1311" s="2" t="s">
        <v>44</v>
      </c>
      <c r="K1311" s="2" t="s">
        <v>18</v>
      </c>
    </row>
    <row r="1312" spans="1:11" x14ac:dyDescent="0.3">
      <c r="A1312" s="2" t="s">
        <v>1691</v>
      </c>
      <c r="B1312" s="2" t="s">
        <v>357</v>
      </c>
      <c r="C1312" s="3">
        <v>46009.861805555563</v>
      </c>
      <c r="D1312" s="2" t="s">
        <v>13</v>
      </c>
      <c r="E1312" s="4">
        <v>707.84</v>
      </c>
      <c r="F1312" s="2" t="s">
        <v>14</v>
      </c>
      <c r="G1312" s="5">
        <v>57</v>
      </c>
      <c r="H1312" s="2" t="s">
        <v>15</v>
      </c>
      <c r="I1312" s="2" t="s">
        <v>16</v>
      </c>
      <c r="J1312" s="2" t="s">
        <v>44</v>
      </c>
      <c r="K1312" s="2" t="s">
        <v>22</v>
      </c>
    </row>
    <row r="1313" spans="1:11" x14ac:dyDescent="0.3">
      <c r="A1313" s="2" t="s">
        <v>1692</v>
      </c>
      <c r="B1313" s="2" t="s">
        <v>90</v>
      </c>
      <c r="C1313" s="3">
        <v>45701.775694444441</v>
      </c>
      <c r="D1313" s="2" t="s">
        <v>28</v>
      </c>
      <c r="E1313" s="4">
        <v>3370.39</v>
      </c>
      <c r="F1313" s="2" t="s">
        <v>57</v>
      </c>
      <c r="G1313" s="5">
        <v>22</v>
      </c>
      <c r="H1313" s="2" t="s">
        <v>29</v>
      </c>
      <c r="I1313" s="2" t="s">
        <v>48</v>
      </c>
      <c r="J1313" s="2" t="s">
        <v>49</v>
      </c>
      <c r="K1313" s="2" t="s">
        <v>18</v>
      </c>
    </row>
    <row r="1314" spans="1:11" x14ac:dyDescent="0.3">
      <c r="A1314" s="2" t="s">
        <v>1693</v>
      </c>
      <c r="B1314" s="2" t="s">
        <v>1616</v>
      </c>
      <c r="C1314" s="3">
        <v>45790.084027777782</v>
      </c>
      <c r="D1314" s="2" t="s">
        <v>28</v>
      </c>
      <c r="E1314" s="4">
        <v>10833.29</v>
      </c>
      <c r="F1314" s="2" t="s">
        <v>57</v>
      </c>
      <c r="G1314" s="5">
        <v>29</v>
      </c>
      <c r="H1314" s="2" t="s">
        <v>15</v>
      </c>
      <c r="I1314" s="2" t="s">
        <v>34</v>
      </c>
      <c r="J1314" s="2" t="s">
        <v>17</v>
      </c>
      <c r="K1314" s="2" t="s">
        <v>45</v>
      </c>
    </row>
    <row r="1315" spans="1:11" x14ac:dyDescent="0.3">
      <c r="A1315" s="2" t="s">
        <v>1694</v>
      </c>
      <c r="B1315" s="2" t="s">
        <v>810</v>
      </c>
      <c r="C1315" s="3">
        <v>45691.289583333331</v>
      </c>
      <c r="D1315" s="2" t="s">
        <v>13</v>
      </c>
      <c r="E1315" s="4">
        <v>2503.0700000000002</v>
      </c>
      <c r="F1315" s="2" t="s">
        <v>14</v>
      </c>
      <c r="G1315" s="5">
        <v>54</v>
      </c>
      <c r="H1315" s="2" t="s">
        <v>15</v>
      </c>
      <c r="I1315" s="2" t="s">
        <v>34</v>
      </c>
      <c r="J1315" s="2" t="s">
        <v>17</v>
      </c>
      <c r="K1315" s="2" t="s">
        <v>18</v>
      </c>
    </row>
    <row r="1316" spans="1:11" x14ac:dyDescent="0.3">
      <c r="A1316" s="2" t="s">
        <v>1695</v>
      </c>
      <c r="B1316" s="2" t="s">
        <v>105</v>
      </c>
      <c r="C1316" s="3">
        <v>45988.618750000001</v>
      </c>
      <c r="D1316" s="2" t="s">
        <v>33</v>
      </c>
      <c r="E1316" s="4">
        <v>2915.99</v>
      </c>
      <c r="F1316" s="2" t="s">
        <v>14</v>
      </c>
      <c r="G1316" s="5">
        <v>42</v>
      </c>
      <c r="H1316" s="2" t="s">
        <v>15</v>
      </c>
      <c r="I1316" s="2" t="s">
        <v>34</v>
      </c>
      <c r="J1316" s="2" t="s">
        <v>49</v>
      </c>
      <c r="K1316" s="2" t="s">
        <v>45</v>
      </c>
    </row>
    <row r="1317" spans="1:11" x14ac:dyDescent="0.3">
      <c r="A1317" s="2" t="s">
        <v>1696</v>
      </c>
      <c r="B1317" s="2" t="s">
        <v>423</v>
      </c>
      <c r="C1317" s="3">
        <v>45723.122916666667</v>
      </c>
      <c r="D1317" s="2" t="s">
        <v>33</v>
      </c>
      <c r="E1317" s="4">
        <v>31673.77</v>
      </c>
      <c r="F1317" s="2" t="s">
        <v>14</v>
      </c>
      <c r="G1317" s="5">
        <v>28</v>
      </c>
      <c r="H1317" s="2" t="s">
        <v>29</v>
      </c>
      <c r="I1317" s="2" t="s">
        <v>34</v>
      </c>
      <c r="J1317" s="2" t="s">
        <v>44</v>
      </c>
      <c r="K1317" s="2" t="s">
        <v>45</v>
      </c>
    </row>
    <row r="1318" spans="1:11" x14ac:dyDescent="0.3">
      <c r="A1318" s="2" t="s">
        <v>1697</v>
      </c>
      <c r="B1318" s="2" t="s">
        <v>240</v>
      </c>
      <c r="C1318" s="3">
        <v>45827.126388888893</v>
      </c>
      <c r="D1318" s="2" t="s">
        <v>13</v>
      </c>
      <c r="E1318" s="4">
        <v>1352.96</v>
      </c>
      <c r="F1318" s="2" t="s">
        <v>14</v>
      </c>
      <c r="G1318" s="5">
        <v>37</v>
      </c>
      <c r="H1318" s="2" t="s">
        <v>15</v>
      </c>
      <c r="I1318" s="2" t="s">
        <v>34</v>
      </c>
      <c r="J1318" s="2" t="s">
        <v>44</v>
      </c>
      <c r="K1318" s="2" t="s">
        <v>35</v>
      </c>
    </row>
    <row r="1319" spans="1:11" x14ac:dyDescent="0.3">
      <c r="A1319" s="2" t="s">
        <v>1698</v>
      </c>
      <c r="B1319" s="2" t="s">
        <v>370</v>
      </c>
      <c r="C1319" s="3">
        <v>45894.048611111109</v>
      </c>
      <c r="D1319" s="2" t="s">
        <v>28</v>
      </c>
      <c r="E1319" s="4">
        <v>9382.1</v>
      </c>
      <c r="F1319" s="2" t="s">
        <v>14</v>
      </c>
      <c r="G1319" s="5">
        <v>35</v>
      </c>
      <c r="H1319" s="2" t="s">
        <v>15</v>
      </c>
      <c r="I1319" s="2" t="s">
        <v>34</v>
      </c>
      <c r="J1319" s="2" t="s">
        <v>49</v>
      </c>
      <c r="K1319" s="2" t="s">
        <v>45</v>
      </c>
    </row>
    <row r="1320" spans="1:11" x14ac:dyDescent="0.3">
      <c r="A1320" s="2" t="s">
        <v>1699</v>
      </c>
      <c r="B1320" s="2" t="s">
        <v>56</v>
      </c>
      <c r="C1320" s="3">
        <v>45951.577777777777</v>
      </c>
      <c r="D1320" s="2" t="s">
        <v>28</v>
      </c>
      <c r="E1320" s="4">
        <v>69785.95</v>
      </c>
      <c r="F1320" s="2" t="s">
        <v>14</v>
      </c>
      <c r="G1320" s="5">
        <v>64</v>
      </c>
      <c r="H1320" s="2" t="s">
        <v>29</v>
      </c>
      <c r="I1320" s="2" t="s">
        <v>30</v>
      </c>
      <c r="J1320" s="2" t="s">
        <v>49</v>
      </c>
      <c r="K1320" s="2" t="s">
        <v>22</v>
      </c>
    </row>
    <row r="1321" spans="1:11" x14ac:dyDescent="0.3">
      <c r="A1321" s="2" t="s">
        <v>1700</v>
      </c>
      <c r="B1321" s="2" t="s">
        <v>816</v>
      </c>
      <c r="C1321" s="3">
        <v>45860.625694444447</v>
      </c>
      <c r="D1321" s="2" t="s">
        <v>28</v>
      </c>
      <c r="E1321" s="4">
        <v>16235.21</v>
      </c>
      <c r="F1321" s="2" t="s">
        <v>14</v>
      </c>
      <c r="G1321" s="5">
        <v>37</v>
      </c>
      <c r="H1321" s="2" t="s">
        <v>15</v>
      </c>
      <c r="I1321" s="2" t="s">
        <v>60</v>
      </c>
      <c r="J1321" s="2" t="s">
        <v>44</v>
      </c>
      <c r="K1321" s="2" t="s">
        <v>18</v>
      </c>
    </row>
    <row r="1322" spans="1:11" x14ac:dyDescent="0.3">
      <c r="A1322" s="2" t="s">
        <v>1701</v>
      </c>
      <c r="B1322" s="2" t="s">
        <v>332</v>
      </c>
      <c r="C1322" s="3">
        <v>45853.893750000003</v>
      </c>
      <c r="D1322" s="2" t="s">
        <v>28</v>
      </c>
      <c r="E1322" s="4">
        <v>18541.080000000002</v>
      </c>
      <c r="F1322" s="2" t="s">
        <v>14</v>
      </c>
      <c r="G1322" s="5">
        <v>36</v>
      </c>
      <c r="H1322" s="2" t="s">
        <v>29</v>
      </c>
      <c r="I1322" s="2" t="s">
        <v>25</v>
      </c>
      <c r="J1322" s="2" t="s">
        <v>44</v>
      </c>
      <c r="K1322" s="2" t="s">
        <v>45</v>
      </c>
    </row>
    <row r="1323" spans="1:11" x14ac:dyDescent="0.3">
      <c r="A1323" s="2" t="s">
        <v>1702</v>
      </c>
      <c r="B1323" s="2" t="s">
        <v>896</v>
      </c>
      <c r="C1323" s="3">
        <v>45746.467361111107</v>
      </c>
      <c r="D1323" s="2" t="s">
        <v>33</v>
      </c>
      <c r="E1323" s="4">
        <v>4648.2</v>
      </c>
      <c r="F1323" s="2" t="s">
        <v>14</v>
      </c>
      <c r="G1323" s="5">
        <v>50</v>
      </c>
      <c r="H1323" s="2" t="s">
        <v>15</v>
      </c>
      <c r="I1323" s="2" t="s">
        <v>78</v>
      </c>
      <c r="J1323" s="2" t="s">
        <v>49</v>
      </c>
      <c r="K1323" s="2" t="s">
        <v>18</v>
      </c>
    </row>
    <row r="1324" spans="1:11" x14ac:dyDescent="0.3">
      <c r="A1324" s="2" t="s">
        <v>1703</v>
      </c>
      <c r="B1324" s="2" t="s">
        <v>47</v>
      </c>
      <c r="C1324" s="3">
        <v>45753.345138888893</v>
      </c>
      <c r="D1324" s="2" t="s">
        <v>28</v>
      </c>
      <c r="E1324" s="4">
        <v>49515.88</v>
      </c>
      <c r="F1324" s="2" t="s">
        <v>14</v>
      </c>
      <c r="G1324" s="5">
        <v>53</v>
      </c>
      <c r="H1324" s="2" t="s">
        <v>15</v>
      </c>
      <c r="I1324" s="2" t="s">
        <v>48</v>
      </c>
      <c r="J1324" s="2" t="s">
        <v>49</v>
      </c>
      <c r="K1324" s="2" t="s">
        <v>45</v>
      </c>
    </row>
    <row r="1325" spans="1:11" x14ac:dyDescent="0.3">
      <c r="A1325" s="2" t="s">
        <v>1704</v>
      </c>
      <c r="B1325" s="2" t="s">
        <v>1026</v>
      </c>
      <c r="C1325" s="3">
        <v>45886.168055555558</v>
      </c>
      <c r="D1325" s="2" t="s">
        <v>28</v>
      </c>
      <c r="E1325" s="4">
        <v>29287.4</v>
      </c>
      <c r="F1325" s="2" t="s">
        <v>14</v>
      </c>
      <c r="G1325" s="5">
        <v>43</v>
      </c>
      <c r="H1325" s="2" t="s">
        <v>15</v>
      </c>
      <c r="I1325" s="2" t="s">
        <v>78</v>
      </c>
      <c r="J1325" s="2" t="s">
        <v>17</v>
      </c>
      <c r="K1325" s="2" t="s">
        <v>45</v>
      </c>
    </row>
    <row r="1326" spans="1:11" x14ac:dyDescent="0.3">
      <c r="A1326" s="2" t="s">
        <v>1705</v>
      </c>
      <c r="B1326" s="2" t="s">
        <v>115</v>
      </c>
      <c r="C1326" s="3">
        <v>45972.818749999999</v>
      </c>
      <c r="D1326" s="2" t="s">
        <v>38</v>
      </c>
      <c r="E1326" s="4">
        <v>4678.03</v>
      </c>
      <c r="F1326" s="2" t="s">
        <v>14</v>
      </c>
      <c r="G1326" s="5">
        <v>42</v>
      </c>
      <c r="H1326" s="2" t="s">
        <v>29</v>
      </c>
      <c r="I1326" s="2" t="s">
        <v>34</v>
      </c>
      <c r="J1326" s="2" t="s">
        <v>44</v>
      </c>
      <c r="K1326" s="2" t="s">
        <v>35</v>
      </c>
    </row>
    <row r="1327" spans="1:11" x14ac:dyDescent="0.3">
      <c r="A1327" s="2" t="s">
        <v>1706</v>
      </c>
      <c r="B1327" s="2" t="s">
        <v>774</v>
      </c>
      <c r="C1327" s="3">
        <v>45783.845833333333</v>
      </c>
      <c r="D1327" s="2" t="s">
        <v>28</v>
      </c>
      <c r="E1327" s="4">
        <v>9827.36</v>
      </c>
      <c r="F1327" s="2" t="s">
        <v>14</v>
      </c>
      <c r="G1327" s="5">
        <v>42</v>
      </c>
      <c r="H1327" s="2" t="s">
        <v>15</v>
      </c>
      <c r="I1327" s="2" t="s">
        <v>95</v>
      </c>
      <c r="J1327" s="2" t="s">
        <v>17</v>
      </c>
      <c r="K1327" s="2" t="s">
        <v>22</v>
      </c>
    </row>
    <row r="1328" spans="1:11" x14ac:dyDescent="0.3">
      <c r="A1328" s="2" t="s">
        <v>1707</v>
      </c>
      <c r="B1328" s="2" t="s">
        <v>535</v>
      </c>
      <c r="C1328" s="3">
        <v>45913.580555555563</v>
      </c>
      <c r="D1328" s="2" t="s">
        <v>13</v>
      </c>
      <c r="E1328" s="4">
        <v>332.34</v>
      </c>
      <c r="F1328" s="2" t="s">
        <v>14</v>
      </c>
      <c r="G1328" s="5">
        <v>28</v>
      </c>
      <c r="H1328" s="2" t="s">
        <v>15</v>
      </c>
      <c r="I1328" s="2" t="s">
        <v>34</v>
      </c>
      <c r="J1328" s="2" t="s">
        <v>49</v>
      </c>
      <c r="K1328" s="2" t="s">
        <v>18</v>
      </c>
    </row>
    <row r="1329" spans="1:11" x14ac:dyDescent="0.3">
      <c r="A1329" s="2" t="s">
        <v>1708</v>
      </c>
      <c r="B1329" s="2" t="s">
        <v>808</v>
      </c>
      <c r="C1329" s="3">
        <v>45939.627083333333</v>
      </c>
      <c r="D1329" s="2" t="s">
        <v>28</v>
      </c>
      <c r="E1329" s="4">
        <v>5966.33</v>
      </c>
      <c r="F1329" s="2" t="s">
        <v>14</v>
      </c>
      <c r="G1329" s="5">
        <v>26</v>
      </c>
      <c r="H1329" s="2" t="s">
        <v>15</v>
      </c>
      <c r="I1329" s="2" t="s">
        <v>34</v>
      </c>
      <c r="J1329" s="2" t="s">
        <v>17</v>
      </c>
      <c r="K1329" s="2" t="s">
        <v>35</v>
      </c>
    </row>
    <row r="1330" spans="1:11" x14ac:dyDescent="0.3">
      <c r="A1330" s="2" t="s">
        <v>1709</v>
      </c>
      <c r="B1330" s="2" t="s">
        <v>173</v>
      </c>
      <c r="C1330" s="3">
        <v>45702.35</v>
      </c>
      <c r="D1330" s="2" t="s">
        <v>28</v>
      </c>
      <c r="E1330" s="4">
        <v>9870.67</v>
      </c>
      <c r="F1330" s="2" t="s">
        <v>14</v>
      </c>
      <c r="G1330" s="5">
        <v>24</v>
      </c>
      <c r="H1330" s="2" t="s">
        <v>15</v>
      </c>
      <c r="I1330" s="2" t="s">
        <v>30</v>
      </c>
      <c r="J1330" s="2" t="s">
        <v>49</v>
      </c>
      <c r="K1330" s="2" t="s">
        <v>18</v>
      </c>
    </row>
    <row r="1331" spans="1:11" x14ac:dyDescent="0.3">
      <c r="A1331" s="2" t="s">
        <v>1710</v>
      </c>
      <c r="B1331" s="2" t="s">
        <v>834</v>
      </c>
      <c r="C1331" s="3">
        <v>45728.55</v>
      </c>
      <c r="D1331" s="2" t="s">
        <v>38</v>
      </c>
      <c r="E1331" s="4">
        <v>3431.73</v>
      </c>
      <c r="F1331" s="2" t="s">
        <v>14</v>
      </c>
      <c r="G1331" s="5">
        <v>28</v>
      </c>
      <c r="H1331" s="2" t="s">
        <v>29</v>
      </c>
      <c r="I1331" s="2" t="s">
        <v>34</v>
      </c>
      <c r="J1331" s="2" t="s">
        <v>17</v>
      </c>
      <c r="K1331" s="2" t="s">
        <v>18</v>
      </c>
    </row>
    <row r="1332" spans="1:11" x14ac:dyDescent="0.3">
      <c r="A1332" s="2" t="s">
        <v>1711</v>
      </c>
      <c r="B1332" s="2" t="s">
        <v>88</v>
      </c>
      <c r="C1332" s="3">
        <v>45987.677083333343</v>
      </c>
      <c r="D1332" s="2" t="s">
        <v>28</v>
      </c>
      <c r="E1332" s="4">
        <v>39200.82</v>
      </c>
      <c r="F1332" s="2" t="s">
        <v>14</v>
      </c>
      <c r="G1332" s="5">
        <v>25</v>
      </c>
      <c r="H1332" s="2" t="s">
        <v>29</v>
      </c>
      <c r="I1332" s="2" t="s">
        <v>34</v>
      </c>
      <c r="J1332" s="2" t="s">
        <v>49</v>
      </c>
      <c r="K1332" s="2" t="s">
        <v>18</v>
      </c>
    </row>
    <row r="1333" spans="1:11" x14ac:dyDescent="0.3">
      <c r="A1333" s="2" t="s">
        <v>1712</v>
      </c>
      <c r="B1333" s="2" t="s">
        <v>1290</v>
      </c>
      <c r="C1333" s="3">
        <v>45980.743055555547</v>
      </c>
      <c r="D1333" s="2" t="s">
        <v>28</v>
      </c>
      <c r="E1333" s="4">
        <v>33602.480000000003</v>
      </c>
      <c r="F1333" s="2" t="s">
        <v>14</v>
      </c>
      <c r="G1333" s="5">
        <v>32</v>
      </c>
      <c r="H1333" s="2" t="s">
        <v>15</v>
      </c>
      <c r="I1333" s="2" t="s">
        <v>34</v>
      </c>
      <c r="J1333" s="2" t="s">
        <v>44</v>
      </c>
      <c r="K1333" s="2" t="s">
        <v>45</v>
      </c>
    </row>
    <row r="1334" spans="1:11" x14ac:dyDescent="0.3">
      <c r="A1334" s="2" t="s">
        <v>1713</v>
      </c>
      <c r="B1334" s="2" t="s">
        <v>718</v>
      </c>
      <c r="C1334" s="3">
        <v>45667.534722222219</v>
      </c>
      <c r="D1334" s="2" t="s">
        <v>13</v>
      </c>
      <c r="E1334" s="4">
        <v>727.6</v>
      </c>
      <c r="F1334" s="2" t="s">
        <v>14</v>
      </c>
      <c r="G1334" s="5">
        <v>23</v>
      </c>
      <c r="H1334" s="2" t="s">
        <v>29</v>
      </c>
      <c r="I1334" s="2" t="s">
        <v>34</v>
      </c>
      <c r="J1334" s="2" t="s">
        <v>17</v>
      </c>
      <c r="K1334" s="2" t="s">
        <v>18</v>
      </c>
    </row>
    <row r="1335" spans="1:11" x14ac:dyDescent="0.3">
      <c r="A1335" s="2" t="s">
        <v>1714</v>
      </c>
      <c r="B1335" s="2" t="s">
        <v>215</v>
      </c>
      <c r="C1335" s="3">
        <v>45841.648611111108</v>
      </c>
      <c r="D1335" s="2" t="s">
        <v>38</v>
      </c>
      <c r="E1335" s="4">
        <v>12469.11</v>
      </c>
      <c r="F1335" s="2" t="s">
        <v>14</v>
      </c>
      <c r="G1335" s="5">
        <v>28</v>
      </c>
      <c r="H1335" s="2" t="s">
        <v>15</v>
      </c>
      <c r="I1335" s="2" t="s">
        <v>30</v>
      </c>
      <c r="J1335" s="2" t="s">
        <v>17</v>
      </c>
      <c r="K1335" s="2" t="s">
        <v>45</v>
      </c>
    </row>
    <row r="1336" spans="1:11" x14ac:dyDescent="0.3">
      <c r="A1336" s="2" t="s">
        <v>1715</v>
      </c>
      <c r="B1336" s="2" t="s">
        <v>329</v>
      </c>
      <c r="C1336" s="3">
        <v>45906.498611111107</v>
      </c>
      <c r="D1336" s="2" t="s">
        <v>13</v>
      </c>
      <c r="E1336" s="4">
        <v>1392.14</v>
      </c>
      <c r="F1336" s="2" t="s">
        <v>14</v>
      </c>
      <c r="G1336" s="5">
        <v>31</v>
      </c>
      <c r="H1336" s="2" t="s">
        <v>15</v>
      </c>
      <c r="I1336" s="2" t="s">
        <v>34</v>
      </c>
      <c r="J1336" s="2" t="s">
        <v>49</v>
      </c>
      <c r="K1336" s="2" t="s">
        <v>18</v>
      </c>
    </row>
    <row r="1337" spans="1:11" x14ac:dyDescent="0.3">
      <c r="A1337" s="2" t="s">
        <v>1716</v>
      </c>
      <c r="B1337" s="2" t="s">
        <v>1717</v>
      </c>
      <c r="C1337" s="3">
        <v>45947.680555555547</v>
      </c>
      <c r="D1337" s="2" t="s">
        <v>28</v>
      </c>
      <c r="E1337" s="4">
        <v>52051.32</v>
      </c>
      <c r="F1337" s="2" t="s">
        <v>14</v>
      </c>
      <c r="G1337" s="5">
        <v>42</v>
      </c>
      <c r="H1337" s="2" t="s">
        <v>15</v>
      </c>
      <c r="I1337" s="2" t="s">
        <v>43</v>
      </c>
      <c r="J1337" s="2" t="s">
        <v>49</v>
      </c>
      <c r="K1337" s="2" t="s">
        <v>18</v>
      </c>
    </row>
    <row r="1338" spans="1:11" x14ac:dyDescent="0.3">
      <c r="A1338" s="2" t="s">
        <v>1718</v>
      </c>
      <c r="B1338" s="2" t="s">
        <v>163</v>
      </c>
      <c r="C1338" s="3">
        <v>45856.34097222222</v>
      </c>
      <c r="D1338" s="2" t="s">
        <v>28</v>
      </c>
      <c r="E1338" s="4">
        <v>1281.04</v>
      </c>
      <c r="F1338" s="2" t="s">
        <v>14</v>
      </c>
      <c r="G1338" s="5">
        <v>31</v>
      </c>
      <c r="H1338" s="2" t="s">
        <v>29</v>
      </c>
      <c r="I1338" s="2" t="s">
        <v>25</v>
      </c>
      <c r="J1338" s="2" t="s">
        <v>49</v>
      </c>
      <c r="K1338" s="2" t="s">
        <v>18</v>
      </c>
    </row>
    <row r="1339" spans="1:11" x14ac:dyDescent="0.3">
      <c r="A1339" s="2" t="s">
        <v>1719</v>
      </c>
      <c r="B1339" s="2" t="s">
        <v>969</v>
      </c>
      <c r="C1339" s="3">
        <v>45671.443055555559</v>
      </c>
      <c r="D1339" s="2" t="s">
        <v>28</v>
      </c>
      <c r="E1339" s="4">
        <v>86603.23</v>
      </c>
      <c r="F1339" s="2" t="s">
        <v>14</v>
      </c>
      <c r="G1339" s="5">
        <v>60</v>
      </c>
      <c r="H1339" s="2" t="s">
        <v>15</v>
      </c>
      <c r="I1339" s="2" t="s">
        <v>21</v>
      </c>
      <c r="J1339" s="2" t="s">
        <v>17</v>
      </c>
      <c r="K1339" s="2" t="s">
        <v>35</v>
      </c>
    </row>
    <row r="1340" spans="1:11" x14ac:dyDescent="0.3">
      <c r="A1340" s="2" t="s">
        <v>1720</v>
      </c>
      <c r="B1340" s="2" t="s">
        <v>223</v>
      </c>
      <c r="C1340" s="3">
        <v>45770.039583333331</v>
      </c>
      <c r="D1340" s="2" t="s">
        <v>38</v>
      </c>
      <c r="E1340" s="4">
        <v>2425.38</v>
      </c>
      <c r="F1340" s="2" t="s">
        <v>14</v>
      </c>
      <c r="G1340" s="5">
        <v>40</v>
      </c>
      <c r="H1340" s="2" t="s">
        <v>15</v>
      </c>
      <c r="I1340" s="2" t="s">
        <v>34</v>
      </c>
      <c r="J1340" s="2" t="s">
        <v>49</v>
      </c>
      <c r="K1340" s="2" t="s">
        <v>45</v>
      </c>
    </row>
    <row r="1341" spans="1:11" x14ac:dyDescent="0.3">
      <c r="A1341" s="2" t="s">
        <v>1721</v>
      </c>
      <c r="B1341" s="2" t="s">
        <v>860</v>
      </c>
      <c r="C1341" s="3">
        <v>45801.07708333333</v>
      </c>
      <c r="D1341" s="2" t="s">
        <v>28</v>
      </c>
      <c r="E1341" s="4">
        <v>6572.97</v>
      </c>
      <c r="F1341" s="2" t="s">
        <v>14</v>
      </c>
      <c r="G1341" s="5">
        <v>29</v>
      </c>
      <c r="H1341" s="2" t="s">
        <v>15</v>
      </c>
      <c r="I1341" s="2" t="s">
        <v>21</v>
      </c>
      <c r="J1341" s="2" t="s">
        <v>52</v>
      </c>
      <c r="K1341" s="2" t="s">
        <v>45</v>
      </c>
    </row>
    <row r="1342" spans="1:11" x14ac:dyDescent="0.3">
      <c r="A1342" s="2" t="s">
        <v>1722</v>
      </c>
      <c r="B1342" s="2" t="s">
        <v>1171</v>
      </c>
      <c r="C1342" s="3">
        <v>45899.681944444441</v>
      </c>
      <c r="D1342" s="2" t="s">
        <v>28</v>
      </c>
      <c r="E1342" s="4">
        <v>10669.4</v>
      </c>
      <c r="F1342" s="2" t="s">
        <v>14</v>
      </c>
      <c r="G1342" s="5">
        <v>32</v>
      </c>
      <c r="H1342" s="2" t="s">
        <v>29</v>
      </c>
      <c r="I1342" s="2" t="s">
        <v>34</v>
      </c>
      <c r="J1342" s="2" t="s">
        <v>17</v>
      </c>
      <c r="K1342" s="2" t="s">
        <v>35</v>
      </c>
    </row>
    <row r="1343" spans="1:11" x14ac:dyDescent="0.3">
      <c r="A1343" s="2" t="s">
        <v>1723</v>
      </c>
      <c r="B1343" s="2" t="s">
        <v>1306</v>
      </c>
      <c r="C1343" s="3">
        <v>45957.298611111109</v>
      </c>
      <c r="D1343" s="2" t="s">
        <v>28</v>
      </c>
      <c r="E1343" s="4">
        <v>40688.839999999997</v>
      </c>
      <c r="F1343" s="2" t="s">
        <v>14</v>
      </c>
      <c r="G1343" s="5">
        <v>40</v>
      </c>
      <c r="H1343" s="2" t="s">
        <v>29</v>
      </c>
      <c r="I1343" s="2" t="s">
        <v>48</v>
      </c>
      <c r="J1343" s="2" t="s">
        <v>17</v>
      </c>
      <c r="K1343" s="2" t="s">
        <v>45</v>
      </c>
    </row>
    <row r="1344" spans="1:11" x14ac:dyDescent="0.3">
      <c r="A1344" s="2" t="s">
        <v>1724</v>
      </c>
      <c r="B1344" s="2" t="s">
        <v>774</v>
      </c>
      <c r="C1344" s="3">
        <v>45709.320833333331</v>
      </c>
      <c r="D1344" s="2" t="s">
        <v>38</v>
      </c>
      <c r="E1344" s="4">
        <v>3260.13</v>
      </c>
      <c r="F1344" s="2" t="s">
        <v>14</v>
      </c>
      <c r="G1344" s="5">
        <v>42</v>
      </c>
      <c r="H1344" s="2" t="s">
        <v>15</v>
      </c>
      <c r="I1344" s="2" t="s">
        <v>95</v>
      </c>
      <c r="J1344" s="2" t="s">
        <v>17</v>
      </c>
      <c r="K1344" s="2" t="s">
        <v>35</v>
      </c>
    </row>
    <row r="1345" spans="1:11" x14ac:dyDescent="0.3">
      <c r="A1345" s="2" t="s">
        <v>1725</v>
      </c>
      <c r="B1345" s="2" t="s">
        <v>440</v>
      </c>
      <c r="C1345" s="3">
        <v>45781.356944444437</v>
      </c>
      <c r="D1345" s="2" t="s">
        <v>13</v>
      </c>
      <c r="E1345" s="4">
        <v>4714.93</v>
      </c>
      <c r="F1345" s="2" t="s">
        <v>14</v>
      </c>
      <c r="G1345" s="5">
        <v>23</v>
      </c>
      <c r="H1345" s="2" t="s">
        <v>29</v>
      </c>
      <c r="I1345" s="2" t="s">
        <v>34</v>
      </c>
      <c r="J1345" s="2" t="s">
        <v>49</v>
      </c>
      <c r="K1345" s="2" t="s">
        <v>18</v>
      </c>
    </row>
    <row r="1346" spans="1:11" x14ac:dyDescent="0.3">
      <c r="A1346" s="2" t="s">
        <v>1726</v>
      </c>
      <c r="B1346" s="2" t="s">
        <v>203</v>
      </c>
      <c r="C1346" s="3">
        <v>45686.316666666673</v>
      </c>
      <c r="D1346" s="2" t="s">
        <v>28</v>
      </c>
      <c r="E1346" s="4">
        <v>2492.66</v>
      </c>
      <c r="F1346" s="2" t="s">
        <v>14</v>
      </c>
      <c r="G1346" s="5">
        <v>37</v>
      </c>
      <c r="H1346" s="2" t="s">
        <v>29</v>
      </c>
      <c r="I1346" s="2" t="s">
        <v>48</v>
      </c>
      <c r="J1346" s="2" t="s">
        <v>44</v>
      </c>
      <c r="K1346" s="2" t="s">
        <v>35</v>
      </c>
    </row>
    <row r="1347" spans="1:11" x14ac:dyDescent="0.3">
      <c r="A1347" s="2" t="s">
        <v>1727</v>
      </c>
      <c r="B1347" s="2" t="s">
        <v>165</v>
      </c>
      <c r="C1347" s="3">
        <v>45856.499305555553</v>
      </c>
      <c r="D1347" s="2" t="s">
        <v>38</v>
      </c>
      <c r="E1347" s="4">
        <v>8673.16</v>
      </c>
      <c r="F1347" s="2" t="s">
        <v>14</v>
      </c>
      <c r="G1347" s="5">
        <v>31</v>
      </c>
      <c r="H1347" s="2" t="s">
        <v>29</v>
      </c>
      <c r="I1347" s="2" t="s">
        <v>30</v>
      </c>
      <c r="J1347" s="2" t="s">
        <v>52</v>
      </c>
      <c r="K1347" s="2" t="s">
        <v>45</v>
      </c>
    </row>
    <row r="1348" spans="1:11" x14ac:dyDescent="0.3">
      <c r="A1348" s="2" t="s">
        <v>1728</v>
      </c>
      <c r="B1348" s="2" t="s">
        <v>173</v>
      </c>
      <c r="C1348" s="3">
        <v>45746.21875</v>
      </c>
      <c r="D1348" s="2" t="s">
        <v>28</v>
      </c>
      <c r="E1348" s="4">
        <v>64983.91</v>
      </c>
      <c r="F1348" s="2" t="s">
        <v>14</v>
      </c>
      <c r="G1348" s="5">
        <v>24</v>
      </c>
      <c r="H1348" s="2" t="s">
        <v>15</v>
      </c>
      <c r="I1348" s="2" t="s">
        <v>30</v>
      </c>
      <c r="J1348" s="2" t="s">
        <v>49</v>
      </c>
      <c r="K1348" s="2" t="s">
        <v>45</v>
      </c>
    </row>
    <row r="1349" spans="1:11" x14ac:dyDescent="0.3">
      <c r="A1349" s="2" t="s">
        <v>1729</v>
      </c>
      <c r="B1349" s="2" t="s">
        <v>71</v>
      </c>
      <c r="C1349" s="3">
        <v>45961.45208333333</v>
      </c>
      <c r="D1349" s="2" t="s">
        <v>28</v>
      </c>
      <c r="E1349" s="4">
        <v>20684.060000000001</v>
      </c>
      <c r="F1349" s="2" t="s">
        <v>14</v>
      </c>
      <c r="G1349" s="5">
        <v>42</v>
      </c>
      <c r="H1349" s="2" t="s">
        <v>15</v>
      </c>
      <c r="I1349" s="2" t="s">
        <v>60</v>
      </c>
      <c r="J1349" s="2" t="s">
        <v>17</v>
      </c>
      <c r="K1349" s="2" t="s">
        <v>22</v>
      </c>
    </row>
    <row r="1350" spans="1:11" x14ac:dyDescent="0.3">
      <c r="A1350" s="2" t="s">
        <v>1730</v>
      </c>
      <c r="B1350" s="2" t="s">
        <v>254</v>
      </c>
      <c r="C1350" s="3">
        <v>46015.498611111107</v>
      </c>
      <c r="D1350" s="2" t="s">
        <v>28</v>
      </c>
      <c r="E1350" s="4">
        <v>11136.95</v>
      </c>
      <c r="F1350" s="2" t="s">
        <v>14</v>
      </c>
      <c r="G1350" s="5">
        <v>36</v>
      </c>
      <c r="H1350" s="2" t="s">
        <v>29</v>
      </c>
      <c r="I1350" s="2" t="s">
        <v>34</v>
      </c>
      <c r="J1350" s="2" t="s">
        <v>17</v>
      </c>
      <c r="K1350" s="2" t="s">
        <v>18</v>
      </c>
    </row>
    <row r="1351" spans="1:11" x14ac:dyDescent="0.3">
      <c r="A1351" s="2" t="s">
        <v>1731</v>
      </c>
      <c r="B1351" s="2" t="s">
        <v>219</v>
      </c>
      <c r="C1351" s="3">
        <v>45960.03125</v>
      </c>
      <c r="D1351" s="2" t="s">
        <v>38</v>
      </c>
      <c r="E1351" s="4">
        <v>3574.3</v>
      </c>
      <c r="F1351" s="2" t="s">
        <v>14</v>
      </c>
      <c r="G1351" s="5">
        <v>21</v>
      </c>
      <c r="H1351" s="2" t="s">
        <v>15</v>
      </c>
      <c r="I1351" s="2" t="s">
        <v>30</v>
      </c>
      <c r="J1351" s="2" t="s">
        <v>44</v>
      </c>
      <c r="K1351" s="2" t="s">
        <v>45</v>
      </c>
    </row>
    <row r="1352" spans="1:11" x14ac:dyDescent="0.3">
      <c r="A1352" s="2" t="s">
        <v>1732</v>
      </c>
      <c r="B1352" s="2" t="s">
        <v>980</v>
      </c>
      <c r="C1352" s="3">
        <v>46016.48333333333</v>
      </c>
      <c r="D1352" s="2" t="s">
        <v>38</v>
      </c>
      <c r="E1352" s="4">
        <v>1481.77</v>
      </c>
      <c r="F1352" s="2" t="s">
        <v>14</v>
      </c>
      <c r="G1352" s="5">
        <v>43</v>
      </c>
      <c r="H1352" s="2" t="s">
        <v>15</v>
      </c>
      <c r="I1352" s="2" t="s">
        <v>78</v>
      </c>
      <c r="J1352" s="2" t="s">
        <v>17</v>
      </c>
      <c r="K1352" s="2" t="s">
        <v>45</v>
      </c>
    </row>
    <row r="1353" spans="1:11" x14ac:dyDescent="0.3">
      <c r="A1353" s="2" t="s">
        <v>1733</v>
      </c>
      <c r="B1353" s="2" t="s">
        <v>1077</v>
      </c>
      <c r="C1353" s="3">
        <v>45946.191666666673</v>
      </c>
      <c r="D1353" s="2" t="s">
        <v>28</v>
      </c>
      <c r="E1353" s="4">
        <v>2143.33</v>
      </c>
      <c r="F1353" s="2" t="s">
        <v>14</v>
      </c>
      <c r="G1353" s="5">
        <v>30</v>
      </c>
      <c r="H1353" s="2" t="s">
        <v>29</v>
      </c>
      <c r="I1353" s="2" t="s">
        <v>60</v>
      </c>
      <c r="J1353" s="2" t="s">
        <v>49</v>
      </c>
      <c r="K1353" s="2" t="s">
        <v>18</v>
      </c>
    </row>
    <row r="1354" spans="1:11" x14ac:dyDescent="0.3">
      <c r="A1354" s="2" t="s">
        <v>1734</v>
      </c>
      <c r="B1354" s="2" t="s">
        <v>264</v>
      </c>
      <c r="C1354" s="3">
        <v>45754.648611111108</v>
      </c>
      <c r="D1354" s="2" t="s">
        <v>28</v>
      </c>
      <c r="E1354" s="4">
        <v>7453.51</v>
      </c>
      <c r="F1354" s="2" t="s">
        <v>14</v>
      </c>
      <c r="G1354" s="5">
        <v>26</v>
      </c>
      <c r="H1354" s="2" t="s">
        <v>29</v>
      </c>
      <c r="I1354" s="2" t="s">
        <v>34</v>
      </c>
      <c r="J1354" s="2" t="s">
        <v>49</v>
      </c>
      <c r="K1354" s="2" t="s">
        <v>18</v>
      </c>
    </row>
    <row r="1355" spans="1:11" x14ac:dyDescent="0.3">
      <c r="A1355" s="2" t="s">
        <v>1735</v>
      </c>
      <c r="B1355" s="2" t="s">
        <v>958</v>
      </c>
      <c r="C1355" s="3">
        <v>45816.229861111111</v>
      </c>
      <c r="D1355" s="2" t="s">
        <v>154</v>
      </c>
      <c r="E1355" s="4">
        <v>2000</v>
      </c>
      <c r="F1355" s="2" t="s">
        <v>14</v>
      </c>
      <c r="G1355" s="5">
        <v>37</v>
      </c>
      <c r="H1355" s="2" t="s">
        <v>29</v>
      </c>
      <c r="I1355" s="2" t="s">
        <v>34</v>
      </c>
      <c r="J1355" s="2" t="s">
        <v>49</v>
      </c>
      <c r="K1355" s="2" t="s">
        <v>18</v>
      </c>
    </row>
    <row r="1356" spans="1:11" x14ac:dyDescent="0.3">
      <c r="A1356" s="2" t="s">
        <v>1736</v>
      </c>
      <c r="B1356" s="2" t="s">
        <v>917</v>
      </c>
      <c r="C1356" s="3">
        <v>45677.085416666669</v>
      </c>
      <c r="D1356" s="2" t="s">
        <v>38</v>
      </c>
      <c r="E1356" s="4">
        <v>1725.72</v>
      </c>
      <c r="F1356" s="2" t="s">
        <v>14</v>
      </c>
      <c r="G1356" s="5">
        <v>38</v>
      </c>
      <c r="H1356" s="2" t="s">
        <v>29</v>
      </c>
      <c r="I1356" s="2" t="s">
        <v>95</v>
      </c>
      <c r="J1356" s="2" t="s">
        <v>49</v>
      </c>
      <c r="K1356" s="2" t="s">
        <v>18</v>
      </c>
    </row>
    <row r="1357" spans="1:11" x14ac:dyDescent="0.3">
      <c r="A1357" s="2" t="s">
        <v>1737</v>
      </c>
      <c r="B1357" s="2" t="s">
        <v>213</v>
      </c>
      <c r="C1357" s="3">
        <v>45777.801388888889</v>
      </c>
      <c r="D1357" s="2" t="s">
        <v>13</v>
      </c>
      <c r="E1357" s="4">
        <v>1539.22</v>
      </c>
      <c r="F1357" s="2" t="s">
        <v>14</v>
      </c>
      <c r="G1357" s="5">
        <v>50</v>
      </c>
      <c r="H1357" s="2" t="s">
        <v>29</v>
      </c>
      <c r="I1357" s="2" t="s">
        <v>25</v>
      </c>
      <c r="J1357" s="2" t="s">
        <v>49</v>
      </c>
      <c r="K1357" s="2" t="s">
        <v>45</v>
      </c>
    </row>
    <row r="1358" spans="1:11" x14ac:dyDescent="0.3">
      <c r="A1358" s="2" t="s">
        <v>1738</v>
      </c>
      <c r="B1358" s="2" t="s">
        <v>662</v>
      </c>
      <c r="C1358" s="3">
        <v>45668.6875</v>
      </c>
      <c r="D1358" s="2" t="s">
        <v>33</v>
      </c>
      <c r="E1358" s="4">
        <v>4432.6899999999996</v>
      </c>
      <c r="F1358" s="2" t="s">
        <v>14</v>
      </c>
      <c r="G1358" s="5">
        <v>45</v>
      </c>
      <c r="H1358" s="2" t="s">
        <v>15</v>
      </c>
      <c r="I1358" s="2" t="s">
        <v>34</v>
      </c>
      <c r="J1358" s="2" t="s">
        <v>52</v>
      </c>
      <c r="K1358" s="2" t="s">
        <v>45</v>
      </c>
    </row>
    <row r="1359" spans="1:11" x14ac:dyDescent="0.3">
      <c r="A1359" s="2" t="s">
        <v>1739</v>
      </c>
      <c r="B1359" s="2" t="s">
        <v>707</v>
      </c>
      <c r="C1359" s="3">
        <v>45658.456944444442</v>
      </c>
      <c r="D1359" s="2" t="s">
        <v>28</v>
      </c>
      <c r="E1359" s="4">
        <v>37069.11</v>
      </c>
      <c r="F1359" s="2" t="s">
        <v>14</v>
      </c>
      <c r="G1359" s="5">
        <v>35</v>
      </c>
      <c r="H1359" s="2" t="s">
        <v>15</v>
      </c>
      <c r="I1359" s="2" t="s">
        <v>25</v>
      </c>
      <c r="J1359" s="2" t="s">
        <v>17</v>
      </c>
      <c r="K1359" s="2" t="s">
        <v>45</v>
      </c>
    </row>
    <row r="1360" spans="1:11" x14ac:dyDescent="0.3">
      <c r="A1360" s="2" t="s">
        <v>1740</v>
      </c>
      <c r="B1360" s="2" t="s">
        <v>94</v>
      </c>
      <c r="C1360" s="3">
        <v>45972.285416666673</v>
      </c>
      <c r="D1360" s="2" t="s">
        <v>13</v>
      </c>
      <c r="E1360" s="4">
        <v>2434.64</v>
      </c>
      <c r="F1360" s="2" t="s">
        <v>14</v>
      </c>
      <c r="G1360" s="5">
        <v>36</v>
      </c>
      <c r="H1360" s="2" t="s">
        <v>15</v>
      </c>
      <c r="I1360" s="2" t="s">
        <v>95</v>
      </c>
      <c r="J1360" s="2" t="s">
        <v>17</v>
      </c>
      <c r="K1360" s="2" t="s">
        <v>45</v>
      </c>
    </row>
    <row r="1361" spans="1:11" x14ac:dyDescent="0.3">
      <c r="A1361" s="2" t="s">
        <v>1741</v>
      </c>
      <c r="B1361" s="2" t="s">
        <v>279</v>
      </c>
      <c r="C1361" s="3">
        <v>45724.447916666657</v>
      </c>
      <c r="D1361" s="2" t="s">
        <v>28</v>
      </c>
      <c r="E1361" s="4">
        <v>71865.95</v>
      </c>
      <c r="F1361" s="2" t="s">
        <v>14</v>
      </c>
      <c r="G1361" s="5">
        <v>52</v>
      </c>
      <c r="H1361" s="2" t="s">
        <v>29</v>
      </c>
      <c r="I1361" s="2" t="s">
        <v>34</v>
      </c>
      <c r="J1361" s="2" t="s">
        <v>17</v>
      </c>
      <c r="K1361" s="2" t="s">
        <v>18</v>
      </c>
    </row>
    <row r="1362" spans="1:11" x14ac:dyDescent="0.3">
      <c r="A1362" s="2" t="s">
        <v>1742</v>
      </c>
      <c r="B1362" s="2" t="s">
        <v>837</v>
      </c>
      <c r="C1362" s="3">
        <v>45748.418749999997</v>
      </c>
      <c r="D1362" s="2" t="s">
        <v>28</v>
      </c>
      <c r="E1362" s="4">
        <v>55465.46</v>
      </c>
      <c r="F1362" s="2" t="s">
        <v>57</v>
      </c>
      <c r="G1362" s="5">
        <v>37</v>
      </c>
      <c r="H1362" s="2" t="s">
        <v>15</v>
      </c>
      <c r="I1362" s="2" t="s">
        <v>78</v>
      </c>
      <c r="J1362" s="2" t="s">
        <v>17</v>
      </c>
      <c r="K1362" s="2" t="s">
        <v>18</v>
      </c>
    </row>
    <row r="1363" spans="1:11" x14ac:dyDescent="0.3">
      <c r="A1363" s="2" t="s">
        <v>1743</v>
      </c>
      <c r="B1363" s="2" t="s">
        <v>947</v>
      </c>
      <c r="C1363" s="3">
        <v>45669.192361111112</v>
      </c>
      <c r="D1363" s="2" t="s">
        <v>13</v>
      </c>
      <c r="E1363" s="4">
        <v>4428.8599999999997</v>
      </c>
      <c r="F1363" s="2" t="s">
        <v>14</v>
      </c>
      <c r="G1363" s="5">
        <v>25</v>
      </c>
      <c r="H1363" s="2" t="s">
        <v>29</v>
      </c>
      <c r="I1363" s="2" t="s">
        <v>34</v>
      </c>
      <c r="J1363" s="2" t="s">
        <v>17</v>
      </c>
      <c r="K1363" s="2" t="s">
        <v>35</v>
      </c>
    </row>
    <row r="1364" spans="1:11" x14ac:dyDescent="0.3">
      <c r="A1364" s="2" t="s">
        <v>1744</v>
      </c>
      <c r="B1364" s="2" t="s">
        <v>346</v>
      </c>
      <c r="C1364" s="3">
        <v>46018.200694444437</v>
      </c>
      <c r="D1364" s="2" t="s">
        <v>28</v>
      </c>
      <c r="E1364" s="4">
        <v>70419.59</v>
      </c>
      <c r="F1364" s="2" t="s">
        <v>14</v>
      </c>
      <c r="G1364" s="5">
        <v>55</v>
      </c>
      <c r="H1364" s="2" t="s">
        <v>29</v>
      </c>
      <c r="I1364" s="2" t="s">
        <v>95</v>
      </c>
      <c r="J1364" s="2" t="s">
        <v>49</v>
      </c>
      <c r="K1364" s="2" t="s">
        <v>45</v>
      </c>
    </row>
    <row r="1365" spans="1:11" x14ac:dyDescent="0.3">
      <c r="A1365" s="2" t="s">
        <v>1745</v>
      </c>
      <c r="B1365" s="2" t="s">
        <v>132</v>
      </c>
      <c r="C1365" s="3">
        <v>45714.704861111109</v>
      </c>
      <c r="D1365" s="2" t="s">
        <v>13</v>
      </c>
      <c r="E1365" s="4">
        <v>773.22</v>
      </c>
      <c r="F1365" s="2" t="s">
        <v>14</v>
      </c>
      <c r="G1365" s="5">
        <v>20</v>
      </c>
      <c r="H1365" s="2" t="s">
        <v>15</v>
      </c>
      <c r="I1365" s="2" t="s">
        <v>43</v>
      </c>
      <c r="J1365" s="2" t="s">
        <v>17</v>
      </c>
      <c r="K1365" s="2" t="s">
        <v>18</v>
      </c>
    </row>
    <row r="1366" spans="1:11" x14ac:dyDescent="0.3">
      <c r="A1366" s="2" t="s">
        <v>1746</v>
      </c>
      <c r="B1366" s="2" t="s">
        <v>167</v>
      </c>
      <c r="C1366" s="3">
        <v>45844.099305555559</v>
      </c>
      <c r="D1366" s="2" t="s">
        <v>28</v>
      </c>
      <c r="E1366" s="4">
        <v>3910.44</v>
      </c>
      <c r="F1366" s="2" t="s">
        <v>14</v>
      </c>
      <c r="G1366" s="5">
        <v>24</v>
      </c>
      <c r="H1366" s="2" t="s">
        <v>29</v>
      </c>
      <c r="I1366" s="2" t="s">
        <v>34</v>
      </c>
      <c r="J1366" s="2" t="s">
        <v>44</v>
      </c>
      <c r="K1366" s="2" t="s">
        <v>18</v>
      </c>
    </row>
    <row r="1367" spans="1:11" x14ac:dyDescent="0.3">
      <c r="A1367" s="2" t="s">
        <v>1747</v>
      </c>
      <c r="B1367" s="2" t="s">
        <v>874</v>
      </c>
      <c r="C1367" s="3">
        <v>46018.892361111109</v>
      </c>
      <c r="D1367" s="2" t="s">
        <v>33</v>
      </c>
      <c r="E1367" s="4">
        <v>4711.99</v>
      </c>
      <c r="F1367" s="2" t="s">
        <v>14</v>
      </c>
      <c r="G1367" s="5">
        <v>39</v>
      </c>
      <c r="H1367" s="2" t="s">
        <v>15</v>
      </c>
      <c r="I1367" s="2" t="s">
        <v>21</v>
      </c>
      <c r="J1367" s="2" t="s">
        <v>17</v>
      </c>
      <c r="K1367" s="2" t="s">
        <v>45</v>
      </c>
    </row>
    <row r="1368" spans="1:11" x14ac:dyDescent="0.3">
      <c r="A1368" s="2" t="s">
        <v>1748</v>
      </c>
      <c r="B1368" s="2" t="s">
        <v>77</v>
      </c>
      <c r="C1368" s="3">
        <v>45958.13958333333</v>
      </c>
      <c r="D1368" s="2" t="s">
        <v>33</v>
      </c>
      <c r="E1368" s="4">
        <v>57255.22</v>
      </c>
      <c r="F1368" s="2" t="s">
        <v>14</v>
      </c>
      <c r="G1368" s="5">
        <v>34</v>
      </c>
      <c r="H1368" s="2" t="s">
        <v>29</v>
      </c>
      <c r="I1368" s="2" t="s">
        <v>78</v>
      </c>
      <c r="J1368" s="2" t="s">
        <v>17</v>
      </c>
      <c r="K1368" s="2" t="s">
        <v>45</v>
      </c>
    </row>
    <row r="1369" spans="1:11" x14ac:dyDescent="0.3">
      <c r="A1369" s="2" t="s">
        <v>1749</v>
      </c>
      <c r="B1369" s="2" t="s">
        <v>1430</v>
      </c>
      <c r="C1369" s="3">
        <v>45812.422222222223</v>
      </c>
      <c r="D1369" s="2" t="s">
        <v>28</v>
      </c>
      <c r="E1369" s="4">
        <v>8198.17</v>
      </c>
      <c r="F1369" s="2" t="s">
        <v>14</v>
      </c>
      <c r="G1369" s="5">
        <v>32</v>
      </c>
      <c r="H1369" s="2" t="s">
        <v>29</v>
      </c>
      <c r="I1369" s="2" t="s">
        <v>25</v>
      </c>
      <c r="J1369" s="2" t="s">
        <v>49</v>
      </c>
      <c r="K1369" s="2" t="s">
        <v>18</v>
      </c>
    </row>
    <row r="1370" spans="1:11" x14ac:dyDescent="0.3">
      <c r="A1370" s="2" t="s">
        <v>1750</v>
      </c>
      <c r="B1370" s="2" t="s">
        <v>75</v>
      </c>
      <c r="C1370" s="3">
        <v>45738.977083333331</v>
      </c>
      <c r="D1370" s="2" t="s">
        <v>13</v>
      </c>
      <c r="E1370" s="4">
        <v>1134.18</v>
      </c>
      <c r="F1370" s="2" t="s">
        <v>14</v>
      </c>
      <c r="G1370" s="5">
        <v>31</v>
      </c>
      <c r="H1370" s="2" t="s">
        <v>29</v>
      </c>
      <c r="I1370" s="2" t="s">
        <v>25</v>
      </c>
      <c r="J1370" s="2" t="s">
        <v>17</v>
      </c>
      <c r="K1370" s="2" t="s">
        <v>45</v>
      </c>
    </row>
    <row r="1371" spans="1:11" x14ac:dyDescent="0.3">
      <c r="A1371" s="2" t="s">
        <v>1751</v>
      </c>
      <c r="B1371" s="2" t="s">
        <v>595</v>
      </c>
      <c r="C1371" s="3">
        <v>45985.65347222222</v>
      </c>
      <c r="D1371" s="2" t="s">
        <v>28</v>
      </c>
      <c r="E1371" s="4">
        <v>60447.71</v>
      </c>
      <c r="F1371" s="2" t="s">
        <v>14</v>
      </c>
      <c r="G1371" s="5">
        <v>33</v>
      </c>
      <c r="H1371" s="2" t="s">
        <v>29</v>
      </c>
      <c r="I1371" s="2" t="s">
        <v>30</v>
      </c>
      <c r="J1371" s="2" t="s">
        <v>52</v>
      </c>
      <c r="K1371" s="2" t="s">
        <v>45</v>
      </c>
    </row>
    <row r="1372" spans="1:11" x14ac:dyDescent="0.3">
      <c r="A1372" s="2" t="s">
        <v>1752</v>
      </c>
      <c r="B1372" s="2" t="s">
        <v>370</v>
      </c>
      <c r="C1372" s="3">
        <v>45820.239583333343</v>
      </c>
      <c r="D1372" s="2" t="s">
        <v>28</v>
      </c>
      <c r="E1372" s="4">
        <v>82937.17</v>
      </c>
      <c r="F1372" s="2" t="s">
        <v>14</v>
      </c>
      <c r="G1372" s="5">
        <v>35</v>
      </c>
      <c r="H1372" s="2" t="s">
        <v>15</v>
      </c>
      <c r="I1372" s="2" t="s">
        <v>34</v>
      </c>
      <c r="J1372" s="2" t="s">
        <v>49</v>
      </c>
      <c r="K1372" s="2" t="s">
        <v>18</v>
      </c>
    </row>
    <row r="1373" spans="1:11" x14ac:dyDescent="0.3">
      <c r="A1373" s="2" t="s">
        <v>1753</v>
      </c>
      <c r="B1373" s="2" t="s">
        <v>12</v>
      </c>
      <c r="C1373" s="3">
        <v>45945.955555555563</v>
      </c>
      <c r="D1373" s="2" t="s">
        <v>38</v>
      </c>
      <c r="E1373" s="4">
        <v>13757.95</v>
      </c>
      <c r="F1373" s="2" t="s">
        <v>14</v>
      </c>
      <c r="G1373" s="5">
        <v>47</v>
      </c>
      <c r="H1373" s="2" t="s">
        <v>15</v>
      </c>
      <c r="I1373" s="2" t="s">
        <v>16</v>
      </c>
      <c r="J1373" s="2" t="s">
        <v>17</v>
      </c>
      <c r="K1373" s="2" t="s">
        <v>18</v>
      </c>
    </row>
    <row r="1374" spans="1:11" x14ac:dyDescent="0.3">
      <c r="A1374" s="2" t="s">
        <v>1754</v>
      </c>
      <c r="B1374" s="2" t="s">
        <v>485</v>
      </c>
      <c r="C1374" s="3">
        <v>45972.468055555553</v>
      </c>
      <c r="D1374" s="2" t="s">
        <v>28</v>
      </c>
      <c r="E1374" s="4">
        <v>7026.8</v>
      </c>
      <c r="F1374" s="2" t="s">
        <v>14</v>
      </c>
      <c r="G1374" s="5">
        <v>20</v>
      </c>
      <c r="H1374" s="2" t="s">
        <v>15</v>
      </c>
      <c r="I1374" s="2" t="s">
        <v>60</v>
      </c>
      <c r="J1374" s="2" t="s">
        <v>17</v>
      </c>
      <c r="K1374" s="2" t="s">
        <v>18</v>
      </c>
    </row>
    <row r="1375" spans="1:11" x14ac:dyDescent="0.3">
      <c r="A1375" s="2" t="s">
        <v>1755</v>
      </c>
      <c r="B1375" s="2" t="s">
        <v>806</v>
      </c>
      <c r="C1375" s="3">
        <v>45998.786111111112</v>
      </c>
      <c r="D1375" s="2" t="s">
        <v>13</v>
      </c>
      <c r="E1375" s="4">
        <v>1040.6099999999999</v>
      </c>
      <c r="F1375" s="2" t="s">
        <v>14</v>
      </c>
      <c r="G1375" s="5">
        <v>35</v>
      </c>
      <c r="H1375" s="2" t="s">
        <v>29</v>
      </c>
      <c r="I1375" s="2" t="s">
        <v>21</v>
      </c>
      <c r="J1375" s="2" t="s">
        <v>52</v>
      </c>
      <c r="K1375" s="2" t="s">
        <v>18</v>
      </c>
    </row>
    <row r="1376" spans="1:11" x14ac:dyDescent="0.3">
      <c r="A1376" s="2" t="s">
        <v>1756</v>
      </c>
      <c r="B1376" s="2" t="s">
        <v>80</v>
      </c>
      <c r="C1376" s="3">
        <v>45747.513194444437</v>
      </c>
      <c r="D1376" s="2" t="s">
        <v>154</v>
      </c>
      <c r="E1376" s="4">
        <v>10000</v>
      </c>
      <c r="F1376" s="2" t="s">
        <v>14</v>
      </c>
      <c r="G1376" s="5">
        <v>27</v>
      </c>
      <c r="H1376" s="2" t="s">
        <v>29</v>
      </c>
      <c r="I1376" s="2" t="s">
        <v>60</v>
      </c>
      <c r="J1376" s="2" t="s">
        <v>17</v>
      </c>
      <c r="K1376" s="2" t="s">
        <v>18</v>
      </c>
    </row>
    <row r="1377" spans="1:11" x14ac:dyDescent="0.3">
      <c r="A1377" s="2" t="s">
        <v>1757</v>
      </c>
      <c r="B1377" s="2" t="s">
        <v>223</v>
      </c>
      <c r="C1377" s="3">
        <v>46010.380555555559</v>
      </c>
      <c r="D1377" s="2" t="s">
        <v>33</v>
      </c>
      <c r="E1377" s="4">
        <v>2831.45</v>
      </c>
      <c r="F1377" s="2" t="s">
        <v>57</v>
      </c>
      <c r="G1377" s="5">
        <v>40</v>
      </c>
      <c r="H1377" s="2" t="s">
        <v>15</v>
      </c>
      <c r="I1377" s="2" t="s">
        <v>34</v>
      </c>
      <c r="J1377" s="2" t="s">
        <v>49</v>
      </c>
      <c r="K1377" s="2" t="s">
        <v>18</v>
      </c>
    </row>
    <row r="1378" spans="1:11" x14ac:dyDescent="0.3">
      <c r="A1378" s="2" t="s">
        <v>1758</v>
      </c>
      <c r="B1378" s="2" t="s">
        <v>268</v>
      </c>
      <c r="C1378" s="3">
        <v>45748.958333333343</v>
      </c>
      <c r="D1378" s="2" t="s">
        <v>28</v>
      </c>
      <c r="E1378" s="4">
        <v>30081.06</v>
      </c>
      <c r="F1378" s="2" t="s">
        <v>57</v>
      </c>
      <c r="G1378" s="5">
        <v>36</v>
      </c>
      <c r="H1378" s="2" t="s">
        <v>29</v>
      </c>
      <c r="I1378" s="2" t="s">
        <v>25</v>
      </c>
      <c r="J1378" s="2" t="s">
        <v>17</v>
      </c>
      <c r="K1378" s="2" t="s">
        <v>45</v>
      </c>
    </row>
    <row r="1379" spans="1:11" x14ac:dyDescent="0.3">
      <c r="A1379" s="2" t="s">
        <v>1759</v>
      </c>
      <c r="B1379" s="2" t="s">
        <v>1760</v>
      </c>
      <c r="C1379" s="3">
        <v>46017.767361111109</v>
      </c>
      <c r="D1379" s="2" t="s">
        <v>33</v>
      </c>
      <c r="E1379" s="4">
        <v>10584.31</v>
      </c>
      <c r="F1379" s="2" t="s">
        <v>14</v>
      </c>
      <c r="G1379" s="5">
        <v>30</v>
      </c>
      <c r="H1379" s="2" t="s">
        <v>15</v>
      </c>
      <c r="I1379" s="2" t="s">
        <v>21</v>
      </c>
      <c r="J1379" s="2" t="s">
        <v>49</v>
      </c>
      <c r="K1379" s="2" t="s">
        <v>18</v>
      </c>
    </row>
    <row r="1380" spans="1:11" x14ac:dyDescent="0.3">
      <c r="A1380" s="2" t="s">
        <v>1761</v>
      </c>
      <c r="B1380" s="2" t="s">
        <v>431</v>
      </c>
      <c r="C1380" s="3">
        <v>45948.049305555563</v>
      </c>
      <c r="D1380" s="2" t="s">
        <v>28</v>
      </c>
      <c r="E1380" s="4">
        <v>108371.5</v>
      </c>
      <c r="F1380" s="2" t="s">
        <v>14</v>
      </c>
      <c r="G1380" s="5">
        <v>51</v>
      </c>
      <c r="H1380" s="2" t="s">
        <v>15</v>
      </c>
      <c r="I1380" s="2" t="s">
        <v>21</v>
      </c>
      <c r="J1380" s="2" t="s">
        <v>49</v>
      </c>
      <c r="K1380" s="2" t="s">
        <v>18</v>
      </c>
    </row>
    <row r="1381" spans="1:11" x14ac:dyDescent="0.3">
      <c r="A1381" s="2" t="s">
        <v>1762</v>
      </c>
      <c r="B1381" s="2" t="s">
        <v>223</v>
      </c>
      <c r="C1381" s="3">
        <v>45966.456944444442</v>
      </c>
      <c r="D1381" s="2" t="s">
        <v>13</v>
      </c>
      <c r="E1381" s="4">
        <v>10157.74</v>
      </c>
      <c r="F1381" s="2" t="s">
        <v>14</v>
      </c>
      <c r="G1381" s="5">
        <v>40</v>
      </c>
      <c r="H1381" s="2" t="s">
        <v>15</v>
      </c>
      <c r="I1381" s="2" t="s">
        <v>34</v>
      </c>
      <c r="J1381" s="2" t="s">
        <v>49</v>
      </c>
      <c r="K1381" s="2" t="s">
        <v>45</v>
      </c>
    </row>
    <row r="1382" spans="1:11" x14ac:dyDescent="0.3">
      <c r="A1382" s="2" t="s">
        <v>1763</v>
      </c>
      <c r="B1382" s="2" t="s">
        <v>201</v>
      </c>
      <c r="C1382" s="3">
        <v>45971.319444444453</v>
      </c>
      <c r="D1382" s="2" t="s">
        <v>28</v>
      </c>
      <c r="E1382" s="4">
        <v>19087.87</v>
      </c>
      <c r="F1382" s="2" t="s">
        <v>57</v>
      </c>
      <c r="G1382" s="5">
        <v>38</v>
      </c>
      <c r="H1382" s="2" t="s">
        <v>29</v>
      </c>
      <c r="I1382" s="2" t="s">
        <v>34</v>
      </c>
      <c r="J1382" s="2" t="s">
        <v>44</v>
      </c>
      <c r="K1382" s="2" t="s">
        <v>18</v>
      </c>
    </row>
    <row r="1383" spans="1:11" x14ac:dyDescent="0.3">
      <c r="A1383" s="2" t="s">
        <v>1764</v>
      </c>
      <c r="B1383" s="2" t="s">
        <v>433</v>
      </c>
      <c r="C1383" s="3">
        <v>45947.165972222218</v>
      </c>
      <c r="D1383" s="2" t="s">
        <v>154</v>
      </c>
      <c r="E1383" s="4">
        <v>5000</v>
      </c>
      <c r="F1383" s="2" t="s">
        <v>14</v>
      </c>
      <c r="G1383" s="5">
        <v>25</v>
      </c>
      <c r="H1383" s="2" t="s">
        <v>15</v>
      </c>
      <c r="I1383" s="2" t="s">
        <v>34</v>
      </c>
      <c r="J1383" s="2" t="s">
        <v>49</v>
      </c>
      <c r="K1383" s="2" t="s">
        <v>18</v>
      </c>
    </row>
    <row r="1384" spans="1:11" x14ac:dyDescent="0.3">
      <c r="A1384" s="2" t="s">
        <v>1765</v>
      </c>
      <c r="B1384" s="2" t="s">
        <v>313</v>
      </c>
      <c r="C1384" s="3">
        <v>45912.181250000001</v>
      </c>
      <c r="D1384" s="2" t="s">
        <v>33</v>
      </c>
      <c r="E1384" s="4">
        <v>5202.54</v>
      </c>
      <c r="F1384" s="2" t="s">
        <v>14</v>
      </c>
      <c r="G1384" s="5">
        <v>24</v>
      </c>
      <c r="H1384" s="2" t="s">
        <v>15</v>
      </c>
      <c r="I1384" s="2" t="s">
        <v>48</v>
      </c>
      <c r="J1384" s="2" t="s">
        <v>17</v>
      </c>
      <c r="K1384" s="2" t="s">
        <v>18</v>
      </c>
    </row>
    <row r="1385" spans="1:11" x14ac:dyDescent="0.3">
      <c r="A1385" s="2" t="s">
        <v>1766</v>
      </c>
      <c r="B1385" s="2" t="s">
        <v>388</v>
      </c>
      <c r="C1385" s="3">
        <v>45697.306944444441</v>
      </c>
      <c r="D1385" s="2" t="s">
        <v>28</v>
      </c>
      <c r="E1385" s="4">
        <v>1206.6300000000001</v>
      </c>
      <c r="F1385" s="2" t="s">
        <v>14</v>
      </c>
      <c r="G1385" s="5">
        <v>31</v>
      </c>
      <c r="H1385" s="2" t="s">
        <v>15</v>
      </c>
      <c r="I1385" s="2" t="s">
        <v>34</v>
      </c>
      <c r="J1385" s="2" t="s">
        <v>17</v>
      </c>
      <c r="K1385" s="2" t="s">
        <v>22</v>
      </c>
    </row>
    <row r="1386" spans="1:11" x14ac:dyDescent="0.3">
      <c r="A1386" s="2" t="s">
        <v>1767</v>
      </c>
      <c r="B1386" s="2" t="s">
        <v>240</v>
      </c>
      <c r="C1386" s="3">
        <v>45821.236111111109</v>
      </c>
      <c r="D1386" s="2" t="s">
        <v>33</v>
      </c>
      <c r="E1386" s="4">
        <v>12103.49</v>
      </c>
      <c r="F1386" s="2" t="s">
        <v>14</v>
      </c>
      <c r="G1386" s="5">
        <v>37</v>
      </c>
      <c r="H1386" s="2" t="s">
        <v>15</v>
      </c>
      <c r="I1386" s="2" t="s">
        <v>34</v>
      </c>
      <c r="J1386" s="2" t="s">
        <v>44</v>
      </c>
      <c r="K1386" s="2" t="s">
        <v>18</v>
      </c>
    </row>
    <row r="1387" spans="1:11" x14ac:dyDescent="0.3">
      <c r="A1387" s="2" t="s">
        <v>1768</v>
      </c>
      <c r="B1387" s="2" t="s">
        <v>939</v>
      </c>
      <c r="C1387" s="3">
        <v>45703.945833333331</v>
      </c>
      <c r="D1387" s="2" t="s">
        <v>28</v>
      </c>
      <c r="E1387" s="4">
        <v>4016.52</v>
      </c>
      <c r="F1387" s="2" t="s">
        <v>14</v>
      </c>
      <c r="G1387" s="5">
        <v>29</v>
      </c>
      <c r="H1387" s="2" t="s">
        <v>15</v>
      </c>
      <c r="I1387" s="2" t="s">
        <v>21</v>
      </c>
      <c r="J1387" s="2" t="s">
        <v>17</v>
      </c>
      <c r="K1387" s="2" t="s">
        <v>18</v>
      </c>
    </row>
    <row r="1388" spans="1:11" x14ac:dyDescent="0.3">
      <c r="A1388" s="2" t="s">
        <v>1769</v>
      </c>
      <c r="B1388" s="2" t="s">
        <v>352</v>
      </c>
      <c r="C1388" s="3">
        <v>45985.99722222222</v>
      </c>
      <c r="D1388" s="2" t="s">
        <v>13</v>
      </c>
      <c r="E1388" s="4">
        <v>564.35</v>
      </c>
      <c r="F1388" s="2" t="s">
        <v>14</v>
      </c>
      <c r="G1388" s="5">
        <v>51</v>
      </c>
      <c r="H1388" s="2" t="s">
        <v>15</v>
      </c>
      <c r="I1388" s="2" t="s">
        <v>21</v>
      </c>
      <c r="J1388" s="2" t="s">
        <v>17</v>
      </c>
      <c r="K1388" s="2" t="s">
        <v>18</v>
      </c>
    </row>
    <row r="1389" spans="1:11" x14ac:dyDescent="0.3">
      <c r="A1389" s="2" t="s">
        <v>1770</v>
      </c>
      <c r="B1389" s="2" t="s">
        <v>860</v>
      </c>
      <c r="C1389" s="3">
        <v>45829.583333333343</v>
      </c>
      <c r="D1389" s="2" t="s">
        <v>33</v>
      </c>
      <c r="E1389" s="4">
        <v>2604.81</v>
      </c>
      <c r="F1389" s="2" t="s">
        <v>14</v>
      </c>
      <c r="G1389" s="5">
        <v>29</v>
      </c>
      <c r="H1389" s="2" t="s">
        <v>15</v>
      </c>
      <c r="I1389" s="2" t="s">
        <v>21</v>
      </c>
      <c r="J1389" s="2" t="s">
        <v>52</v>
      </c>
      <c r="K1389" s="2" t="s">
        <v>45</v>
      </c>
    </row>
    <row r="1390" spans="1:11" x14ac:dyDescent="0.3">
      <c r="A1390" s="2" t="s">
        <v>1771</v>
      </c>
      <c r="B1390" s="2" t="s">
        <v>529</v>
      </c>
      <c r="C1390" s="3">
        <v>45793.260416666657</v>
      </c>
      <c r="D1390" s="2" t="s">
        <v>33</v>
      </c>
      <c r="E1390" s="4">
        <v>12736.33</v>
      </c>
      <c r="F1390" s="2" t="s">
        <v>14</v>
      </c>
      <c r="G1390" s="5">
        <v>28</v>
      </c>
      <c r="H1390" s="2" t="s">
        <v>29</v>
      </c>
      <c r="I1390" s="2" t="s">
        <v>34</v>
      </c>
      <c r="J1390" s="2" t="s">
        <v>17</v>
      </c>
      <c r="K1390" s="2" t="s">
        <v>35</v>
      </c>
    </row>
    <row r="1391" spans="1:11" x14ac:dyDescent="0.3">
      <c r="A1391" s="2" t="s">
        <v>1772</v>
      </c>
      <c r="B1391" s="2" t="s">
        <v>1401</v>
      </c>
      <c r="C1391" s="3">
        <v>46012.098611111112</v>
      </c>
      <c r="D1391" s="2" t="s">
        <v>13</v>
      </c>
      <c r="E1391" s="4">
        <v>1281.42</v>
      </c>
      <c r="F1391" s="2" t="s">
        <v>14</v>
      </c>
      <c r="G1391" s="5">
        <v>60</v>
      </c>
      <c r="H1391" s="2" t="s">
        <v>29</v>
      </c>
      <c r="I1391" s="2" t="s">
        <v>95</v>
      </c>
      <c r="J1391" s="2" t="s">
        <v>17</v>
      </c>
      <c r="K1391" s="2" t="s">
        <v>35</v>
      </c>
    </row>
    <row r="1392" spans="1:11" x14ac:dyDescent="0.3">
      <c r="A1392" s="2" t="s">
        <v>1773</v>
      </c>
      <c r="B1392" s="2" t="s">
        <v>219</v>
      </c>
      <c r="C1392" s="3">
        <v>45789.156944444447</v>
      </c>
      <c r="D1392" s="2" t="s">
        <v>33</v>
      </c>
      <c r="E1392" s="4">
        <v>31910.76</v>
      </c>
      <c r="F1392" s="2" t="s">
        <v>14</v>
      </c>
      <c r="G1392" s="5">
        <v>21</v>
      </c>
      <c r="H1392" s="2" t="s">
        <v>15</v>
      </c>
      <c r="I1392" s="2" t="s">
        <v>30</v>
      </c>
      <c r="J1392" s="2" t="s">
        <v>44</v>
      </c>
      <c r="K1392" s="2" t="s">
        <v>18</v>
      </c>
    </row>
    <row r="1393" spans="1:11" x14ac:dyDescent="0.3">
      <c r="A1393" s="2" t="s">
        <v>1774</v>
      </c>
      <c r="B1393" s="2" t="s">
        <v>415</v>
      </c>
      <c r="C1393" s="3">
        <v>45658.058333333327</v>
      </c>
      <c r="D1393" s="2" t="s">
        <v>28</v>
      </c>
      <c r="E1393" s="4">
        <v>38902.910000000003</v>
      </c>
      <c r="F1393" s="2" t="s">
        <v>14</v>
      </c>
      <c r="G1393" s="5">
        <v>30</v>
      </c>
      <c r="H1393" s="2" t="s">
        <v>29</v>
      </c>
      <c r="I1393" s="2" t="s">
        <v>21</v>
      </c>
      <c r="J1393" s="2" t="s">
        <v>49</v>
      </c>
      <c r="K1393" s="2" t="s">
        <v>22</v>
      </c>
    </row>
    <row r="1394" spans="1:11" x14ac:dyDescent="0.3">
      <c r="A1394" s="2" t="s">
        <v>1775</v>
      </c>
      <c r="B1394" s="2" t="s">
        <v>564</v>
      </c>
      <c r="C1394" s="3">
        <v>45882.976388888892</v>
      </c>
      <c r="D1394" s="2" t="s">
        <v>33</v>
      </c>
      <c r="E1394" s="4">
        <v>43331.47</v>
      </c>
      <c r="F1394" s="2" t="s">
        <v>14</v>
      </c>
      <c r="G1394" s="5">
        <v>46</v>
      </c>
      <c r="H1394" s="2" t="s">
        <v>15</v>
      </c>
      <c r="I1394" s="2" t="s">
        <v>25</v>
      </c>
      <c r="J1394" s="2" t="s">
        <v>44</v>
      </c>
      <c r="K1394" s="2" t="s">
        <v>18</v>
      </c>
    </row>
    <row r="1395" spans="1:11" x14ac:dyDescent="0.3">
      <c r="A1395" s="2" t="s">
        <v>1776</v>
      </c>
      <c r="B1395" s="2" t="s">
        <v>1777</v>
      </c>
      <c r="C1395" s="3">
        <v>45743.563194444447</v>
      </c>
      <c r="D1395" s="2" t="s">
        <v>33</v>
      </c>
      <c r="E1395" s="4">
        <v>763.54</v>
      </c>
      <c r="F1395" s="2" t="s">
        <v>14</v>
      </c>
      <c r="G1395" s="5">
        <v>46</v>
      </c>
      <c r="H1395" s="2" t="s">
        <v>15</v>
      </c>
      <c r="I1395" s="2" t="s">
        <v>95</v>
      </c>
      <c r="J1395" s="2" t="s">
        <v>52</v>
      </c>
      <c r="K1395" s="2" t="s">
        <v>22</v>
      </c>
    </row>
    <row r="1396" spans="1:11" x14ac:dyDescent="0.3">
      <c r="A1396" s="2" t="s">
        <v>1778</v>
      </c>
      <c r="B1396" s="2" t="s">
        <v>527</v>
      </c>
      <c r="C1396" s="3">
        <v>45851.481944444437</v>
      </c>
      <c r="D1396" s="2" t="s">
        <v>28</v>
      </c>
      <c r="E1396" s="4">
        <v>42224.08</v>
      </c>
      <c r="F1396" s="2" t="s">
        <v>14</v>
      </c>
      <c r="G1396" s="5">
        <v>31</v>
      </c>
      <c r="H1396" s="2" t="s">
        <v>15</v>
      </c>
      <c r="I1396" s="2" t="s">
        <v>60</v>
      </c>
      <c r="J1396" s="2" t="s">
        <v>17</v>
      </c>
      <c r="K1396" s="2" t="s">
        <v>18</v>
      </c>
    </row>
    <row r="1397" spans="1:11" x14ac:dyDescent="0.3">
      <c r="A1397" s="2" t="s">
        <v>1779</v>
      </c>
      <c r="B1397" s="2" t="s">
        <v>238</v>
      </c>
      <c r="C1397" s="3">
        <v>45850.161805555559</v>
      </c>
      <c r="D1397" s="2" t="s">
        <v>33</v>
      </c>
      <c r="E1397" s="4">
        <v>2012.26</v>
      </c>
      <c r="F1397" s="2" t="s">
        <v>14</v>
      </c>
      <c r="G1397" s="5">
        <v>25</v>
      </c>
      <c r="H1397" s="2" t="s">
        <v>15</v>
      </c>
      <c r="I1397" s="2" t="s">
        <v>34</v>
      </c>
      <c r="J1397" s="2" t="s">
        <v>52</v>
      </c>
      <c r="K1397" s="2" t="s">
        <v>22</v>
      </c>
    </row>
    <row r="1398" spans="1:11" x14ac:dyDescent="0.3">
      <c r="A1398" s="2" t="s">
        <v>1780</v>
      </c>
      <c r="B1398" s="2" t="s">
        <v>309</v>
      </c>
      <c r="C1398" s="3">
        <v>45903.77847222222</v>
      </c>
      <c r="D1398" s="2" t="s">
        <v>13</v>
      </c>
      <c r="E1398" s="4">
        <v>625.79</v>
      </c>
      <c r="F1398" s="2" t="s">
        <v>14</v>
      </c>
      <c r="G1398" s="5">
        <v>51</v>
      </c>
      <c r="H1398" s="2" t="s">
        <v>29</v>
      </c>
      <c r="I1398" s="2" t="s">
        <v>25</v>
      </c>
      <c r="J1398" s="2" t="s">
        <v>49</v>
      </c>
      <c r="K1398" s="2" t="s">
        <v>35</v>
      </c>
    </row>
    <row r="1399" spans="1:11" x14ac:dyDescent="0.3">
      <c r="A1399" s="2" t="s">
        <v>1781</v>
      </c>
      <c r="B1399" s="2" t="s">
        <v>810</v>
      </c>
      <c r="C1399" s="3">
        <v>46009.298611111109</v>
      </c>
      <c r="D1399" s="2" t="s">
        <v>38</v>
      </c>
      <c r="E1399" s="4">
        <v>9023.7199999999993</v>
      </c>
      <c r="F1399" s="2" t="s">
        <v>14</v>
      </c>
      <c r="G1399" s="5">
        <v>54</v>
      </c>
      <c r="H1399" s="2" t="s">
        <v>15</v>
      </c>
      <c r="I1399" s="2" t="s">
        <v>34</v>
      </c>
      <c r="J1399" s="2" t="s">
        <v>17</v>
      </c>
      <c r="K1399" s="2" t="s">
        <v>18</v>
      </c>
    </row>
    <row r="1400" spans="1:11" x14ac:dyDescent="0.3">
      <c r="A1400" s="2" t="s">
        <v>1782</v>
      </c>
      <c r="B1400" s="2" t="s">
        <v>513</v>
      </c>
      <c r="C1400" s="3">
        <v>45889.118750000001</v>
      </c>
      <c r="D1400" s="2" t="s">
        <v>154</v>
      </c>
      <c r="E1400" s="4">
        <v>2000</v>
      </c>
      <c r="F1400" s="2" t="s">
        <v>14</v>
      </c>
      <c r="G1400" s="5">
        <v>42</v>
      </c>
      <c r="H1400" s="2" t="s">
        <v>29</v>
      </c>
      <c r="I1400" s="2" t="s">
        <v>95</v>
      </c>
      <c r="J1400" s="2" t="s">
        <v>44</v>
      </c>
      <c r="K1400" s="2" t="s">
        <v>45</v>
      </c>
    </row>
    <row r="1401" spans="1:11" x14ac:dyDescent="0.3">
      <c r="A1401" s="2" t="s">
        <v>1783</v>
      </c>
      <c r="B1401" s="2" t="s">
        <v>1229</v>
      </c>
      <c r="C1401" s="3">
        <v>45675.375694444447</v>
      </c>
      <c r="D1401" s="2" t="s">
        <v>33</v>
      </c>
      <c r="E1401" s="4">
        <v>7621.93</v>
      </c>
      <c r="F1401" s="2" t="s">
        <v>14</v>
      </c>
      <c r="G1401" s="5">
        <v>31</v>
      </c>
      <c r="H1401" s="2" t="s">
        <v>15</v>
      </c>
      <c r="I1401" s="2" t="s">
        <v>34</v>
      </c>
      <c r="J1401" s="2" t="s">
        <v>44</v>
      </c>
      <c r="K1401" s="2" t="s">
        <v>45</v>
      </c>
    </row>
    <row r="1402" spans="1:11" x14ac:dyDescent="0.3">
      <c r="A1402" s="2" t="s">
        <v>1784</v>
      </c>
      <c r="B1402" s="2" t="s">
        <v>236</v>
      </c>
      <c r="C1402" s="3">
        <v>45821.337500000001</v>
      </c>
      <c r="D1402" s="2" t="s">
        <v>13</v>
      </c>
      <c r="E1402" s="4">
        <v>2201.7600000000002</v>
      </c>
      <c r="F1402" s="2" t="s">
        <v>57</v>
      </c>
      <c r="G1402" s="5">
        <v>27</v>
      </c>
      <c r="H1402" s="2" t="s">
        <v>29</v>
      </c>
      <c r="I1402" s="2" t="s">
        <v>34</v>
      </c>
      <c r="J1402" s="2" t="s">
        <v>17</v>
      </c>
      <c r="K1402" s="2" t="s">
        <v>18</v>
      </c>
    </row>
    <row r="1403" spans="1:11" x14ac:dyDescent="0.3">
      <c r="A1403" s="2" t="s">
        <v>1785</v>
      </c>
      <c r="B1403" s="2" t="s">
        <v>403</v>
      </c>
      <c r="C1403" s="3">
        <v>45695.423611111109</v>
      </c>
      <c r="D1403" s="2" t="s">
        <v>33</v>
      </c>
      <c r="E1403" s="4">
        <v>30979.68</v>
      </c>
      <c r="F1403" s="2" t="s">
        <v>57</v>
      </c>
      <c r="G1403" s="5">
        <v>31</v>
      </c>
      <c r="H1403" s="2" t="s">
        <v>15</v>
      </c>
      <c r="I1403" s="2" t="s">
        <v>34</v>
      </c>
      <c r="J1403" s="2" t="s">
        <v>52</v>
      </c>
      <c r="K1403" s="2" t="s">
        <v>45</v>
      </c>
    </row>
    <row r="1404" spans="1:11" x14ac:dyDescent="0.3">
      <c r="A1404" s="2" t="s">
        <v>1786</v>
      </c>
      <c r="B1404" s="2" t="s">
        <v>997</v>
      </c>
      <c r="C1404" s="3">
        <v>45850.240277777782</v>
      </c>
      <c r="D1404" s="2" t="s">
        <v>33</v>
      </c>
      <c r="E1404" s="4">
        <v>3771.06</v>
      </c>
      <c r="F1404" s="2" t="s">
        <v>14</v>
      </c>
      <c r="G1404" s="5">
        <v>39</v>
      </c>
      <c r="H1404" s="2" t="s">
        <v>29</v>
      </c>
      <c r="I1404" s="2" t="s">
        <v>34</v>
      </c>
      <c r="J1404" s="2" t="s">
        <v>17</v>
      </c>
      <c r="K1404" s="2" t="s">
        <v>18</v>
      </c>
    </row>
    <row r="1405" spans="1:11" x14ac:dyDescent="0.3">
      <c r="A1405" s="2" t="s">
        <v>1787</v>
      </c>
      <c r="B1405" s="2" t="s">
        <v>774</v>
      </c>
      <c r="C1405" s="3">
        <v>45696.747916666667</v>
      </c>
      <c r="D1405" s="2" t="s">
        <v>33</v>
      </c>
      <c r="E1405" s="4">
        <v>667.93</v>
      </c>
      <c r="F1405" s="2" t="s">
        <v>14</v>
      </c>
      <c r="G1405" s="5">
        <v>42</v>
      </c>
      <c r="H1405" s="2" t="s">
        <v>15</v>
      </c>
      <c r="I1405" s="2" t="s">
        <v>95</v>
      </c>
      <c r="J1405" s="2" t="s">
        <v>17</v>
      </c>
      <c r="K1405" s="2" t="s">
        <v>45</v>
      </c>
    </row>
    <row r="1406" spans="1:11" x14ac:dyDescent="0.3">
      <c r="A1406" s="2" t="s">
        <v>1788</v>
      </c>
      <c r="B1406" s="2" t="s">
        <v>126</v>
      </c>
      <c r="C1406" s="3">
        <v>45705.443055555559</v>
      </c>
      <c r="D1406" s="2" t="s">
        <v>28</v>
      </c>
      <c r="E1406" s="4">
        <v>57481.97</v>
      </c>
      <c r="F1406" s="2" t="s">
        <v>14</v>
      </c>
      <c r="G1406" s="5">
        <v>49</v>
      </c>
      <c r="H1406" s="2" t="s">
        <v>29</v>
      </c>
      <c r="I1406" s="2" t="s">
        <v>16</v>
      </c>
      <c r="J1406" s="2" t="s">
        <v>17</v>
      </c>
      <c r="K1406" s="2" t="s">
        <v>45</v>
      </c>
    </row>
    <row r="1407" spans="1:11" x14ac:dyDescent="0.3">
      <c r="A1407" s="2" t="s">
        <v>1789</v>
      </c>
      <c r="B1407" s="2" t="s">
        <v>581</v>
      </c>
      <c r="C1407" s="3">
        <v>45972.65625</v>
      </c>
      <c r="D1407" s="2" t="s">
        <v>154</v>
      </c>
      <c r="E1407" s="4">
        <v>2000</v>
      </c>
      <c r="F1407" s="2" t="s">
        <v>14</v>
      </c>
      <c r="G1407" s="5">
        <v>42</v>
      </c>
      <c r="H1407" s="2" t="s">
        <v>15</v>
      </c>
      <c r="I1407" s="2" t="s">
        <v>21</v>
      </c>
      <c r="J1407" s="2" t="s">
        <v>17</v>
      </c>
      <c r="K1407" s="2" t="s">
        <v>45</v>
      </c>
    </row>
    <row r="1408" spans="1:11" x14ac:dyDescent="0.3">
      <c r="A1408" s="2" t="s">
        <v>1790</v>
      </c>
      <c r="B1408" s="2" t="s">
        <v>317</v>
      </c>
      <c r="C1408" s="3">
        <v>45673.570138888892</v>
      </c>
      <c r="D1408" s="2" t="s">
        <v>28</v>
      </c>
      <c r="E1408" s="4">
        <v>41892.26</v>
      </c>
      <c r="F1408" s="2" t="s">
        <v>14</v>
      </c>
      <c r="G1408" s="5">
        <v>55</v>
      </c>
      <c r="H1408" s="2" t="s">
        <v>15</v>
      </c>
      <c r="I1408" s="2" t="s">
        <v>34</v>
      </c>
      <c r="J1408" s="2" t="s">
        <v>49</v>
      </c>
      <c r="K1408" s="2" t="s">
        <v>18</v>
      </c>
    </row>
    <row r="1409" spans="1:11" x14ac:dyDescent="0.3">
      <c r="A1409" s="2" t="s">
        <v>1791</v>
      </c>
      <c r="B1409" s="2" t="s">
        <v>169</v>
      </c>
      <c r="C1409" s="3">
        <v>45742.830555555563</v>
      </c>
      <c r="D1409" s="2" t="s">
        <v>33</v>
      </c>
      <c r="E1409" s="4">
        <v>1822.35</v>
      </c>
      <c r="F1409" s="2" t="s">
        <v>14</v>
      </c>
      <c r="G1409" s="5">
        <v>33</v>
      </c>
      <c r="H1409" s="2" t="s">
        <v>29</v>
      </c>
      <c r="I1409" s="2" t="s">
        <v>34</v>
      </c>
      <c r="J1409" s="2" t="s">
        <v>17</v>
      </c>
      <c r="K1409" s="2" t="s">
        <v>45</v>
      </c>
    </row>
    <row r="1410" spans="1:11" x14ac:dyDescent="0.3">
      <c r="A1410" s="2" t="s">
        <v>1792</v>
      </c>
      <c r="B1410" s="2" t="s">
        <v>190</v>
      </c>
      <c r="C1410" s="3">
        <v>45880.210416666669</v>
      </c>
      <c r="D1410" s="2" t="s">
        <v>13</v>
      </c>
      <c r="E1410" s="4">
        <v>3027.53</v>
      </c>
      <c r="F1410" s="2" t="s">
        <v>14</v>
      </c>
      <c r="G1410" s="5">
        <v>25</v>
      </c>
      <c r="H1410" s="2" t="s">
        <v>15</v>
      </c>
      <c r="I1410" s="2" t="s">
        <v>34</v>
      </c>
      <c r="J1410" s="2" t="s">
        <v>17</v>
      </c>
      <c r="K1410" s="2" t="s">
        <v>18</v>
      </c>
    </row>
    <row r="1411" spans="1:11" x14ac:dyDescent="0.3">
      <c r="A1411" s="2" t="s">
        <v>1793</v>
      </c>
      <c r="B1411" s="2" t="s">
        <v>853</v>
      </c>
      <c r="C1411" s="3">
        <v>45709.425694444442</v>
      </c>
      <c r="D1411" s="2" t="s">
        <v>28</v>
      </c>
      <c r="E1411" s="4">
        <v>42934.79</v>
      </c>
      <c r="F1411" s="2" t="s">
        <v>14</v>
      </c>
      <c r="G1411" s="5">
        <v>45</v>
      </c>
      <c r="H1411" s="2" t="s">
        <v>29</v>
      </c>
      <c r="I1411" s="2" t="s">
        <v>34</v>
      </c>
      <c r="J1411" s="2" t="s">
        <v>49</v>
      </c>
      <c r="K1411" s="2" t="s">
        <v>18</v>
      </c>
    </row>
    <row r="1412" spans="1:11" x14ac:dyDescent="0.3">
      <c r="A1412" s="2" t="s">
        <v>1794</v>
      </c>
      <c r="B1412" s="2" t="s">
        <v>1717</v>
      </c>
      <c r="C1412" s="3">
        <v>45755.572222222218</v>
      </c>
      <c r="D1412" s="2" t="s">
        <v>28</v>
      </c>
      <c r="E1412" s="4">
        <v>4225.84</v>
      </c>
      <c r="F1412" s="2" t="s">
        <v>14</v>
      </c>
      <c r="G1412" s="5">
        <v>42</v>
      </c>
      <c r="H1412" s="2" t="s">
        <v>15</v>
      </c>
      <c r="I1412" s="2" t="s">
        <v>43</v>
      </c>
      <c r="J1412" s="2" t="s">
        <v>49</v>
      </c>
      <c r="K1412" s="2" t="s">
        <v>18</v>
      </c>
    </row>
    <row r="1413" spans="1:11" x14ac:dyDescent="0.3">
      <c r="A1413" s="2" t="s">
        <v>1795</v>
      </c>
      <c r="B1413" s="2" t="s">
        <v>1306</v>
      </c>
      <c r="C1413" s="3">
        <v>45941.999305555553</v>
      </c>
      <c r="D1413" s="2" t="s">
        <v>13</v>
      </c>
      <c r="E1413" s="4">
        <v>2767.27</v>
      </c>
      <c r="F1413" s="2" t="s">
        <v>14</v>
      </c>
      <c r="G1413" s="5">
        <v>40</v>
      </c>
      <c r="H1413" s="2" t="s">
        <v>29</v>
      </c>
      <c r="I1413" s="2" t="s">
        <v>48</v>
      </c>
      <c r="J1413" s="2" t="s">
        <v>17</v>
      </c>
      <c r="K1413" s="2" t="s">
        <v>18</v>
      </c>
    </row>
    <row r="1414" spans="1:11" x14ac:dyDescent="0.3">
      <c r="A1414" s="2" t="s">
        <v>1796</v>
      </c>
      <c r="B1414" s="2" t="s">
        <v>562</v>
      </c>
      <c r="C1414" s="3">
        <v>45934.362500000003</v>
      </c>
      <c r="D1414" s="2" t="s">
        <v>28</v>
      </c>
      <c r="E1414" s="4">
        <v>11673.76</v>
      </c>
      <c r="F1414" s="2" t="s">
        <v>14</v>
      </c>
      <c r="G1414" s="5">
        <v>47</v>
      </c>
      <c r="H1414" s="2" t="s">
        <v>15</v>
      </c>
      <c r="I1414" s="2" t="s">
        <v>34</v>
      </c>
      <c r="J1414" s="2" t="s">
        <v>17</v>
      </c>
      <c r="K1414" s="2" t="s">
        <v>18</v>
      </c>
    </row>
    <row r="1415" spans="1:11" x14ac:dyDescent="0.3">
      <c r="A1415" s="2" t="s">
        <v>1797</v>
      </c>
      <c r="B1415" s="2" t="s">
        <v>619</v>
      </c>
      <c r="C1415" s="3">
        <v>45802.385416666657</v>
      </c>
      <c r="D1415" s="2" t="s">
        <v>33</v>
      </c>
      <c r="E1415" s="4">
        <v>14949.42</v>
      </c>
      <c r="F1415" s="2" t="s">
        <v>122</v>
      </c>
      <c r="G1415" s="5">
        <v>51</v>
      </c>
      <c r="H1415" s="2" t="s">
        <v>15</v>
      </c>
      <c r="I1415" s="2" t="s">
        <v>34</v>
      </c>
      <c r="J1415" s="2" t="s">
        <v>17</v>
      </c>
      <c r="K1415" s="2" t="s">
        <v>18</v>
      </c>
    </row>
    <row r="1416" spans="1:11" x14ac:dyDescent="0.3">
      <c r="A1416" s="2" t="s">
        <v>1798</v>
      </c>
      <c r="B1416" s="2" t="s">
        <v>190</v>
      </c>
      <c r="C1416" s="3">
        <v>45707.059027777781</v>
      </c>
      <c r="D1416" s="2" t="s">
        <v>28</v>
      </c>
      <c r="E1416" s="4">
        <v>2816.43</v>
      </c>
      <c r="F1416" s="2" t="s">
        <v>14</v>
      </c>
      <c r="G1416" s="5">
        <v>25</v>
      </c>
      <c r="H1416" s="2" t="s">
        <v>15</v>
      </c>
      <c r="I1416" s="2" t="s">
        <v>34</v>
      </c>
      <c r="J1416" s="2" t="s">
        <v>17</v>
      </c>
      <c r="K1416" s="2" t="s">
        <v>45</v>
      </c>
    </row>
    <row r="1417" spans="1:11" x14ac:dyDescent="0.3">
      <c r="A1417" s="2" t="s">
        <v>1799</v>
      </c>
      <c r="B1417" s="2" t="s">
        <v>24</v>
      </c>
      <c r="C1417" s="3">
        <v>45950.745138888888</v>
      </c>
      <c r="D1417" s="2" t="s">
        <v>38</v>
      </c>
      <c r="E1417" s="4">
        <v>37674.32</v>
      </c>
      <c r="F1417" s="2" t="s">
        <v>14</v>
      </c>
      <c r="G1417" s="5">
        <v>35</v>
      </c>
      <c r="H1417" s="2" t="s">
        <v>15</v>
      </c>
      <c r="I1417" s="2" t="s">
        <v>25</v>
      </c>
      <c r="J1417" s="2" t="s">
        <v>17</v>
      </c>
      <c r="K1417" s="2" t="s">
        <v>35</v>
      </c>
    </row>
    <row r="1418" spans="1:11" x14ac:dyDescent="0.3">
      <c r="A1418" s="2" t="s">
        <v>1800</v>
      </c>
      <c r="B1418" s="2" t="s">
        <v>435</v>
      </c>
      <c r="C1418" s="3">
        <v>45909.168749999997</v>
      </c>
      <c r="D1418" s="2" t="s">
        <v>28</v>
      </c>
      <c r="E1418" s="4">
        <v>21482.84</v>
      </c>
      <c r="F1418" s="2" t="s">
        <v>14</v>
      </c>
      <c r="G1418" s="5">
        <v>30</v>
      </c>
      <c r="H1418" s="2" t="s">
        <v>15</v>
      </c>
      <c r="I1418" s="2" t="s">
        <v>48</v>
      </c>
      <c r="J1418" s="2" t="s">
        <v>44</v>
      </c>
      <c r="K1418" s="2" t="s">
        <v>18</v>
      </c>
    </row>
    <row r="1419" spans="1:11" x14ac:dyDescent="0.3">
      <c r="A1419" s="2" t="s">
        <v>1801</v>
      </c>
      <c r="B1419" s="2" t="s">
        <v>364</v>
      </c>
      <c r="C1419" s="3">
        <v>45842.018750000003</v>
      </c>
      <c r="D1419" s="2" t="s">
        <v>28</v>
      </c>
      <c r="E1419" s="4">
        <v>27777.89</v>
      </c>
      <c r="F1419" s="2" t="s">
        <v>122</v>
      </c>
      <c r="G1419" s="5">
        <v>32</v>
      </c>
      <c r="H1419" s="2" t="s">
        <v>15</v>
      </c>
      <c r="I1419" s="2" t="s">
        <v>34</v>
      </c>
      <c r="J1419" s="2" t="s">
        <v>17</v>
      </c>
      <c r="K1419" s="2" t="s">
        <v>18</v>
      </c>
    </row>
    <row r="1420" spans="1:11" x14ac:dyDescent="0.3">
      <c r="A1420" s="2" t="s">
        <v>1802</v>
      </c>
      <c r="B1420" s="2" t="s">
        <v>75</v>
      </c>
      <c r="C1420" s="3">
        <v>45702.411111111112</v>
      </c>
      <c r="D1420" s="2" t="s">
        <v>13</v>
      </c>
      <c r="E1420" s="4">
        <v>1092.1300000000001</v>
      </c>
      <c r="F1420" s="2" t="s">
        <v>14</v>
      </c>
      <c r="G1420" s="5">
        <v>31</v>
      </c>
      <c r="H1420" s="2" t="s">
        <v>29</v>
      </c>
      <c r="I1420" s="2" t="s">
        <v>25</v>
      </c>
      <c r="J1420" s="2" t="s">
        <v>17</v>
      </c>
      <c r="K1420" s="2" t="s">
        <v>45</v>
      </c>
    </row>
    <row r="1421" spans="1:11" x14ac:dyDescent="0.3">
      <c r="A1421" s="2" t="s">
        <v>1803</v>
      </c>
      <c r="B1421" s="2" t="s">
        <v>240</v>
      </c>
      <c r="C1421" s="3">
        <v>45996.859722222223</v>
      </c>
      <c r="D1421" s="2" t="s">
        <v>154</v>
      </c>
      <c r="E1421" s="4">
        <v>20000</v>
      </c>
      <c r="F1421" s="2" t="s">
        <v>14</v>
      </c>
      <c r="G1421" s="5">
        <v>37</v>
      </c>
      <c r="H1421" s="2" t="s">
        <v>15</v>
      </c>
      <c r="I1421" s="2" t="s">
        <v>34</v>
      </c>
      <c r="J1421" s="2" t="s">
        <v>44</v>
      </c>
      <c r="K1421" s="2" t="s">
        <v>22</v>
      </c>
    </row>
    <row r="1422" spans="1:11" x14ac:dyDescent="0.3">
      <c r="A1422" s="2" t="s">
        <v>1804</v>
      </c>
      <c r="B1422" s="2" t="s">
        <v>1408</v>
      </c>
      <c r="C1422" s="3">
        <v>45903.254166666673</v>
      </c>
      <c r="D1422" s="2" t="s">
        <v>13</v>
      </c>
      <c r="E1422" s="4">
        <v>676.84</v>
      </c>
      <c r="F1422" s="2" t="s">
        <v>14</v>
      </c>
      <c r="G1422" s="5">
        <v>39</v>
      </c>
      <c r="H1422" s="2" t="s">
        <v>15</v>
      </c>
      <c r="I1422" s="2" t="s">
        <v>25</v>
      </c>
      <c r="J1422" s="2" t="s">
        <v>52</v>
      </c>
      <c r="K1422" s="2" t="s">
        <v>18</v>
      </c>
    </row>
    <row r="1423" spans="1:11" x14ac:dyDescent="0.3">
      <c r="A1423" s="2" t="s">
        <v>1805</v>
      </c>
      <c r="B1423" s="2" t="s">
        <v>230</v>
      </c>
      <c r="C1423" s="3">
        <v>45671.256944444453</v>
      </c>
      <c r="D1423" s="2" t="s">
        <v>154</v>
      </c>
      <c r="E1423" s="4">
        <v>10000</v>
      </c>
      <c r="F1423" s="2" t="s">
        <v>57</v>
      </c>
      <c r="G1423" s="5">
        <v>35</v>
      </c>
      <c r="H1423" s="2" t="s">
        <v>15</v>
      </c>
      <c r="I1423" s="2" t="s">
        <v>34</v>
      </c>
      <c r="J1423" s="2" t="s">
        <v>17</v>
      </c>
      <c r="K1423" s="2" t="s">
        <v>18</v>
      </c>
    </row>
    <row r="1424" spans="1:11" x14ac:dyDescent="0.3">
      <c r="A1424" s="2" t="s">
        <v>1806</v>
      </c>
      <c r="B1424" s="2" t="s">
        <v>1201</v>
      </c>
      <c r="C1424" s="3">
        <v>45984.378472222219</v>
      </c>
      <c r="D1424" s="2" t="s">
        <v>28</v>
      </c>
      <c r="E1424" s="4">
        <v>4644.8</v>
      </c>
      <c r="F1424" s="2" t="s">
        <v>14</v>
      </c>
      <c r="G1424" s="5">
        <v>44</v>
      </c>
      <c r="H1424" s="2" t="s">
        <v>15</v>
      </c>
      <c r="I1424" s="2" t="s">
        <v>25</v>
      </c>
      <c r="J1424" s="2" t="s">
        <v>44</v>
      </c>
      <c r="K1424" s="2" t="s">
        <v>22</v>
      </c>
    </row>
    <row r="1425" spans="1:11" x14ac:dyDescent="0.3">
      <c r="A1425" s="2" t="s">
        <v>1807</v>
      </c>
      <c r="B1425" s="2" t="s">
        <v>334</v>
      </c>
      <c r="C1425" s="3">
        <v>45900.138194444437</v>
      </c>
      <c r="D1425" s="2" t="s">
        <v>28</v>
      </c>
      <c r="E1425" s="4">
        <v>9443.5</v>
      </c>
      <c r="F1425" s="2" t="s">
        <v>14</v>
      </c>
      <c r="G1425" s="5">
        <v>34</v>
      </c>
      <c r="H1425" s="2" t="s">
        <v>15</v>
      </c>
      <c r="I1425" s="2" t="s">
        <v>60</v>
      </c>
      <c r="J1425" s="2" t="s">
        <v>52</v>
      </c>
      <c r="K1425" s="2" t="s">
        <v>18</v>
      </c>
    </row>
    <row r="1426" spans="1:11" x14ac:dyDescent="0.3">
      <c r="A1426" s="2" t="s">
        <v>1808</v>
      </c>
      <c r="B1426" s="2" t="s">
        <v>309</v>
      </c>
      <c r="C1426" s="3">
        <v>45861.646527777782</v>
      </c>
      <c r="D1426" s="2" t="s">
        <v>13</v>
      </c>
      <c r="E1426" s="4">
        <v>4860.8500000000004</v>
      </c>
      <c r="F1426" s="2" t="s">
        <v>14</v>
      </c>
      <c r="G1426" s="5">
        <v>51</v>
      </c>
      <c r="H1426" s="2" t="s">
        <v>29</v>
      </c>
      <c r="I1426" s="2" t="s">
        <v>25</v>
      </c>
      <c r="J1426" s="2" t="s">
        <v>49</v>
      </c>
      <c r="K1426" s="2" t="s">
        <v>18</v>
      </c>
    </row>
    <row r="1427" spans="1:11" x14ac:dyDescent="0.3">
      <c r="A1427" s="2" t="s">
        <v>1809</v>
      </c>
      <c r="B1427" s="2" t="s">
        <v>158</v>
      </c>
      <c r="C1427" s="3">
        <v>45996.336805555547</v>
      </c>
      <c r="D1427" s="2" t="s">
        <v>13</v>
      </c>
      <c r="E1427" s="4">
        <v>2839.43</v>
      </c>
      <c r="F1427" s="2" t="s">
        <v>14</v>
      </c>
      <c r="G1427" s="5">
        <v>30</v>
      </c>
      <c r="H1427" s="2" t="s">
        <v>29</v>
      </c>
      <c r="I1427" s="2" t="s">
        <v>34</v>
      </c>
      <c r="J1427" s="2" t="s">
        <v>44</v>
      </c>
      <c r="K1427" s="2" t="s">
        <v>45</v>
      </c>
    </row>
    <row r="1428" spans="1:11" x14ac:dyDescent="0.3">
      <c r="A1428" s="2" t="s">
        <v>1810</v>
      </c>
      <c r="B1428" s="2" t="s">
        <v>476</v>
      </c>
      <c r="C1428" s="3">
        <v>45986.724999999999</v>
      </c>
      <c r="D1428" s="2" t="s">
        <v>154</v>
      </c>
      <c r="E1428" s="4">
        <v>40000</v>
      </c>
      <c r="F1428" s="2" t="s">
        <v>14</v>
      </c>
      <c r="G1428" s="5">
        <v>27</v>
      </c>
      <c r="H1428" s="2" t="s">
        <v>29</v>
      </c>
      <c r="I1428" s="2" t="s">
        <v>21</v>
      </c>
      <c r="J1428" s="2" t="s">
        <v>17</v>
      </c>
      <c r="K1428" s="2" t="s">
        <v>18</v>
      </c>
    </row>
    <row r="1429" spans="1:11" x14ac:dyDescent="0.3">
      <c r="A1429" s="2" t="s">
        <v>1811</v>
      </c>
      <c r="B1429" s="2" t="s">
        <v>930</v>
      </c>
      <c r="C1429" s="3">
        <v>45752.49722222222</v>
      </c>
      <c r="D1429" s="2" t="s">
        <v>33</v>
      </c>
      <c r="E1429" s="4">
        <v>1092.4000000000001</v>
      </c>
      <c r="F1429" s="2" t="s">
        <v>14</v>
      </c>
      <c r="G1429" s="5">
        <v>27</v>
      </c>
      <c r="H1429" s="2" t="s">
        <v>29</v>
      </c>
      <c r="I1429" s="2" t="s">
        <v>16</v>
      </c>
      <c r="J1429" s="2" t="s">
        <v>52</v>
      </c>
      <c r="K1429" s="2" t="s">
        <v>35</v>
      </c>
    </row>
    <row r="1430" spans="1:11" x14ac:dyDescent="0.3">
      <c r="A1430" s="2" t="s">
        <v>1812</v>
      </c>
      <c r="B1430" s="2" t="s">
        <v>887</v>
      </c>
      <c r="C1430" s="3">
        <v>45853.46597222222</v>
      </c>
      <c r="D1430" s="2" t="s">
        <v>33</v>
      </c>
      <c r="E1430" s="4">
        <v>2698.42</v>
      </c>
      <c r="F1430" s="2" t="s">
        <v>14</v>
      </c>
      <c r="G1430" s="5">
        <v>30</v>
      </c>
      <c r="H1430" s="2" t="s">
        <v>15</v>
      </c>
      <c r="I1430" s="2" t="s">
        <v>34</v>
      </c>
      <c r="J1430" s="2" t="s">
        <v>44</v>
      </c>
      <c r="K1430" s="2" t="s">
        <v>18</v>
      </c>
    </row>
    <row r="1431" spans="1:11" x14ac:dyDescent="0.3">
      <c r="A1431" s="2" t="s">
        <v>1813</v>
      </c>
      <c r="B1431" s="2" t="s">
        <v>232</v>
      </c>
      <c r="C1431" s="3">
        <v>45886.052777777782</v>
      </c>
      <c r="D1431" s="2" t="s">
        <v>28</v>
      </c>
      <c r="E1431" s="4">
        <v>13112.07</v>
      </c>
      <c r="F1431" s="2" t="s">
        <v>14</v>
      </c>
      <c r="G1431" s="5">
        <v>36</v>
      </c>
      <c r="H1431" s="2" t="s">
        <v>15</v>
      </c>
      <c r="I1431" s="2" t="s">
        <v>34</v>
      </c>
      <c r="J1431" s="2" t="s">
        <v>44</v>
      </c>
      <c r="K1431" s="2" t="s">
        <v>45</v>
      </c>
    </row>
    <row r="1432" spans="1:11" x14ac:dyDescent="0.3">
      <c r="A1432" s="2" t="s">
        <v>1814</v>
      </c>
      <c r="B1432" s="2" t="s">
        <v>810</v>
      </c>
      <c r="C1432" s="3">
        <v>45883.594444444447</v>
      </c>
      <c r="D1432" s="2" t="s">
        <v>38</v>
      </c>
      <c r="E1432" s="4">
        <v>4024.57</v>
      </c>
      <c r="F1432" s="2" t="s">
        <v>14</v>
      </c>
      <c r="G1432" s="5">
        <v>54</v>
      </c>
      <c r="H1432" s="2" t="s">
        <v>15</v>
      </c>
      <c r="I1432" s="2" t="s">
        <v>34</v>
      </c>
      <c r="J1432" s="2" t="s">
        <v>17</v>
      </c>
      <c r="K1432" s="2" t="s">
        <v>35</v>
      </c>
    </row>
    <row r="1433" spans="1:11" x14ac:dyDescent="0.3">
      <c r="A1433" s="2" t="s">
        <v>1815</v>
      </c>
      <c r="B1433" s="2" t="s">
        <v>449</v>
      </c>
      <c r="C1433" s="3">
        <v>45773.35833333333</v>
      </c>
      <c r="D1433" s="2" t="s">
        <v>28</v>
      </c>
      <c r="E1433" s="4">
        <v>4089.13</v>
      </c>
      <c r="F1433" s="2" t="s">
        <v>14</v>
      </c>
      <c r="G1433" s="5">
        <v>44</v>
      </c>
      <c r="H1433" s="2" t="s">
        <v>29</v>
      </c>
      <c r="I1433" s="2" t="s">
        <v>34</v>
      </c>
      <c r="J1433" s="2" t="s">
        <v>52</v>
      </c>
      <c r="K1433" s="2" t="s">
        <v>45</v>
      </c>
    </row>
    <row r="1434" spans="1:11" x14ac:dyDescent="0.3">
      <c r="A1434" s="2" t="s">
        <v>1816</v>
      </c>
      <c r="B1434" s="2" t="s">
        <v>806</v>
      </c>
      <c r="C1434" s="3">
        <v>45689.2</v>
      </c>
      <c r="D1434" s="2" t="s">
        <v>28</v>
      </c>
      <c r="E1434" s="4">
        <v>32558.65</v>
      </c>
      <c r="F1434" s="2" t="s">
        <v>14</v>
      </c>
      <c r="G1434" s="5">
        <v>35</v>
      </c>
      <c r="H1434" s="2" t="s">
        <v>29</v>
      </c>
      <c r="I1434" s="2" t="s">
        <v>21</v>
      </c>
      <c r="J1434" s="2" t="s">
        <v>52</v>
      </c>
      <c r="K1434" s="2" t="s">
        <v>35</v>
      </c>
    </row>
    <row r="1435" spans="1:11" x14ac:dyDescent="0.3">
      <c r="A1435" s="2" t="s">
        <v>1817</v>
      </c>
      <c r="B1435" s="2" t="s">
        <v>360</v>
      </c>
      <c r="C1435" s="3">
        <v>46014.879166666673</v>
      </c>
      <c r="D1435" s="2" t="s">
        <v>28</v>
      </c>
      <c r="E1435" s="4">
        <v>20197.86</v>
      </c>
      <c r="F1435" s="2" t="s">
        <v>14</v>
      </c>
      <c r="G1435" s="5">
        <v>40</v>
      </c>
      <c r="H1435" s="2" t="s">
        <v>15</v>
      </c>
      <c r="I1435" s="2" t="s">
        <v>34</v>
      </c>
      <c r="J1435" s="2" t="s">
        <v>17</v>
      </c>
      <c r="K1435" s="2" t="s">
        <v>18</v>
      </c>
    </row>
    <row r="1436" spans="1:11" x14ac:dyDescent="0.3">
      <c r="A1436" s="2" t="s">
        <v>1818</v>
      </c>
      <c r="B1436" s="2" t="s">
        <v>341</v>
      </c>
      <c r="C1436" s="3">
        <v>45701.890277777777</v>
      </c>
      <c r="D1436" s="2" t="s">
        <v>28</v>
      </c>
      <c r="E1436" s="4">
        <v>12671.72</v>
      </c>
      <c r="F1436" s="2" t="s">
        <v>122</v>
      </c>
      <c r="G1436" s="5">
        <v>25</v>
      </c>
      <c r="H1436" s="2" t="s">
        <v>15</v>
      </c>
      <c r="I1436" s="2" t="s">
        <v>60</v>
      </c>
      <c r="J1436" s="2" t="s">
        <v>49</v>
      </c>
      <c r="K1436" s="2" t="s">
        <v>18</v>
      </c>
    </row>
    <row r="1437" spans="1:11" x14ac:dyDescent="0.3">
      <c r="A1437" s="2" t="s">
        <v>1819</v>
      </c>
      <c r="B1437" s="2" t="s">
        <v>228</v>
      </c>
      <c r="C1437" s="3">
        <v>45935.574999999997</v>
      </c>
      <c r="D1437" s="2" t="s">
        <v>28</v>
      </c>
      <c r="E1437" s="4">
        <v>28093.7</v>
      </c>
      <c r="F1437" s="2" t="s">
        <v>14</v>
      </c>
      <c r="G1437" s="5">
        <v>45</v>
      </c>
      <c r="H1437" s="2" t="s">
        <v>15</v>
      </c>
      <c r="I1437" s="2" t="s">
        <v>48</v>
      </c>
      <c r="J1437" s="2" t="s">
        <v>44</v>
      </c>
      <c r="K1437" s="2" t="s">
        <v>18</v>
      </c>
    </row>
    <row r="1438" spans="1:11" x14ac:dyDescent="0.3">
      <c r="A1438" s="2" t="s">
        <v>1820</v>
      </c>
      <c r="B1438" s="2" t="s">
        <v>853</v>
      </c>
      <c r="C1438" s="3">
        <v>45959.315972222219</v>
      </c>
      <c r="D1438" s="2" t="s">
        <v>28</v>
      </c>
      <c r="E1438" s="4">
        <v>19251.41</v>
      </c>
      <c r="F1438" s="2" t="s">
        <v>14</v>
      </c>
      <c r="G1438" s="5">
        <v>45</v>
      </c>
      <c r="H1438" s="2" t="s">
        <v>29</v>
      </c>
      <c r="I1438" s="2" t="s">
        <v>34</v>
      </c>
      <c r="J1438" s="2" t="s">
        <v>49</v>
      </c>
      <c r="K1438" s="2" t="s">
        <v>18</v>
      </c>
    </row>
    <row r="1439" spans="1:11" x14ac:dyDescent="0.3">
      <c r="A1439" s="2" t="s">
        <v>1821</v>
      </c>
      <c r="B1439" s="2" t="s">
        <v>810</v>
      </c>
      <c r="C1439" s="3">
        <v>45689.536111111112</v>
      </c>
      <c r="D1439" s="2" t="s">
        <v>13</v>
      </c>
      <c r="E1439" s="4">
        <v>778.21</v>
      </c>
      <c r="F1439" s="2" t="s">
        <v>14</v>
      </c>
      <c r="G1439" s="5">
        <v>54</v>
      </c>
      <c r="H1439" s="2" t="s">
        <v>15</v>
      </c>
      <c r="I1439" s="2" t="s">
        <v>34</v>
      </c>
      <c r="J1439" s="2" t="s">
        <v>17</v>
      </c>
      <c r="K1439" s="2" t="s">
        <v>35</v>
      </c>
    </row>
    <row r="1440" spans="1:11" x14ac:dyDescent="0.3">
      <c r="A1440" s="2" t="s">
        <v>1822</v>
      </c>
      <c r="B1440" s="2" t="s">
        <v>1205</v>
      </c>
      <c r="C1440" s="3">
        <v>45925.56527777778</v>
      </c>
      <c r="D1440" s="2" t="s">
        <v>38</v>
      </c>
      <c r="E1440" s="4">
        <v>13316.53</v>
      </c>
      <c r="F1440" s="2" t="s">
        <v>14</v>
      </c>
      <c r="G1440" s="5">
        <v>42</v>
      </c>
      <c r="H1440" s="2" t="s">
        <v>29</v>
      </c>
      <c r="I1440" s="2" t="s">
        <v>21</v>
      </c>
      <c r="J1440" s="2" t="s">
        <v>17</v>
      </c>
      <c r="K1440" s="2" t="s">
        <v>45</v>
      </c>
    </row>
    <row r="1441" spans="1:11" x14ac:dyDescent="0.3">
      <c r="A1441" s="2" t="s">
        <v>1823</v>
      </c>
      <c r="B1441" s="2" t="s">
        <v>325</v>
      </c>
      <c r="C1441" s="3">
        <v>46009.65</v>
      </c>
      <c r="D1441" s="2" t="s">
        <v>38</v>
      </c>
      <c r="E1441" s="4">
        <v>9568.42</v>
      </c>
      <c r="F1441" s="2" t="s">
        <v>14</v>
      </c>
      <c r="G1441" s="5">
        <v>48</v>
      </c>
      <c r="H1441" s="2" t="s">
        <v>15</v>
      </c>
      <c r="I1441" s="2" t="s">
        <v>34</v>
      </c>
      <c r="J1441" s="2" t="s">
        <v>17</v>
      </c>
      <c r="K1441" s="2" t="s">
        <v>18</v>
      </c>
    </row>
    <row r="1442" spans="1:11" x14ac:dyDescent="0.3">
      <c r="A1442" s="2" t="s">
        <v>1824</v>
      </c>
      <c r="B1442" s="2" t="s">
        <v>99</v>
      </c>
      <c r="C1442" s="3">
        <v>45778.638194444437</v>
      </c>
      <c r="D1442" s="2" t="s">
        <v>13</v>
      </c>
      <c r="E1442" s="4">
        <v>3179.51</v>
      </c>
      <c r="F1442" s="2" t="s">
        <v>57</v>
      </c>
      <c r="G1442" s="5">
        <v>36</v>
      </c>
      <c r="H1442" s="2" t="s">
        <v>15</v>
      </c>
      <c r="I1442" s="2" t="s">
        <v>30</v>
      </c>
      <c r="J1442" s="2" t="s">
        <v>17</v>
      </c>
      <c r="K1442" s="2" t="s">
        <v>22</v>
      </c>
    </row>
    <row r="1443" spans="1:11" x14ac:dyDescent="0.3">
      <c r="A1443" s="2" t="s">
        <v>1825</v>
      </c>
      <c r="B1443" s="2" t="s">
        <v>541</v>
      </c>
      <c r="C1443" s="3">
        <v>45698.539583333331</v>
      </c>
      <c r="D1443" s="2" t="s">
        <v>28</v>
      </c>
      <c r="E1443" s="4">
        <v>7958.46</v>
      </c>
      <c r="F1443" s="2" t="s">
        <v>14</v>
      </c>
      <c r="G1443" s="5">
        <v>57</v>
      </c>
      <c r="H1443" s="2" t="s">
        <v>15</v>
      </c>
      <c r="I1443" s="2" t="s">
        <v>34</v>
      </c>
      <c r="J1443" s="2" t="s">
        <v>44</v>
      </c>
      <c r="K1443" s="2" t="s">
        <v>45</v>
      </c>
    </row>
    <row r="1444" spans="1:11" x14ac:dyDescent="0.3">
      <c r="A1444" s="2" t="s">
        <v>1826</v>
      </c>
      <c r="B1444" s="2" t="s">
        <v>317</v>
      </c>
      <c r="C1444" s="3">
        <v>45675.691666666673</v>
      </c>
      <c r="D1444" s="2" t="s">
        <v>38</v>
      </c>
      <c r="E1444" s="4">
        <v>9851.82</v>
      </c>
      <c r="F1444" s="2" t="s">
        <v>57</v>
      </c>
      <c r="G1444" s="5">
        <v>55</v>
      </c>
      <c r="H1444" s="2" t="s">
        <v>15</v>
      </c>
      <c r="I1444" s="2" t="s">
        <v>34</v>
      </c>
      <c r="J1444" s="2" t="s">
        <v>49</v>
      </c>
      <c r="K1444" s="2" t="s">
        <v>18</v>
      </c>
    </row>
    <row r="1445" spans="1:11" x14ac:dyDescent="0.3">
      <c r="A1445" s="2" t="s">
        <v>1827</v>
      </c>
      <c r="B1445" s="2" t="s">
        <v>1068</v>
      </c>
      <c r="C1445" s="3">
        <v>45922.779861111107</v>
      </c>
      <c r="D1445" s="2" t="s">
        <v>13</v>
      </c>
      <c r="E1445" s="4">
        <v>573.34</v>
      </c>
      <c r="F1445" s="2" t="s">
        <v>14</v>
      </c>
      <c r="G1445" s="5">
        <v>40</v>
      </c>
      <c r="H1445" s="2" t="s">
        <v>29</v>
      </c>
      <c r="I1445" s="2" t="s">
        <v>60</v>
      </c>
      <c r="J1445" s="2" t="s">
        <v>44</v>
      </c>
      <c r="K1445" s="2" t="s">
        <v>18</v>
      </c>
    </row>
    <row r="1446" spans="1:11" x14ac:dyDescent="0.3">
      <c r="A1446" s="2" t="s">
        <v>1828</v>
      </c>
      <c r="B1446" s="2" t="s">
        <v>348</v>
      </c>
      <c r="C1446" s="3">
        <v>45975.171527777777</v>
      </c>
      <c r="D1446" s="2" t="s">
        <v>13</v>
      </c>
      <c r="E1446" s="4">
        <v>662.77</v>
      </c>
      <c r="F1446" s="2" t="s">
        <v>14</v>
      </c>
      <c r="G1446" s="5">
        <v>39</v>
      </c>
      <c r="H1446" s="2" t="s">
        <v>29</v>
      </c>
      <c r="I1446" s="2" t="s">
        <v>16</v>
      </c>
      <c r="J1446" s="2" t="s">
        <v>44</v>
      </c>
      <c r="K1446" s="2" t="s">
        <v>18</v>
      </c>
    </row>
    <row r="1447" spans="1:11" x14ac:dyDescent="0.3">
      <c r="A1447" s="2" t="s">
        <v>1829</v>
      </c>
      <c r="B1447" s="2" t="s">
        <v>517</v>
      </c>
      <c r="C1447" s="3">
        <v>45887.215277777781</v>
      </c>
      <c r="D1447" s="2" t="s">
        <v>33</v>
      </c>
      <c r="E1447" s="4">
        <v>6504.02</v>
      </c>
      <c r="F1447" s="2" t="s">
        <v>14</v>
      </c>
      <c r="G1447" s="5">
        <v>34</v>
      </c>
      <c r="H1447" s="2" t="s">
        <v>15</v>
      </c>
      <c r="I1447" s="2" t="s">
        <v>48</v>
      </c>
      <c r="J1447" s="2" t="s">
        <v>17</v>
      </c>
      <c r="K1447" s="2" t="s">
        <v>35</v>
      </c>
    </row>
    <row r="1448" spans="1:11" x14ac:dyDescent="0.3">
      <c r="A1448" s="2" t="s">
        <v>1830</v>
      </c>
      <c r="B1448" s="2" t="s">
        <v>188</v>
      </c>
      <c r="C1448" s="3">
        <v>45766.255555555559</v>
      </c>
      <c r="D1448" s="2" t="s">
        <v>13</v>
      </c>
      <c r="E1448" s="4">
        <v>1480.39</v>
      </c>
      <c r="F1448" s="2" t="s">
        <v>14</v>
      </c>
      <c r="G1448" s="5">
        <v>27</v>
      </c>
      <c r="H1448" s="2" t="s">
        <v>15</v>
      </c>
      <c r="I1448" s="2" t="s">
        <v>21</v>
      </c>
      <c r="J1448" s="2" t="s">
        <v>17</v>
      </c>
      <c r="K1448" s="2" t="s">
        <v>45</v>
      </c>
    </row>
    <row r="1449" spans="1:11" x14ac:dyDescent="0.3">
      <c r="A1449" s="2" t="s">
        <v>1831</v>
      </c>
      <c r="B1449" s="2" t="s">
        <v>236</v>
      </c>
      <c r="C1449" s="3">
        <v>45679.545138888891</v>
      </c>
      <c r="D1449" s="2" t="s">
        <v>28</v>
      </c>
      <c r="E1449" s="4">
        <v>21833.72</v>
      </c>
      <c r="F1449" s="2" t="s">
        <v>14</v>
      </c>
      <c r="G1449" s="5">
        <v>27</v>
      </c>
      <c r="H1449" s="2" t="s">
        <v>29</v>
      </c>
      <c r="I1449" s="2" t="s">
        <v>34</v>
      </c>
      <c r="J1449" s="2" t="s">
        <v>17</v>
      </c>
      <c r="K1449" s="2" t="s">
        <v>35</v>
      </c>
    </row>
    <row r="1450" spans="1:11" x14ac:dyDescent="0.3">
      <c r="A1450" s="2" t="s">
        <v>1832</v>
      </c>
      <c r="B1450" s="2" t="s">
        <v>194</v>
      </c>
      <c r="C1450" s="3">
        <v>46007.55</v>
      </c>
      <c r="D1450" s="2" t="s">
        <v>28</v>
      </c>
      <c r="E1450" s="4">
        <v>6664.33</v>
      </c>
      <c r="F1450" s="2" t="s">
        <v>14</v>
      </c>
      <c r="G1450" s="5">
        <v>31</v>
      </c>
      <c r="H1450" s="2" t="s">
        <v>29</v>
      </c>
      <c r="I1450" s="2" t="s">
        <v>16</v>
      </c>
      <c r="J1450" s="2" t="s">
        <v>17</v>
      </c>
      <c r="K1450" s="2" t="s">
        <v>45</v>
      </c>
    </row>
    <row r="1451" spans="1:11" x14ac:dyDescent="0.3">
      <c r="A1451" s="2" t="s">
        <v>1833</v>
      </c>
      <c r="B1451" s="2" t="s">
        <v>390</v>
      </c>
      <c r="C1451" s="3">
        <v>45979.203472222223</v>
      </c>
      <c r="D1451" s="2" t="s">
        <v>13</v>
      </c>
      <c r="E1451" s="4">
        <v>2514.4899999999998</v>
      </c>
      <c r="F1451" s="2" t="s">
        <v>14</v>
      </c>
      <c r="G1451" s="5">
        <v>35</v>
      </c>
      <c r="H1451" s="2" t="s">
        <v>15</v>
      </c>
      <c r="I1451" s="2" t="s">
        <v>25</v>
      </c>
      <c r="J1451" s="2" t="s">
        <v>17</v>
      </c>
      <c r="K1451" s="2" t="s">
        <v>18</v>
      </c>
    </row>
    <row r="1452" spans="1:11" x14ac:dyDescent="0.3">
      <c r="A1452" s="2" t="s">
        <v>1834</v>
      </c>
      <c r="B1452" s="2" t="s">
        <v>810</v>
      </c>
      <c r="C1452" s="3">
        <v>45962.347222222219</v>
      </c>
      <c r="D1452" s="2" t="s">
        <v>28</v>
      </c>
      <c r="E1452" s="4">
        <v>4549.54</v>
      </c>
      <c r="F1452" s="2" t="s">
        <v>14</v>
      </c>
      <c r="G1452" s="5">
        <v>54</v>
      </c>
      <c r="H1452" s="2" t="s">
        <v>15</v>
      </c>
      <c r="I1452" s="2" t="s">
        <v>34</v>
      </c>
      <c r="J1452" s="2" t="s">
        <v>17</v>
      </c>
      <c r="K1452" s="2" t="s">
        <v>18</v>
      </c>
    </row>
    <row r="1453" spans="1:11" x14ac:dyDescent="0.3">
      <c r="A1453" s="2" t="s">
        <v>1835</v>
      </c>
      <c r="B1453" s="2" t="s">
        <v>152</v>
      </c>
      <c r="C1453" s="3">
        <v>45692.1</v>
      </c>
      <c r="D1453" s="2" t="s">
        <v>13</v>
      </c>
      <c r="E1453" s="4">
        <v>818.94</v>
      </c>
      <c r="F1453" s="2" t="s">
        <v>14</v>
      </c>
      <c r="G1453" s="5">
        <v>31</v>
      </c>
      <c r="H1453" s="2" t="s">
        <v>15</v>
      </c>
      <c r="I1453" s="2" t="s">
        <v>34</v>
      </c>
      <c r="J1453" s="2" t="s">
        <v>49</v>
      </c>
      <c r="K1453" s="2" t="s">
        <v>45</v>
      </c>
    </row>
    <row r="1454" spans="1:11" x14ac:dyDescent="0.3">
      <c r="A1454" s="2" t="s">
        <v>1836</v>
      </c>
      <c r="B1454" s="2" t="s">
        <v>798</v>
      </c>
      <c r="C1454" s="3">
        <v>45942.524305555547</v>
      </c>
      <c r="D1454" s="2" t="s">
        <v>38</v>
      </c>
      <c r="E1454" s="4">
        <v>4632.47</v>
      </c>
      <c r="F1454" s="2" t="s">
        <v>14</v>
      </c>
      <c r="G1454" s="5">
        <v>22</v>
      </c>
      <c r="H1454" s="2" t="s">
        <v>29</v>
      </c>
      <c r="I1454" s="2" t="s">
        <v>25</v>
      </c>
      <c r="J1454" s="2" t="s">
        <v>49</v>
      </c>
      <c r="K1454" s="2" t="s">
        <v>18</v>
      </c>
    </row>
    <row r="1455" spans="1:11" x14ac:dyDescent="0.3">
      <c r="A1455" s="2" t="s">
        <v>1837</v>
      </c>
      <c r="B1455" s="2" t="s">
        <v>374</v>
      </c>
      <c r="C1455" s="3">
        <v>45824.356249999997</v>
      </c>
      <c r="D1455" s="2" t="s">
        <v>28</v>
      </c>
      <c r="E1455" s="4">
        <v>25504.73</v>
      </c>
      <c r="F1455" s="2" t="s">
        <v>57</v>
      </c>
      <c r="G1455" s="5">
        <v>28</v>
      </c>
      <c r="H1455" s="2" t="s">
        <v>29</v>
      </c>
      <c r="I1455" s="2" t="s">
        <v>21</v>
      </c>
      <c r="J1455" s="2" t="s">
        <v>17</v>
      </c>
      <c r="K1455" s="2" t="s">
        <v>35</v>
      </c>
    </row>
    <row r="1456" spans="1:11" x14ac:dyDescent="0.3">
      <c r="A1456" s="2" t="s">
        <v>1838</v>
      </c>
      <c r="B1456" s="2" t="s">
        <v>1349</v>
      </c>
      <c r="C1456" s="3">
        <v>45892.034722222219</v>
      </c>
      <c r="D1456" s="2" t="s">
        <v>28</v>
      </c>
      <c r="E1456" s="4">
        <v>1409.66</v>
      </c>
      <c r="F1456" s="2" t="s">
        <v>14</v>
      </c>
      <c r="G1456" s="5">
        <v>30</v>
      </c>
      <c r="H1456" s="2" t="s">
        <v>15</v>
      </c>
      <c r="I1456" s="2" t="s">
        <v>78</v>
      </c>
      <c r="J1456" s="2" t="s">
        <v>17</v>
      </c>
      <c r="K1456" s="2" t="s">
        <v>45</v>
      </c>
    </row>
    <row r="1457" spans="1:11" x14ac:dyDescent="0.3">
      <c r="A1457" s="2" t="s">
        <v>1839</v>
      </c>
      <c r="B1457" s="2" t="s">
        <v>943</v>
      </c>
      <c r="C1457" s="3">
        <v>46016.817361111112</v>
      </c>
      <c r="D1457" s="2" t="s">
        <v>13</v>
      </c>
      <c r="E1457" s="4">
        <v>4013.31</v>
      </c>
      <c r="F1457" s="2" t="s">
        <v>14</v>
      </c>
      <c r="G1457" s="5">
        <v>32</v>
      </c>
      <c r="H1457" s="2" t="s">
        <v>15</v>
      </c>
      <c r="I1457" s="2" t="s">
        <v>95</v>
      </c>
      <c r="J1457" s="2" t="s">
        <v>44</v>
      </c>
      <c r="K1457" s="2" t="s">
        <v>18</v>
      </c>
    </row>
    <row r="1458" spans="1:11" x14ac:dyDescent="0.3">
      <c r="A1458" s="2" t="s">
        <v>1840</v>
      </c>
      <c r="B1458" s="2" t="s">
        <v>896</v>
      </c>
      <c r="C1458" s="3">
        <v>45925.546527777777</v>
      </c>
      <c r="D1458" s="2" t="s">
        <v>28</v>
      </c>
      <c r="E1458" s="4">
        <v>2067.66</v>
      </c>
      <c r="F1458" s="2" t="s">
        <v>14</v>
      </c>
      <c r="G1458" s="5">
        <v>50</v>
      </c>
      <c r="H1458" s="2" t="s">
        <v>15</v>
      </c>
      <c r="I1458" s="2" t="s">
        <v>78</v>
      </c>
      <c r="J1458" s="2" t="s">
        <v>49</v>
      </c>
      <c r="K1458" s="2" t="s">
        <v>45</v>
      </c>
    </row>
    <row r="1459" spans="1:11" x14ac:dyDescent="0.3">
      <c r="A1459" s="2" t="s">
        <v>1841</v>
      </c>
      <c r="B1459" s="2" t="s">
        <v>1229</v>
      </c>
      <c r="C1459" s="3">
        <v>45870.17291666667</v>
      </c>
      <c r="D1459" s="2" t="s">
        <v>28</v>
      </c>
      <c r="E1459" s="4">
        <v>6349.26</v>
      </c>
      <c r="F1459" s="2" t="s">
        <v>14</v>
      </c>
      <c r="G1459" s="5">
        <v>31</v>
      </c>
      <c r="H1459" s="2" t="s">
        <v>15</v>
      </c>
      <c r="I1459" s="2" t="s">
        <v>34</v>
      </c>
      <c r="J1459" s="2" t="s">
        <v>44</v>
      </c>
      <c r="K1459" s="2" t="s">
        <v>45</v>
      </c>
    </row>
    <row r="1460" spans="1:11" x14ac:dyDescent="0.3">
      <c r="A1460" s="2" t="s">
        <v>1842</v>
      </c>
      <c r="B1460" s="2" t="s">
        <v>284</v>
      </c>
      <c r="C1460" s="3">
        <v>45948.775694444441</v>
      </c>
      <c r="D1460" s="2" t="s">
        <v>28</v>
      </c>
      <c r="E1460" s="4">
        <v>45632.53</v>
      </c>
      <c r="F1460" s="2" t="s">
        <v>14</v>
      </c>
      <c r="G1460" s="5">
        <v>59</v>
      </c>
      <c r="H1460" s="2" t="s">
        <v>15</v>
      </c>
      <c r="I1460" s="2" t="s">
        <v>34</v>
      </c>
      <c r="J1460" s="2" t="s">
        <v>17</v>
      </c>
      <c r="K1460" s="2" t="s">
        <v>18</v>
      </c>
    </row>
    <row r="1461" spans="1:11" x14ac:dyDescent="0.3">
      <c r="A1461" s="2" t="s">
        <v>1843</v>
      </c>
      <c r="B1461" s="2" t="s">
        <v>543</v>
      </c>
      <c r="C1461" s="3">
        <v>45709.15</v>
      </c>
      <c r="D1461" s="2" t="s">
        <v>28</v>
      </c>
      <c r="E1461" s="4">
        <v>2522.04</v>
      </c>
      <c r="F1461" s="2" t="s">
        <v>14</v>
      </c>
      <c r="G1461" s="5">
        <v>41</v>
      </c>
      <c r="H1461" s="2" t="s">
        <v>15</v>
      </c>
      <c r="I1461" s="2" t="s">
        <v>34</v>
      </c>
      <c r="J1461" s="2" t="s">
        <v>44</v>
      </c>
      <c r="K1461" s="2" t="s">
        <v>35</v>
      </c>
    </row>
    <row r="1462" spans="1:11" x14ac:dyDescent="0.3">
      <c r="A1462" s="2" t="s">
        <v>1844</v>
      </c>
      <c r="B1462" s="2" t="s">
        <v>617</v>
      </c>
      <c r="C1462" s="3">
        <v>45709.413194444453</v>
      </c>
      <c r="D1462" s="2" t="s">
        <v>28</v>
      </c>
      <c r="E1462" s="4">
        <v>12058.32</v>
      </c>
      <c r="F1462" s="2" t="s">
        <v>14</v>
      </c>
      <c r="G1462" s="5">
        <v>22</v>
      </c>
      <c r="H1462" s="2" t="s">
        <v>15</v>
      </c>
      <c r="I1462" s="2" t="s">
        <v>34</v>
      </c>
      <c r="J1462" s="2" t="s">
        <v>44</v>
      </c>
      <c r="K1462" s="2" t="s">
        <v>18</v>
      </c>
    </row>
    <row r="1463" spans="1:11" x14ac:dyDescent="0.3">
      <c r="A1463" s="2" t="s">
        <v>1845</v>
      </c>
      <c r="B1463" s="2" t="s">
        <v>595</v>
      </c>
      <c r="C1463" s="3">
        <v>45932.49722222222</v>
      </c>
      <c r="D1463" s="2" t="s">
        <v>28</v>
      </c>
      <c r="E1463" s="4">
        <v>16710.97</v>
      </c>
      <c r="F1463" s="2" t="s">
        <v>14</v>
      </c>
      <c r="G1463" s="5">
        <v>33</v>
      </c>
      <c r="H1463" s="2" t="s">
        <v>29</v>
      </c>
      <c r="I1463" s="2" t="s">
        <v>30</v>
      </c>
      <c r="J1463" s="2" t="s">
        <v>52</v>
      </c>
      <c r="K1463" s="2" t="s">
        <v>35</v>
      </c>
    </row>
    <row r="1464" spans="1:11" x14ac:dyDescent="0.3">
      <c r="A1464" s="2" t="s">
        <v>1846</v>
      </c>
      <c r="B1464" s="2" t="s">
        <v>449</v>
      </c>
      <c r="C1464" s="3">
        <v>45868.35</v>
      </c>
      <c r="D1464" s="2" t="s">
        <v>38</v>
      </c>
      <c r="E1464" s="4">
        <v>2920.76</v>
      </c>
      <c r="F1464" s="2" t="s">
        <v>14</v>
      </c>
      <c r="G1464" s="5">
        <v>44</v>
      </c>
      <c r="H1464" s="2" t="s">
        <v>29</v>
      </c>
      <c r="I1464" s="2" t="s">
        <v>34</v>
      </c>
      <c r="J1464" s="2" t="s">
        <v>52</v>
      </c>
      <c r="K1464" s="2" t="s">
        <v>45</v>
      </c>
    </row>
    <row r="1465" spans="1:11" x14ac:dyDescent="0.3">
      <c r="A1465" s="2" t="s">
        <v>1847</v>
      </c>
      <c r="B1465" s="2" t="s">
        <v>415</v>
      </c>
      <c r="C1465" s="3">
        <v>45993.65</v>
      </c>
      <c r="D1465" s="2" t="s">
        <v>13</v>
      </c>
      <c r="E1465" s="4">
        <v>268.60000000000002</v>
      </c>
      <c r="F1465" s="2" t="s">
        <v>14</v>
      </c>
      <c r="G1465" s="5">
        <v>30</v>
      </c>
      <c r="H1465" s="2" t="s">
        <v>29</v>
      </c>
      <c r="I1465" s="2" t="s">
        <v>21</v>
      </c>
      <c r="J1465" s="2" t="s">
        <v>49</v>
      </c>
      <c r="K1465" s="2" t="s">
        <v>18</v>
      </c>
    </row>
    <row r="1466" spans="1:11" x14ac:dyDescent="0.3">
      <c r="A1466" s="2" t="s">
        <v>1848</v>
      </c>
      <c r="B1466" s="2" t="s">
        <v>144</v>
      </c>
      <c r="C1466" s="3">
        <v>45969.626388888893</v>
      </c>
      <c r="D1466" s="2" t="s">
        <v>33</v>
      </c>
      <c r="E1466" s="4">
        <v>4844.8500000000004</v>
      </c>
      <c r="F1466" s="2" t="s">
        <v>14</v>
      </c>
      <c r="G1466" s="5">
        <v>49</v>
      </c>
      <c r="H1466" s="2" t="s">
        <v>15</v>
      </c>
      <c r="I1466" s="2" t="s">
        <v>60</v>
      </c>
      <c r="J1466" s="2" t="s">
        <v>17</v>
      </c>
      <c r="K1466" s="2" t="s">
        <v>45</v>
      </c>
    </row>
    <row r="1467" spans="1:11" x14ac:dyDescent="0.3">
      <c r="A1467" s="2" t="s">
        <v>1849</v>
      </c>
      <c r="B1467" s="2" t="s">
        <v>423</v>
      </c>
      <c r="C1467" s="3">
        <v>45746.350694444453</v>
      </c>
      <c r="D1467" s="2" t="s">
        <v>28</v>
      </c>
      <c r="E1467" s="4">
        <v>15566.3</v>
      </c>
      <c r="F1467" s="2" t="s">
        <v>57</v>
      </c>
      <c r="G1467" s="5">
        <v>28</v>
      </c>
      <c r="H1467" s="2" t="s">
        <v>29</v>
      </c>
      <c r="I1467" s="2" t="s">
        <v>34</v>
      </c>
      <c r="J1467" s="2" t="s">
        <v>44</v>
      </c>
      <c r="K1467" s="2" t="s">
        <v>35</v>
      </c>
    </row>
    <row r="1468" spans="1:11" x14ac:dyDescent="0.3">
      <c r="A1468" s="2" t="s">
        <v>1850</v>
      </c>
      <c r="B1468" s="2" t="s">
        <v>1229</v>
      </c>
      <c r="C1468" s="3">
        <v>45731.818055555559</v>
      </c>
      <c r="D1468" s="2" t="s">
        <v>38</v>
      </c>
      <c r="E1468" s="4">
        <v>2210.87</v>
      </c>
      <c r="F1468" s="2" t="s">
        <v>14</v>
      </c>
      <c r="G1468" s="5">
        <v>31</v>
      </c>
      <c r="H1468" s="2" t="s">
        <v>15</v>
      </c>
      <c r="I1468" s="2" t="s">
        <v>34</v>
      </c>
      <c r="J1468" s="2" t="s">
        <v>44</v>
      </c>
      <c r="K1468" s="2" t="s">
        <v>22</v>
      </c>
    </row>
    <row r="1469" spans="1:11" x14ac:dyDescent="0.3">
      <c r="A1469" s="2" t="s">
        <v>1851</v>
      </c>
      <c r="B1469" s="2" t="s">
        <v>401</v>
      </c>
      <c r="C1469" s="3">
        <v>46006.934027777781</v>
      </c>
      <c r="D1469" s="2" t="s">
        <v>33</v>
      </c>
      <c r="E1469" s="4">
        <v>35474.83</v>
      </c>
      <c r="F1469" s="2" t="s">
        <v>57</v>
      </c>
      <c r="G1469" s="5">
        <v>31</v>
      </c>
      <c r="H1469" s="2" t="s">
        <v>15</v>
      </c>
      <c r="I1469" s="2" t="s">
        <v>95</v>
      </c>
      <c r="J1469" s="2" t="s">
        <v>44</v>
      </c>
      <c r="K1469" s="2" t="s">
        <v>22</v>
      </c>
    </row>
    <row r="1470" spans="1:11" x14ac:dyDescent="0.3">
      <c r="A1470" s="2" t="s">
        <v>1852</v>
      </c>
      <c r="B1470" s="2" t="s">
        <v>692</v>
      </c>
      <c r="C1470" s="3">
        <v>45677.538888888892</v>
      </c>
      <c r="D1470" s="2" t="s">
        <v>38</v>
      </c>
      <c r="E1470" s="4">
        <v>4479.43</v>
      </c>
      <c r="F1470" s="2" t="s">
        <v>14</v>
      </c>
      <c r="G1470" s="5">
        <v>41</v>
      </c>
      <c r="H1470" s="2" t="s">
        <v>15</v>
      </c>
      <c r="I1470" s="2" t="s">
        <v>25</v>
      </c>
      <c r="J1470" s="2" t="s">
        <v>17</v>
      </c>
      <c r="K1470" s="2" t="s">
        <v>18</v>
      </c>
    </row>
    <row r="1471" spans="1:11" x14ac:dyDescent="0.3">
      <c r="A1471" s="2" t="s">
        <v>1853</v>
      </c>
      <c r="B1471" s="2" t="s">
        <v>543</v>
      </c>
      <c r="C1471" s="3">
        <v>45827.927083333343</v>
      </c>
      <c r="D1471" s="2" t="s">
        <v>28</v>
      </c>
      <c r="E1471" s="4">
        <v>41914.21</v>
      </c>
      <c r="F1471" s="2" t="s">
        <v>14</v>
      </c>
      <c r="G1471" s="5">
        <v>41</v>
      </c>
      <c r="H1471" s="2" t="s">
        <v>15</v>
      </c>
      <c r="I1471" s="2" t="s">
        <v>34</v>
      </c>
      <c r="J1471" s="2" t="s">
        <v>44</v>
      </c>
      <c r="K1471" s="2" t="s">
        <v>18</v>
      </c>
    </row>
    <row r="1472" spans="1:11" x14ac:dyDescent="0.3">
      <c r="A1472" s="2" t="s">
        <v>1854</v>
      </c>
      <c r="B1472" s="2" t="s">
        <v>1430</v>
      </c>
      <c r="C1472" s="3">
        <v>45683.979166666657</v>
      </c>
      <c r="D1472" s="2" t="s">
        <v>28</v>
      </c>
      <c r="E1472" s="4">
        <v>15809.29</v>
      </c>
      <c r="F1472" s="2" t="s">
        <v>122</v>
      </c>
      <c r="G1472" s="5">
        <v>32</v>
      </c>
      <c r="H1472" s="2" t="s">
        <v>29</v>
      </c>
      <c r="I1472" s="2" t="s">
        <v>25</v>
      </c>
      <c r="J1472" s="2" t="s">
        <v>49</v>
      </c>
      <c r="K1472" s="2" t="s">
        <v>18</v>
      </c>
    </row>
    <row r="1473" spans="1:11" x14ac:dyDescent="0.3">
      <c r="A1473" s="2" t="s">
        <v>1855</v>
      </c>
      <c r="B1473" s="2" t="s">
        <v>724</v>
      </c>
      <c r="C1473" s="3">
        <v>45795.459027777782</v>
      </c>
      <c r="D1473" s="2" t="s">
        <v>33</v>
      </c>
      <c r="E1473" s="4">
        <v>4743.3900000000003</v>
      </c>
      <c r="F1473" s="2" t="s">
        <v>14</v>
      </c>
      <c r="G1473" s="5">
        <v>21</v>
      </c>
      <c r="H1473" s="2" t="s">
        <v>29</v>
      </c>
      <c r="I1473" s="2" t="s">
        <v>25</v>
      </c>
      <c r="J1473" s="2" t="s">
        <v>17</v>
      </c>
      <c r="K1473" s="2" t="s">
        <v>18</v>
      </c>
    </row>
    <row r="1474" spans="1:11" x14ac:dyDescent="0.3">
      <c r="A1474" s="2" t="s">
        <v>1856</v>
      </c>
      <c r="B1474" s="2" t="s">
        <v>575</v>
      </c>
      <c r="C1474" s="3">
        <v>45830.388194444437</v>
      </c>
      <c r="D1474" s="2" t="s">
        <v>33</v>
      </c>
      <c r="E1474" s="4">
        <v>8623.9</v>
      </c>
      <c r="F1474" s="2" t="s">
        <v>14</v>
      </c>
      <c r="G1474" s="5">
        <v>48</v>
      </c>
      <c r="H1474" s="2" t="s">
        <v>29</v>
      </c>
      <c r="I1474" s="2" t="s">
        <v>34</v>
      </c>
      <c r="J1474" s="2" t="s">
        <v>17</v>
      </c>
      <c r="K1474" s="2" t="s">
        <v>45</v>
      </c>
    </row>
    <row r="1475" spans="1:11" x14ac:dyDescent="0.3">
      <c r="A1475" s="2" t="s">
        <v>1857</v>
      </c>
      <c r="B1475" s="2" t="s">
        <v>73</v>
      </c>
      <c r="C1475" s="3">
        <v>45801.662499999999</v>
      </c>
      <c r="D1475" s="2" t="s">
        <v>13</v>
      </c>
      <c r="E1475" s="4">
        <v>965.29</v>
      </c>
      <c r="F1475" s="2" t="s">
        <v>14</v>
      </c>
      <c r="G1475" s="5">
        <v>33</v>
      </c>
      <c r="H1475" s="2" t="s">
        <v>15</v>
      </c>
      <c r="I1475" s="2" t="s">
        <v>21</v>
      </c>
      <c r="J1475" s="2" t="s">
        <v>49</v>
      </c>
      <c r="K1475" s="2" t="s">
        <v>18</v>
      </c>
    </row>
    <row r="1476" spans="1:11" x14ac:dyDescent="0.3">
      <c r="A1476" s="2" t="s">
        <v>1858</v>
      </c>
      <c r="B1476" s="2" t="s">
        <v>1859</v>
      </c>
      <c r="C1476" s="3">
        <v>46014.879166666673</v>
      </c>
      <c r="D1476" s="2" t="s">
        <v>28</v>
      </c>
      <c r="E1476" s="4">
        <v>16327.3</v>
      </c>
      <c r="F1476" s="2" t="s">
        <v>14</v>
      </c>
      <c r="G1476" s="5">
        <v>28</v>
      </c>
      <c r="H1476" s="2" t="s">
        <v>29</v>
      </c>
      <c r="I1476" s="2" t="s">
        <v>48</v>
      </c>
      <c r="J1476" s="2" t="s">
        <v>17</v>
      </c>
      <c r="K1476" s="2" t="s">
        <v>35</v>
      </c>
    </row>
    <row r="1477" spans="1:11" x14ac:dyDescent="0.3">
      <c r="A1477" s="2" t="s">
        <v>1860</v>
      </c>
      <c r="B1477" s="2" t="s">
        <v>254</v>
      </c>
      <c r="C1477" s="3">
        <v>45774.179861111108</v>
      </c>
      <c r="D1477" s="2" t="s">
        <v>33</v>
      </c>
      <c r="E1477" s="4">
        <v>25299.85</v>
      </c>
      <c r="F1477" s="2" t="s">
        <v>14</v>
      </c>
      <c r="G1477" s="5">
        <v>36</v>
      </c>
      <c r="H1477" s="2" t="s">
        <v>29</v>
      </c>
      <c r="I1477" s="2" t="s">
        <v>34</v>
      </c>
      <c r="J1477" s="2" t="s">
        <v>17</v>
      </c>
      <c r="K1477" s="2" t="s">
        <v>22</v>
      </c>
    </row>
    <row r="1478" spans="1:11" x14ac:dyDescent="0.3">
      <c r="A1478" s="2" t="s">
        <v>1861</v>
      </c>
      <c r="B1478" s="2" t="s">
        <v>341</v>
      </c>
      <c r="C1478" s="3">
        <v>45884.428472222222</v>
      </c>
      <c r="D1478" s="2" t="s">
        <v>13</v>
      </c>
      <c r="E1478" s="4">
        <v>406.05</v>
      </c>
      <c r="F1478" s="2" t="s">
        <v>14</v>
      </c>
      <c r="G1478" s="5">
        <v>25</v>
      </c>
      <c r="H1478" s="2" t="s">
        <v>15</v>
      </c>
      <c r="I1478" s="2" t="s">
        <v>60</v>
      </c>
      <c r="J1478" s="2" t="s">
        <v>49</v>
      </c>
      <c r="K1478" s="2" t="s">
        <v>18</v>
      </c>
    </row>
    <row r="1479" spans="1:11" x14ac:dyDescent="0.3">
      <c r="A1479" s="2" t="s">
        <v>1862</v>
      </c>
      <c r="B1479" s="2" t="s">
        <v>949</v>
      </c>
      <c r="C1479" s="3">
        <v>45871.820138888892</v>
      </c>
      <c r="D1479" s="2" t="s">
        <v>13</v>
      </c>
      <c r="E1479" s="4">
        <v>2905.31</v>
      </c>
      <c r="F1479" s="2" t="s">
        <v>57</v>
      </c>
      <c r="G1479" s="5">
        <v>45</v>
      </c>
      <c r="H1479" s="2" t="s">
        <v>29</v>
      </c>
      <c r="I1479" s="2" t="s">
        <v>34</v>
      </c>
      <c r="J1479" s="2" t="s">
        <v>17</v>
      </c>
      <c r="K1479" s="2" t="s">
        <v>45</v>
      </c>
    </row>
    <row r="1480" spans="1:11" x14ac:dyDescent="0.3">
      <c r="A1480" s="2" t="s">
        <v>1863</v>
      </c>
      <c r="B1480" s="2" t="s">
        <v>603</v>
      </c>
      <c r="C1480" s="3">
        <v>45703.269444444442</v>
      </c>
      <c r="D1480" s="2" t="s">
        <v>33</v>
      </c>
      <c r="E1480" s="4">
        <v>629.21</v>
      </c>
      <c r="F1480" s="2" t="s">
        <v>14</v>
      </c>
      <c r="G1480" s="5">
        <v>49</v>
      </c>
      <c r="H1480" s="2" t="s">
        <v>15</v>
      </c>
      <c r="I1480" s="2" t="s">
        <v>34</v>
      </c>
      <c r="J1480" s="2" t="s">
        <v>17</v>
      </c>
      <c r="K1480" s="2" t="s">
        <v>18</v>
      </c>
    </row>
    <row r="1481" spans="1:11" x14ac:dyDescent="0.3">
      <c r="A1481" s="2" t="s">
        <v>1864</v>
      </c>
      <c r="B1481" s="2" t="s">
        <v>194</v>
      </c>
      <c r="C1481" s="3">
        <v>45766.574305555558</v>
      </c>
      <c r="D1481" s="2" t="s">
        <v>28</v>
      </c>
      <c r="E1481" s="4">
        <v>17509.490000000002</v>
      </c>
      <c r="F1481" s="2" t="s">
        <v>14</v>
      </c>
      <c r="G1481" s="5">
        <v>31</v>
      </c>
      <c r="H1481" s="2" t="s">
        <v>29</v>
      </c>
      <c r="I1481" s="2" t="s">
        <v>16</v>
      </c>
      <c r="J1481" s="2" t="s">
        <v>17</v>
      </c>
      <c r="K1481" s="2" t="s">
        <v>18</v>
      </c>
    </row>
    <row r="1482" spans="1:11" x14ac:dyDescent="0.3">
      <c r="A1482" s="2" t="s">
        <v>1865</v>
      </c>
      <c r="B1482" s="2" t="s">
        <v>20</v>
      </c>
      <c r="C1482" s="3">
        <v>45906.704861111109</v>
      </c>
      <c r="D1482" s="2" t="s">
        <v>28</v>
      </c>
      <c r="E1482" s="4">
        <v>26760.15</v>
      </c>
      <c r="F1482" s="2" t="s">
        <v>14</v>
      </c>
      <c r="G1482" s="5">
        <v>43</v>
      </c>
      <c r="H1482" s="2" t="s">
        <v>15</v>
      </c>
      <c r="I1482" s="2" t="s">
        <v>21</v>
      </c>
      <c r="J1482" s="2" t="s">
        <v>17</v>
      </c>
      <c r="K1482" s="2" t="s">
        <v>35</v>
      </c>
    </row>
    <row r="1483" spans="1:11" x14ac:dyDescent="0.3">
      <c r="A1483" s="2" t="s">
        <v>1866</v>
      </c>
      <c r="B1483" s="2" t="s">
        <v>1412</v>
      </c>
      <c r="C1483" s="3">
        <v>45849.063888888893</v>
      </c>
      <c r="D1483" s="2" t="s">
        <v>33</v>
      </c>
      <c r="E1483" s="4">
        <v>55376.76</v>
      </c>
      <c r="F1483" s="2" t="s">
        <v>14</v>
      </c>
      <c r="G1483" s="5">
        <v>34</v>
      </c>
      <c r="H1483" s="2" t="s">
        <v>15</v>
      </c>
      <c r="I1483" s="2" t="s">
        <v>34</v>
      </c>
      <c r="J1483" s="2" t="s">
        <v>17</v>
      </c>
      <c r="K1483" s="2" t="s">
        <v>18</v>
      </c>
    </row>
    <row r="1484" spans="1:11" x14ac:dyDescent="0.3">
      <c r="A1484" s="2" t="s">
        <v>1867</v>
      </c>
      <c r="B1484" s="2" t="s">
        <v>201</v>
      </c>
      <c r="C1484" s="3">
        <v>45739.09652777778</v>
      </c>
      <c r="D1484" s="2" t="s">
        <v>28</v>
      </c>
      <c r="E1484" s="4">
        <v>35003.06</v>
      </c>
      <c r="F1484" s="2" t="s">
        <v>14</v>
      </c>
      <c r="G1484" s="5">
        <v>38</v>
      </c>
      <c r="H1484" s="2" t="s">
        <v>29</v>
      </c>
      <c r="I1484" s="2" t="s">
        <v>34</v>
      </c>
      <c r="J1484" s="2" t="s">
        <v>44</v>
      </c>
      <c r="K1484" s="2" t="s">
        <v>18</v>
      </c>
    </row>
    <row r="1485" spans="1:11" x14ac:dyDescent="0.3">
      <c r="A1485" s="2" t="s">
        <v>1868</v>
      </c>
      <c r="B1485" s="2" t="s">
        <v>1201</v>
      </c>
      <c r="C1485" s="3">
        <v>46021.684027777781</v>
      </c>
      <c r="D1485" s="2" t="s">
        <v>28</v>
      </c>
      <c r="E1485" s="4">
        <v>8539.3799999999992</v>
      </c>
      <c r="F1485" s="2" t="s">
        <v>14</v>
      </c>
      <c r="G1485" s="5">
        <v>44</v>
      </c>
      <c r="H1485" s="2" t="s">
        <v>15</v>
      </c>
      <c r="I1485" s="2" t="s">
        <v>25</v>
      </c>
      <c r="J1485" s="2" t="s">
        <v>44</v>
      </c>
      <c r="K1485" s="2" t="s">
        <v>18</v>
      </c>
    </row>
    <row r="1486" spans="1:11" x14ac:dyDescent="0.3">
      <c r="A1486" s="2" t="s">
        <v>1869</v>
      </c>
      <c r="B1486" s="2" t="s">
        <v>84</v>
      </c>
      <c r="C1486" s="3">
        <v>45727.705555555563</v>
      </c>
      <c r="D1486" s="2" t="s">
        <v>28</v>
      </c>
      <c r="E1486" s="4">
        <v>33617.85</v>
      </c>
      <c r="F1486" s="2" t="s">
        <v>57</v>
      </c>
      <c r="G1486" s="5">
        <v>33</v>
      </c>
      <c r="H1486" s="2" t="s">
        <v>15</v>
      </c>
      <c r="I1486" s="2" t="s">
        <v>34</v>
      </c>
      <c r="J1486" s="2" t="s">
        <v>17</v>
      </c>
      <c r="K1486" s="2" t="s">
        <v>45</v>
      </c>
    </row>
    <row r="1487" spans="1:11" x14ac:dyDescent="0.3">
      <c r="A1487" s="2" t="s">
        <v>1870</v>
      </c>
      <c r="B1487" s="2" t="s">
        <v>225</v>
      </c>
      <c r="C1487" s="3">
        <v>45949.007638888892</v>
      </c>
      <c r="D1487" s="2" t="s">
        <v>28</v>
      </c>
      <c r="E1487" s="4">
        <v>8943.75</v>
      </c>
      <c r="F1487" s="2" t="s">
        <v>14</v>
      </c>
      <c r="G1487" s="5">
        <v>35</v>
      </c>
      <c r="H1487" s="2" t="s">
        <v>29</v>
      </c>
      <c r="I1487" s="2" t="s">
        <v>78</v>
      </c>
      <c r="J1487" s="2" t="s">
        <v>17</v>
      </c>
      <c r="K1487" s="2" t="s">
        <v>18</v>
      </c>
    </row>
    <row r="1488" spans="1:11" x14ac:dyDescent="0.3">
      <c r="A1488" s="2" t="s">
        <v>1871</v>
      </c>
      <c r="B1488" s="2" t="s">
        <v>756</v>
      </c>
      <c r="C1488" s="3">
        <v>45756.286805555559</v>
      </c>
      <c r="D1488" s="2" t="s">
        <v>28</v>
      </c>
      <c r="E1488" s="4">
        <v>53153.63</v>
      </c>
      <c r="F1488" s="2" t="s">
        <v>14</v>
      </c>
      <c r="G1488" s="5">
        <v>40</v>
      </c>
      <c r="H1488" s="2" t="s">
        <v>15</v>
      </c>
      <c r="I1488" s="2" t="s">
        <v>16</v>
      </c>
      <c r="J1488" s="2" t="s">
        <v>17</v>
      </c>
      <c r="K1488" s="2" t="s">
        <v>45</v>
      </c>
    </row>
    <row r="1489" spans="1:11" x14ac:dyDescent="0.3">
      <c r="A1489" s="2" t="s">
        <v>1872</v>
      </c>
      <c r="B1489" s="2" t="s">
        <v>417</v>
      </c>
      <c r="C1489" s="3">
        <v>45687.293055555558</v>
      </c>
      <c r="D1489" s="2" t="s">
        <v>38</v>
      </c>
      <c r="E1489" s="4">
        <v>2597.2600000000002</v>
      </c>
      <c r="F1489" s="2" t="s">
        <v>14</v>
      </c>
      <c r="G1489" s="5">
        <v>28</v>
      </c>
      <c r="H1489" s="2" t="s">
        <v>15</v>
      </c>
      <c r="I1489" s="2" t="s">
        <v>21</v>
      </c>
      <c r="J1489" s="2" t="s">
        <v>44</v>
      </c>
      <c r="K1489" s="2" t="s">
        <v>18</v>
      </c>
    </row>
    <row r="1490" spans="1:11" x14ac:dyDescent="0.3">
      <c r="A1490" s="2" t="s">
        <v>1873</v>
      </c>
      <c r="B1490" s="2" t="s">
        <v>286</v>
      </c>
      <c r="C1490" s="3">
        <v>45891.081944444442</v>
      </c>
      <c r="D1490" s="2" t="s">
        <v>28</v>
      </c>
      <c r="E1490" s="4">
        <v>57055.27</v>
      </c>
      <c r="F1490" s="2" t="s">
        <v>122</v>
      </c>
      <c r="G1490" s="5">
        <v>60</v>
      </c>
      <c r="H1490" s="2" t="s">
        <v>29</v>
      </c>
      <c r="I1490" s="2" t="s">
        <v>21</v>
      </c>
      <c r="J1490" s="2" t="s">
        <v>17</v>
      </c>
      <c r="K1490" s="2" t="s">
        <v>18</v>
      </c>
    </row>
    <row r="1491" spans="1:11" x14ac:dyDescent="0.3">
      <c r="A1491" s="2" t="s">
        <v>1874</v>
      </c>
      <c r="B1491" s="2" t="s">
        <v>829</v>
      </c>
      <c r="C1491" s="3">
        <v>45842.925000000003</v>
      </c>
      <c r="D1491" s="2" t="s">
        <v>13</v>
      </c>
      <c r="E1491" s="4">
        <v>984.64</v>
      </c>
      <c r="F1491" s="2" t="s">
        <v>14</v>
      </c>
      <c r="G1491" s="5">
        <v>43</v>
      </c>
      <c r="H1491" s="2" t="s">
        <v>15</v>
      </c>
      <c r="I1491" s="2" t="s">
        <v>25</v>
      </c>
      <c r="J1491" s="2" t="s">
        <v>52</v>
      </c>
      <c r="K1491" s="2" t="s">
        <v>22</v>
      </c>
    </row>
    <row r="1492" spans="1:11" x14ac:dyDescent="0.3">
      <c r="A1492" s="2" t="s">
        <v>1875</v>
      </c>
      <c r="B1492" s="2" t="s">
        <v>740</v>
      </c>
      <c r="C1492" s="3">
        <v>45798.494444444441</v>
      </c>
      <c r="D1492" s="2" t="s">
        <v>28</v>
      </c>
      <c r="E1492" s="4">
        <v>9613.0499999999993</v>
      </c>
      <c r="F1492" s="2" t="s">
        <v>14</v>
      </c>
      <c r="G1492" s="5">
        <v>44</v>
      </c>
      <c r="H1492" s="2" t="s">
        <v>29</v>
      </c>
      <c r="I1492" s="2" t="s">
        <v>95</v>
      </c>
      <c r="J1492" s="2" t="s">
        <v>44</v>
      </c>
      <c r="K1492" s="2" t="s">
        <v>18</v>
      </c>
    </row>
    <row r="1493" spans="1:11" x14ac:dyDescent="0.3">
      <c r="A1493" s="2" t="s">
        <v>1876</v>
      </c>
      <c r="B1493" s="2" t="s">
        <v>1877</v>
      </c>
      <c r="C1493" s="3">
        <v>45895.684027777781</v>
      </c>
      <c r="D1493" s="2" t="s">
        <v>28</v>
      </c>
      <c r="E1493" s="4">
        <v>26569.84</v>
      </c>
      <c r="F1493" s="2" t="s">
        <v>14</v>
      </c>
      <c r="G1493" s="5">
        <v>27</v>
      </c>
      <c r="H1493" s="2" t="s">
        <v>15</v>
      </c>
      <c r="I1493" s="2" t="s">
        <v>21</v>
      </c>
      <c r="J1493" s="2" t="s">
        <v>49</v>
      </c>
      <c r="K1493" s="2" t="s">
        <v>22</v>
      </c>
    </row>
    <row r="1494" spans="1:11" x14ac:dyDescent="0.3">
      <c r="A1494" s="2" t="s">
        <v>1878</v>
      </c>
      <c r="B1494" s="2" t="s">
        <v>161</v>
      </c>
      <c r="C1494" s="3">
        <v>45983.154861111107</v>
      </c>
      <c r="D1494" s="2" t="s">
        <v>33</v>
      </c>
      <c r="E1494" s="4">
        <v>3900.14</v>
      </c>
      <c r="F1494" s="2" t="s">
        <v>14</v>
      </c>
      <c r="G1494" s="5">
        <v>39</v>
      </c>
      <c r="H1494" s="2" t="s">
        <v>15</v>
      </c>
      <c r="I1494" s="2" t="s">
        <v>34</v>
      </c>
      <c r="J1494" s="2" t="s">
        <v>44</v>
      </c>
      <c r="K1494" s="2" t="s">
        <v>18</v>
      </c>
    </row>
    <row r="1495" spans="1:11" x14ac:dyDescent="0.3">
      <c r="A1495" s="2" t="s">
        <v>1879</v>
      </c>
      <c r="B1495" s="2" t="s">
        <v>958</v>
      </c>
      <c r="C1495" s="3">
        <v>45673.307638888888</v>
      </c>
      <c r="D1495" s="2" t="s">
        <v>13</v>
      </c>
      <c r="E1495" s="4">
        <v>1500.38</v>
      </c>
      <c r="F1495" s="2" t="s">
        <v>14</v>
      </c>
      <c r="G1495" s="5">
        <v>37</v>
      </c>
      <c r="H1495" s="2" t="s">
        <v>29</v>
      </c>
      <c r="I1495" s="2" t="s">
        <v>34</v>
      </c>
      <c r="J1495" s="2" t="s">
        <v>49</v>
      </c>
      <c r="K1495" s="2" t="s">
        <v>22</v>
      </c>
    </row>
    <row r="1496" spans="1:11" x14ac:dyDescent="0.3">
      <c r="A1496" s="2" t="s">
        <v>1880</v>
      </c>
      <c r="B1496" s="2" t="s">
        <v>130</v>
      </c>
      <c r="C1496" s="3">
        <v>45908.811111111107</v>
      </c>
      <c r="D1496" s="2" t="s">
        <v>28</v>
      </c>
      <c r="E1496" s="4">
        <v>15575.89</v>
      </c>
      <c r="F1496" s="2" t="s">
        <v>14</v>
      </c>
      <c r="G1496" s="5">
        <v>38</v>
      </c>
      <c r="H1496" s="2" t="s">
        <v>29</v>
      </c>
      <c r="I1496" s="2" t="s">
        <v>48</v>
      </c>
      <c r="J1496" s="2" t="s">
        <v>17</v>
      </c>
      <c r="K1496" s="2" t="s">
        <v>45</v>
      </c>
    </row>
    <row r="1497" spans="1:11" x14ac:dyDescent="0.3">
      <c r="A1497" s="2" t="s">
        <v>1881</v>
      </c>
      <c r="B1497" s="2" t="s">
        <v>90</v>
      </c>
      <c r="C1497" s="3">
        <v>45748.650694444441</v>
      </c>
      <c r="D1497" s="2" t="s">
        <v>28</v>
      </c>
      <c r="E1497" s="4">
        <v>24387.7</v>
      </c>
      <c r="F1497" s="2" t="s">
        <v>14</v>
      </c>
      <c r="G1497" s="5">
        <v>22</v>
      </c>
      <c r="H1497" s="2" t="s">
        <v>29</v>
      </c>
      <c r="I1497" s="2" t="s">
        <v>48</v>
      </c>
      <c r="J1497" s="2" t="s">
        <v>49</v>
      </c>
      <c r="K1497" s="2" t="s">
        <v>35</v>
      </c>
    </row>
    <row r="1498" spans="1:11" x14ac:dyDescent="0.3">
      <c r="A1498" s="2" t="s">
        <v>1882</v>
      </c>
      <c r="B1498" s="2" t="s">
        <v>185</v>
      </c>
      <c r="C1498" s="3">
        <v>45940.473611111112</v>
      </c>
      <c r="D1498" s="2" t="s">
        <v>28</v>
      </c>
      <c r="E1498" s="4">
        <v>17653.16</v>
      </c>
      <c r="F1498" s="2" t="s">
        <v>14</v>
      </c>
      <c r="G1498" s="5">
        <v>28</v>
      </c>
      <c r="H1498" s="2" t="s">
        <v>29</v>
      </c>
      <c r="I1498" s="2" t="s">
        <v>34</v>
      </c>
      <c r="J1498" s="2" t="s">
        <v>17</v>
      </c>
      <c r="K1498" s="2" t="s">
        <v>35</v>
      </c>
    </row>
    <row r="1499" spans="1:11" x14ac:dyDescent="0.3">
      <c r="A1499" s="2" t="s">
        <v>1883</v>
      </c>
      <c r="B1499" s="2" t="s">
        <v>198</v>
      </c>
      <c r="C1499" s="3">
        <v>45741.365972222222</v>
      </c>
      <c r="D1499" s="2" t="s">
        <v>28</v>
      </c>
      <c r="E1499" s="4">
        <v>14555.69</v>
      </c>
      <c r="F1499" s="2" t="s">
        <v>14</v>
      </c>
      <c r="G1499" s="5">
        <v>40</v>
      </c>
      <c r="H1499" s="2" t="s">
        <v>29</v>
      </c>
      <c r="I1499" s="2" t="s">
        <v>34</v>
      </c>
      <c r="J1499" s="2" t="s">
        <v>49</v>
      </c>
      <c r="K1499" s="2" t="s">
        <v>18</v>
      </c>
    </row>
    <row r="1500" spans="1:11" x14ac:dyDescent="0.3">
      <c r="A1500" s="2" t="s">
        <v>1884</v>
      </c>
      <c r="B1500" s="2" t="s">
        <v>374</v>
      </c>
      <c r="C1500" s="3">
        <v>46010.095833333333</v>
      </c>
      <c r="D1500" s="2" t="s">
        <v>28</v>
      </c>
      <c r="E1500" s="4">
        <v>7797.82</v>
      </c>
      <c r="F1500" s="2" t="s">
        <v>14</v>
      </c>
      <c r="G1500" s="5">
        <v>28</v>
      </c>
      <c r="H1500" s="2" t="s">
        <v>29</v>
      </c>
      <c r="I1500" s="2" t="s">
        <v>21</v>
      </c>
      <c r="J1500" s="2" t="s">
        <v>17</v>
      </c>
      <c r="K1500" s="2" t="s">
        <v>22</v>
      </c>
    </row>
    <row r="1501" spans="1:11" x14ac:dyDescent="0.3">
      <c r="A1501" s="2" t="s">
        <v>1885</v>
      </c>
      <c r="B1501" s="2" t="s">
        <v>511</v>
      </c>
      <c r="C1501" s="3">
        <v>45672.502083333333</v>
      </c>
      <c r="D1501" s="2" t="s">
        <v>28</v>
      </c>
      <c r="E1501" s="4">
        <v>11654.88</v>
      </c>
      <c r="F1501" s="2" t="s">
        <v>14</v>
      </c>
      <c r="G1501" s="5">
        <v>23</v>
      </c>
      <c r="H1501" s="2" t="s">
        <v>29</v>
      </c>
      <c r="I1501" s="2" t="s">
        <v>16</v>
      </c>
      <c r="J1501" s="2" t="s">
        <v>49</v>
      </c>
      <c r="K1501" s="2" t="s">
        <v>35</v>
      </c>
    </row>
    <row r="1502" spans="1:11" x14ac:dyDescent="0.3">
      <c r="A1502" s="2" t="s">
        <v>1886</v>
      </c>
      <c r="B1502" s="2" t="s">
        <v>774</v>
      </c>
      <c r="C1502" s="3">
        <v>45741.78402777778</v>
      </c>
      <c r="D1502" s="2" t="s">
        <v>28</v>
      </c>
      <c r="E1502" s="4">
        <v>14871.07</v>
      </c>
      <c r="F1502" s="2" t="s">
        <v>14</v>
      </c>
      <c r="G1502" s="5">
        <v>42</v>
      </c>
      <c r="H1502" s="2" t="s">
        <v>15</v>
      </c>
      <c r="I1502" s="2" t="s">
        <v>95</v>
      </c>
      <c r="J1502" s="2" t="s">
        <v>17</v>
      </c>
      <c r="K1502" s="2" t="s">
        <v>45</v>
      </c>
    </row>
    <row r="1503" spans="1:11" x14ac:dyDescent="0.3">
      <c r="A1503" s="2" t="s">
        <v>1887</v>
      </c>
      <c r="B1503" s="2" t="s">
        <v>1191</v>
      </c>
      <c r="C1503" s="3">
        <v>45767.320138888892</v>
      </c>
      <c r="D1503" s="2" t="s">
        <v>13</v>
      </c>
      <c r="E1503" s="4">
        <v>1361.13</v>
      </c>
      <c r="F1503" s="2" t="s">
        <v>14</v>
      </c>
      <c r="G1503" s="5">
        <v>25</v>
      </c>
      <c r="H1503" s="2" t="s">
        <v>29</v>
      </c>
      <c r="I1503" s="2" t="s">
        <v>34</v>
      </c>
      <c r="J1503" s="2" t="s">
        <v>17</v>
      </c>
      <c r="K1503" s="2" t="s">
        <v>35</v>
      </c>
    </row>
    <row r="1504" spans="1:11" x14ac:dyDescent="0.3">
      <c r="A1504" s="2" t="s">
        <v>1888</v>
      </c>
      <c r="B1504" s="2" t="s">
        <v>617</v>
      </c>
      <c r="C1504" s="3">
        <v>45773.884027777778</v>
      </c>
      <c r="D1504" s="2" t="s">
        <v>13</v>
      </c>
      <c r="E1504" s="4">
        <v>1673.03</v>
      </c>
      <c r="F1504" s="2" t="s">
        <v>14</v>
      </c>
      <c r="G1504" s="5">
        <v>22</v>
      </c>
      <c r="H1504" s="2" t="s">
        <v>15</v>
      </c>
      <c r="I1504" s="2" t="s">
        <v>34</v>
      </c>
      <c r="J1504" s="2" t="s">
        <v>44</v>
      </c>
      <c r="K1504" s="2" t="s">
        <v>35</v>
      </c>
    </row>
    <row r="1505" spans="1:11" x14ac:dyDescent="0.3">
      <c r="A1505" s="2" t="s">
        <v>1889</v>
      </c>
      <c r="B1505" s="2" t="s">
        <v>311</v>
      </c>
      <c r="C1505" s="3">
        <v>45795.851388888892</v>
      </c>
      <c r="D1505" s="2" t="s">
        <v>33</v>
      </c>
      <c r="E1505" s="4">
        <v>1278.8699999999999</v>
      </c>
      <c r="F1505" s="2" t="s">
        <v>14</v>
      </c>
      <c r="G1505" s="5">
        <v>56</v>
      </c>
      <c r="H1505" s="2" t="s">
        <v>29</v>
      </c>
      <c r="I1505" s="2" t="s">
        <v>60</v>
      </c>
      <c r="J1505" s="2" t="s">
        <v>49</v>
      </c>
      <c r="K1505" s="2" t="s">
        <v>18</v>
      </c>
    </row>
    <row r="1506" spans="1:11" x14ac:dyDescent="0.3">
      <c r="A1506" s="2" t="s">
        <v>1890</v>
      </c>
      <c r="B1506" s="2" t="s">
        <v>949</v>
      </c>
      <c r="C1506" s="3">
        <v>45920.038194444453</v>
      </c>
      <c r="D1506" s="2" t="s">
        <v>13</v>
      </c>
      <c r="E1506" s="4">
        <v>479.26</v>
      </c>
      <c r="F1506" s="2" t="s">
        <v>14</v>
      </c>
      <c r="G1506" s="5">
        <v>45</v>
      </c>
      <c r="H1506" s="2" t="s">
        <v>29</v>
      </c>
      <c r="I1506" s="2" t="s">
        <v>34</v>
      </c>
      <c r="J1506" s="2" t="s">
        <v>17</v>
      </c>
      <c r="K1506" s="2" t="s">
        <v>18</v>
      </c>
    </row>
    <row r="1507" spans="1:11" x14ac:dyDescent="0.3">
      <c r="A1507" s="2" t="s">
        <v>1891</v>
      </c>
      <c r="B1507" s="2" t="s">
        <v>988</v>
      </c>
      <c r="C1507" s="3">
        <v>46007.020833333343</v>
      </c>
      <c r="D1507" s="2" t="s">
        <v>38</v>
      </c>
      <c r="E1507" s="4">
        <v>10262.75</v>
      </c>
      <c r="F1507" s="2" t="s">
        <v>14</v>
      </c>
      <c r="G1507" s="5">
        <v>35</v>
      </c>
      <c r="H1507" s="2" t="s">
        <v>29</v>
      </c>
      <c r="I1507" s="2" t="s">
        <v>34</v>
      </c>
      <c r="J1507" s="2" t="s">
        <v>49</v>
      </c>
      <c r="K1507" s="2" t="s">
        <v>45</v>
      </c>
    </row>
    <row r="1508" spans="1:11" x14ac:dyDescent="0.3">
      <c r="A1508" s="2" t="s">
        <v>1892</v>
      </c>
      <c r="B1508" s="2" t="s">
        <v>284</v>
      </c>
      <c r="C1508" s="3">
        <v>45725.84097222222</v>
      </c>
      <c r="D1508" s="2" t="s">
        <v>28</v>
      </c>
      <c r="E1508" s="4">
        <v>61790.720000000001</v>
      </c>
      <c r="F1508" s="2" t="s">
        <v>14</v>
      </c>
      <c r="G1508" s="5">
        <v>59</v>
      </c>
      <c r="H1508" s="2" t="s">
        <v>15</v>
      </c>
      <c r="I1508" s="2" t="s">
        <v>34</v>
      </c>
      <c r="J1508" s="2" t="s">
        <v>17</v>
      </c>
      <c r="K1508" s="2" t="s">
        <v>22</v>
      </c>
    </row>
    <row r="1509" spans="1:11" x14ac:dyDescent="0.3">
      <c r="A1509" s="2" t="s">
        <v>1893</v>
      </c>
      <c r="B1509" s="2" t="s">
        <v>181</v>
      </c>
      <c r="C1509" s="3">
        <v>45965.009722222218</v>
      </c>
      <c r="D1509" s="2" t="s">
        <v>13</v>
      </c>
      <c r="E1509" s="4">
        <v>1234.1400000000001</v>
      </c>
      <c r="F1509" s="2" t="s">
        <v>14</v>
      </c>
      <c r="G1509" s="5">
        <v>34</v>
      </c>
      <c r="H1509" s="2" t="s">
        <v>15</v>
      </c>
      <c r="I1509" s="2" t="s">
        <v>48</v>
      </c>
      <c r="J1509" s="2" t="s">
        <v>17</v>
      </c>
      <c r="K1509" s="2" t="s">
        <v>45</v>
      </c>
    </row>
    <row r="1510" spans="1:11" x14ac:dyDescent="0.3">
      <c r="A1510" s="2" t="s">
        <v>1894</v>
      </c>
      <c r="B1510" s="2" t="s">
        <v>179</v>
      </c>
      <c r="C1510" s="3">
        <v>45787.82708333333</v>
      </c>
      <c r="D1510" s="2" t="s">
        <v>28</v>
      </c>
      <c r="E1510" s="4">
        <v>11668.77</v>
      </c>
      <c r="F1510" s="2" t="s">
        <v>14</v>
      </c>
      <c r="G1510" s="5">
        <v>38</v>
      </c>
      <c r="H1510" s="2" t="s">
        <v>15</v>
      </c>
      <c r="I1510" s="2" t="s">
        <v>34</v>
      </c>
      <c r="J1510" s="2" t="s">
        <v>17</v>
      </c>
      <c r="K1510" s="2" t="s">
        <v>45</v>
      </c>
    </row>
    <row r="1511" spans="1:11" x14ac:dyDescent="0.3">
      <c r="A1511" s="2" t="s">
        <v>1895</v>
      </c>
      <c r="B1511" s="2" t="s">
        <v>368</v>
      </c>
      <c r="C1511" s="3">
        <v>45814.947916666657</v>
      </c>
      <c r="D1511" s="2" t="s">
        <v>28</v>
      </c>
      <c r="E1511" s="4">
        <v>37470.82</v>
      </c>
      <c r="F1511" s="2" t="s">
        <v>122</v>
      </c>
      <c r="G1511" s="5">
        <v>52</v>
      </c>
      <c r="H1511" s="2" t="s">
        <v>15</v>
      </c>
      <c r="I1511" s="2" t="s">
        <v>34</v>
      </c>
      <c r="J1511" s="2" t="s">
        <v>17</v>
      </c>
      <c r="K1511" s="2" t="s">
        <v>18</v>
      </c>
    </row>
    <row r="1512" spans="1:11" x14ac:dyDescent="0.3">
      <c r="A1512" s="2" t="s">
        <v>1896</v>
      </c>
      <c r="B1512" s="2" t="s">
        <v>299</v>
      </c>
      <c r="C1512" s="3">
        <v>45987.352083333331</v>
      </c>
      <c r="D1512" s="2" t="s">
        <v>13</v>
      </c>
      <c r="E1512" s="4">
        <v>3107.23</v>
      </c>
      <c r="F1512" s="2" t="s">
        <v>14</v>
      </c>
      <c r="G1512" s="5">
        <v>27</v>
      </c>
      <c r="H1512" s="2" t="s">
        <v>15</v>
      </c>
      <c r="I1512" s="2" t="s">
        <v>34</v>
      </c>
      <c r="J1512" s="2" t="s">
        <v>49</v>
      </c>
      <c r="K1512" s="2" t="s">
        <v>18</v>
      </c>
    </row>
    <row r="1513" spans="1:11" x14ac:dyDescent="0.3">
      <c r="A1513" s="2" t="s">
        <v>1897</v>
      </c>
      <c r="B1513" s="2" t="s">
        <v>587</v>
      </c>
      <c r="C1513" s="3">
        <v>45850.478472222218</v>
      </c>
      <c r="D1513" s="2" t="s">
        <v>38</v>
      </c>
      <c r="E1513" s="4">
        <v>6776.84</v>
      </c>
      <c r="F1513" s="2" t="s">
        <v>14</v>
      </c>
      <c r="G1513" s="5">
        <v>47</v>
      </c>
      <c r="H1513" s="2" t="s">
        <v>29</v>
      </c>
      <c r="I1513" s="2" t="s">
        <v>34</v>
      </c>
      <c r="J1513" s="2" t="s">
        <v>49</v>
      </c>
      <c r="K1513" s="2" t="s">
        <v>35</v>
      </c>
    </row>
    <row r="1514" spans="1:11" x14ac:dyDescent="0.3">
      <c r="A1514" s="2" t="s">
        <v>1898</v>
      </c>
      <c r="B1514" s="2" t="s">
        <v>660</v>
      </c>
      <c r="C1514" s="3">
        <v>45787.270138888889</v>
      </c>
      <c r="D1514" s="2" t="s">
        <v>33</v>
      </c>
      <c r="E1514" s="4">
        <v>8692.49</v>
      </c>
      <c r="F1514" s="2" t="s">
        <v>14</v>
      </c>
      <c r="G1514" s="5">
        <v>50</v>
      </c>
      <c r="H1514" s="2" t="s">
        <v>15</v>
      </c>
      <c r="I1514" s="2" t="s">
        <v>34</v>
      </c>
      <c r="J1514" s="2" t="s">
        <v>49</v>
      </c>
      <c r="K1514" s="2" t="s">
        <v>22</v>
      </c>
    </row>
    <row r="1515" spans="1:11" x14ac:dyDescent="0.3">
      <c r="A1515" s="2" t="s">
        <v>1899</v>
      </c>
      <c r="B1515" s="2" t="s">
        <v>597</v>
      </c>
      <c r="C1515" s="3">
        <v>45812.897916666669</v>
      </c>
      <c r="D1515" s="2" t="s">
        <v>28</v>
      </c>
      <c r="E1515" s="4">
        <v>32837.699999999997</v>
      </c>
      <c r="F1515" s="2" t="s">
        <v>14</v>
      </c>
      <c r="G1515" s="5">
        <v>43</v>
      </c>
      <c r="H1515" s="2" t="s">
        <v>15</v>
      </c>
      <c r="I1515" s="2" t="s">
        <v>48</v>
      </c>
      <c r="J1515" s="2" t="s">
        <v>49</v>
      </c>
      <c r="K1515" s="2" t="s">
        <v>18</v>
      </c>
    </row>
    <row r="1516" spans="1:11" x14ac:dyDescent="0.3">
      <c r="A1516" s="2" t="s">
        <v>1900</v>
      </c>
      <c r="B1516" s="2" t="s">
        <v>88</v>
      </c>
      <c r="C1516" s="3">
        <v>45977.525694444441</v>
      </c>
      <c r="D1516" s="2" t="s">
        <v>28</v>
      </c>
      <c r="E1516" s="4">
        <v>9153.2800000000007</v>
      </c>
      <c r="F1516" s="2" t="s">
        <v>14</v>
      </c>
      <c r="G1516" s="5">
        <v>25</v>
      </c>
      <c r="H1516" s="2" t="s">
        <v>29</v>
      </c>
      <c r="I1516" s="2" t="s">
        <v>34</v>
      </c>
      <c r="J1516" s="2" t="s">
        <v>49</v>
      </c>
      <c r="K1516" s="2" t="s">
        <v>18</v>
      </c>
    </row>
    <row r="1517" spans="1:11" x14ac:dyDescent="0.3">
      <c r="A1517" s="2" t="s">
        <v>1901</v>
      </c>
      <c r="B1517" s="2" t="s">
        <v>1311</v>
      </c>
      <c r="C1517" s="3">
        <v>45710.022222222222</v>
      </c>
      <c r="D1517" s="2" t="s">
        <v>28</v>
      </c>
      <c r="E1517" s="4">
        <v>3306.18</v>
      </c>
      <c r="F1517" s="2" t="s">
        <v>14</v>
      </c>
      <c r="G1517" s="5">
        <v>36</v>
      </c>
      <c r="H1517" s="2" t="s">
        <v>15</v>
      </c>
      <c r="I1517" s="2" t="s">
        <v>60</v>
      </c>
      <c r="J1517" s="2" t="s">
        <v>49</v>
      </c>
      <c r="K1517" s="2" t="s">
        <v>18</v>
      </c>
    </row>
    <row r="1518" spans="1:11" x14ac:dyDescent="0.3">
      <c r="A1518" s="2" t="s">
        <v>1902</v>
      </c>
      <c r="B1518" s="2" t="s">
        <v>898</v>
      </c>
      <c r="C1518" s="3">
        <v>45997.482638888891</v>
      </c>
      <c r="D1518" s="2" t="s">
        <v>33</v>
      </c>
      <c r="E1518" s="4">
        <v>1481.09</v>
      </c>
      <c r="F1518" s="2" t="s">
        <v>14</v>
      </c>
      <c r="G1518" s="5">
        <v>56</v>
      </c>
      <c r="H1518" s="2" t="s">
        <v>29</v>
      </c>
      <c r="I1518" s="2" t="s">
        <v>34</v>
      </c>
      <c r="J1518" s="2" t="s">
        <v>17</v>
      </c>
      <c r="K1518" s="2" t="s">
        <v>22</v>
      </c>
    </row>
    <row r="1519" spans="1:11" x14ac:dyDescent="0.3">
      <c r="A1519" s="2" t="s">
        <v>1903</v>
      </c>
      <c r="B1519" s="2" t="s">
        <v>752</v>
      </c>
      <c r="C1519" s="3">
        <v>45989.818055555559</v>
      </c>
      <c r="D1519" s="2" t="s">
        <v>28</v>
      </c>
      <c r="E1519" s="4">
        <v>26019.37</v>
      </c>
      <c r="F1519" s="2" t="s">
        <v>122</v>
      </c>
      <c r="G1519" s="5">
        <v>20</v>
      </c>
      <c r="H1519" s="2" t="s">
        <v>15</v>
      </c>
      <c r="I1519" s="2" t="s">
        <v>48</v>
      </c>
      <c r="J1519" s="2" t="s">
        <v>17</v>
      </c>
      <c r="K1519" s="2" t="s">
        <v>18</v>
      </c>
    </row>
    <row r="1520" spans="1:11" x14ac:dyDescent="0.3">
      <c r="A1520" s="2" t="s">
        <v>1904</v>
      </c>
      <c r="B1520" s="2" t="s">
        <v>82</v>
      </c>
      <c r="C1520" s="3">
        <v>45802.404861111107</v>
      </c>
      <c r="D1520" s="2" t="s">
        <v>13</v>
      </c>
      <c r="E1520" s="4">
        <v>787.01</v>
      </c>
      <c r="F1520" s="2" t="s">
        <v>14</v>
      </c>
      <c r="G1520" s="5">
        <v>20</v>
      </c>
      <c r="H1520" s="2" t="s">
        <v>29</v>
      </c>
      <c r="I1520" s="2" t="s">
        <v>21</v>
      </c>
      <c r="J1520" s="2" t="s">
        <v>17</v>
      </c>
      <c r="K1520" s="2" t="s">
        <v>18</v>
      </c>
    </row>
    <row r="1521" spans="1:11" x14ac:dyDescent="0.3">
      <c r="A1521" s="2" t="s">
        <v>1905</v>
      </c>
      <c r="B1521" s="2" t="s">
        <v>1306</v>
      </c>
      <c r="C1521" s="3">
        <v>45713.62777777778</v>
      </c>
      <c r="D1521" s="2" t="s">
        <v>28</v>
      </c>
      <c r="E1521" s="4">
        <v>13605.61</v>
      </c>
      <c r="F1521" s="2" t="s">
        <v>57</v>
      </c>
      <c r="G1521" s="5">
        <v>40</v>
      </c>
      <c r="H1521" s="2" t="s">
        <v>29</v>
      </c>
      <c r="I1521" s="2" t="s">
        <v>48</v>
      </c>
      <c r="J1521" s="2" t="s">
        <v>17</v>
      </c>
      <c r="K1521" s="2" t="s">
        <v>45</v>
      </c>
    </row>
    <row r="1522" spans="1:11" x14ac:dyDescent="0.3">
      <c r="A1522" s="2" t="s">
        <v>1906</v>
      </c>
      <c r="B1522" s="2" t="s">
        <v>511</v>
      </c>
      <c r="C1522" s="3">
        <v>45830.361111111109</v>
      </c>
      <c r="D1522" s="2" t="s">
        <v>154</v>
      </c>
      <c r="E1522" s="4">
        <v>2000</v>
      </c>
      <c r="F1522" s="2" t="s">
        <v>14</v>
      </c>
      <c r="G1522" s="5">
        <v>23</v>
      </c>
      <c r="H1522" s="2" t="s">
        <v>29</v>
      </c>
      <c r="I1522" s="2" t="s">
        <v>16</v>
      </c>
      <c r="J1522" s="2" t="s">
        <v>49</v>
      </c>
      <c r="K1522" s="2" t="s">
        <v>18</v>
      </c>
    </row>
    <row r="1523" spans="1:11" x14ac:dyDescent="0.3">
      <c r="A1523" s="2" t="s">
        <v>1907</v>
      </c>
      <c r="B1523" s="2" t="s">
        <v>461</v>
      </c>
      <c r="C1523" s="3">
        <v>45824.344444444447</v>
      </c>
      <c r="D1523" s="2" t="s">
        <v>33</v>
      </c>
      <c r="E1523" s="4">
        <v>3316.85</v>
      </c>
      <c r="F1523" s="2" t="s">
        <v>122</v>
      </c>
      <c r="G1523" s="5">
        <v>39</v>
      </c>
      <c r="H1523" s="2" t="s">
        <v>29</v>
      </c>
      <c r="I1523" s="2" t="s">
        <v>60</v>
      </c>
      <c r="J1523" s="2" t="s">
        <v>52</v>
      </c>
      <c r="K1523" s="2" t="s">
        <v>18</v>
      </c>
    </row>
    <row r="1524" spans="1:11" x14ac:dyDescent="0.3">
      <c r="A1524" s="2" t="s">
        <v>1908</v>
      </c>
      <c r="B1524" s="2" t="s">
        <v>969</v>
      </c>
      <c r="C1524" s="3">
        <v>45993.956250000003</v>
      </c>
      <c r="D1524" s="2" t="s">
        <v>28</v>
      </c>
      <c r="E1524" s="4">
        <v>2604.85</v>
      </c>
      <c r="F1524" s="2" t="s">
        <v>14</v>
      </c>
      <c r="G1524" s="5">
        <v>60</v>
      </c>
      <c r="H1524" s="2" t="s">
        <v>15</v>
      </c>
      <c r="I1524" s="2" t="s">
        <v>21</v>
      </c>
      <c r="J1524" s="2" t="s">
        <v>17</v>
      </c>
      <c r="K1524" s="2" t="s">
        <v>18</v>
      </c>
    </row>
    <row r="1525" spans="1:11" x14ac:dyDescent="0.3">
      <c r="A1525" s="2" t="s">
        <v>1909</v>
      </c>
      <c r="B1525" s="2" t="s">
        <v>547</v>
      </c>
      <c r="C1525" s="3">
        <v>45991.383333333331</v>
      </c>
      <c r="D1525" s="2" t="s">
        <v>28</v>
      </c>
      <c r="E1525" s="4">
        <v>9517.4500000000007</v>
      </c>
      <c r="F1525" s="2" t="s">
        <v>14</v>
      </c>
      <c r="G1525" s="5">
        <v>39</v>
      </c>
      <c r="H1525" s="2" t="s">
        <v>29</v>
      </c>
      <c r="I1525" s="2" t="s">
        <v>34</v>
      </c>
      <c r="J1525" s="2" t="s">
        <v>17</v>
      </c>
      <c r="K1525" s="2" t="s">
        <v>18</v>
      </c>
    </row>
    <row r="1526" spans="1:11" x14ac:dyDescent="0.3">
      <c r="A1526" s="2" t="s">
        <v>1910</v>
      </c>
      <c r="B1526" s="2" t="s">
        <v>163</v>
      </c>
      <c r="C1526" s="3">
        <v>45734.7</v>
      </c>
      <c r="D1526" s="2" t="s">
        <v>13</v>
      </c>
      <c r="E1526" s="4">
        <v>504.02</v>
      </c>
      <c r="F1526" s="2" t="s">
        <v>14</v>
      </c>
      <c r="G1526" s="5">
        <v>31</v>
      </c>
      <c r="H1526" s="2" t="s">
        <v>29</v>
      </c>
      <c r="I1526" s="2" t="s">
        <v>25</v>
      </c>
      <c r="J1526" s="2" t="s">
        <v>49</v>
      </c>
      <c r="K1526" s="2" t="s">
        <v>18</v>
      </c>
    </row>
    <row r="1527" spans="1:11" x14ac:dyDescent="0.3">
      <c r="A1527" s="2" t="s">
        <v>1911</v>
      </c>
      <c r="B1527" s="2" t="s">
        <v>121</v>
      </c>
      <c r="C1527" s="3">
        <v>45781.07708333333</v>
      </c>
      <c r="D1527" s="2" t="s">
        <v>13</v>
      </c>
      <c r="E1527" s="4">
        <v>846</v>
      </c>
      <c r="F1527" s="2" t="s">
        <v>14</v>
      </c>
      <c r="G1527" s="5">
        <v>21</v>
      </c>
      <c r="H1527" s="2" t="s">
        <v>29</v>
      </c>
      <c r="I1527" s="2" t="s">
        <v>16</v>
      </c>
      <c r="J1527" s="2" t="s">
        <v>17</v>
      </c>
      <c r="K1527" s="2" t="s">
        <v>18</v>
      </c>
    </row>
    <row r="1528" spans="1:11" x14ac:dyDescent="0.3">
      <c r="A1528" s="2" t="s">
        <v>1912</v>
      </c>
      <c r="B1528" s="2" t="s">
        <v>567</v>
      </c>
      <c r="C1528" s="3">
        <v>45965.529166666667</v>
      </c>
      <c r="D1528" s="2" t="s">
        <v>13</v>
      </c>
      <c r="E1528" s="4">
        <v>1846.14</v>
      </c>
      <c r="F1528" s="2" t="s">
        <v>14</v>
      </c>
      <c r="G1528" s="5">
        <v>39</v>
      </c>
      <c r="H1528" s="2" t="s">
        <v>15</v>
      </c>
      <c r="I1528" s="2" t="s">
        <v>48</v>
      </c>
      <c r="J1528" s="2" t="s">
        <v>17</v>
      </c>
      <c r="K1528" s="2" t="s">
        <v>18</v>
      </c>
    </row>
    <row r="1529" spans="1:11" x14ac:dyDescent="0.3">
      <c r="A1529" s="2" t="s">
        <v>1913</v>
      </c>
      <c r="B1529" s="2" t="s">
        <v>707</v>
      </c>
      <c r="C1529" s="3">
        <v>45821.880555555559</v>
      </c>
      <c r="D1529" s="2" t="s">
        <v>28</v>
      </c>
      <c r="E1529" s="4">
        <v>19862.32</v>
      </c>
      <c r="F1529" s="2" t="s">
        <v>14</v>
      </c>
      <c r="G1529" s="5">
        <v>35</v>
      </c>
      <c r="H1529" s="2" t="s">
        <v>15</v>
      </c>
      <c r="I1529" s="2" t="s">
        <v>25</v>
      </c>
      <c r="J1529" s="2" t="s">
        <v>17</v>
      </c>
      <c r="K1529" s="2" t="s">
        <v>22</v>
      </c>
    </row>
    <row r="1530" spans="1:11" x14ac:dyDescent="0.3">
      <c r="A1530" s="2" t="s">
        <v>1914</v>
      </c>
      <c r="B1530" s="2" t="s">
        <v>346</v>
      </c>
      <c r="C1530" s="3">
        <v>45671.854861111111</v>
      </c>
      <c r="D1530" s="2" t="s">
        <v>28</v>
      </c>
      <c r="E1530" s="4">
        <v>22155.05</v>
      </c>
      <c r="F1530" s="2" t="s">
        <v>14</v>
      </c>
      <c r="G1530" s="5">
        <v>55</v>
      </c>
      <c r="H1530" s="2" t="s">
        <v>29</v>
      </c>
      <c r="I1530" s="2" t="s">
        <v>95</v>
      </c>
      <c r="J1530" s="2" t="s">
        <v>49</v>
      </c>
      <c r="K1530" s="2" t="s">
        <v>18</v>
      </c>
    </row>
    <row r="1531" spans="1:11" x14ac:dyDescent="0.3">
      <c r="A1531" s="2" t="s">
        <v>1915</v>
      </c>
      <c r="B1531" s="2" t="s">
        <v>688</v>
      </c>
      <c r="C1531" s="3">
        <v>45809.373611111107</v>
      </c>
      <c r="D1531" s="2" t="s">
        <v>13</v>
      </c>
      <c r="E1531" s="4">
        <v>583.35</v>
      </c>
      <c r="F1531" s="2" t="s">
        <v>14</v>
      </c>
      <c r="G1531" s="5">
        <v>24</v>
      </c>
      <c r="H1531" s="2" t="s">
        <v>29</v>
      </c>
      <c r="I1531" s="2" t="s">
        <v>34</v>
      </c>
      <c r="J1531" s="2" t="s">
        <v>44</v>
      </c>
      <c r="K1531" s="2" t="s">
        <v>18</v>
      </c>
    </row>
    <row r="1532" spans="1:11" x14ac:dyDescent="0.3">
      <c r="A1532" s="2" t="s">
        <v>1916</v>
      </c>
      <c r="B1532" s="2" t="s">
        <v>527</v>
      </c>
      <c r="C1532" s="3">
        <v>45872.51666666667</v>
      </c>
      <c r="D1532" s="2" t="s">
        <v>28</v>
      </c>
      <c r="E1532" s="4">
        <v>3867.54</v>
      </c>
      <c r="F1532" s="2" t="s">
        <v>14</v>
      </c>
      <c r="G1532" s="5">
        <v>31</v>
      </c>
      <c r="H1532" s="2" t="s">
        <v>15</v>
      </c>
      <c r="I1532" s="2" t="s">
        <v>60</v>
      </c>
      <c r="J1532" s="2" t="s">
        <v>17</v>
      </c>
      <c r="K1532" s="2" t="s">
        <v>35</v>
      </c>
    </row>
    <row r="1533" spans="1:11" x14ac:dyDescent="0.3">
      <c r="A1533" s="2" t="s">
        <v>1917</v>
      </c>
      <c r="B1533" s="2" t="s">
        <v>323</v>
      </c>
      <c r="C1533" s="3">
        <v>45676.78125</v>
      </c>
      <c r="D1533" s="2" t="s">
        <v>13</v>
      </c>
      <c r="E1533" s="4">
        <v>1995.84</v>
      </c>
      <c r="F1533" s="2" t="s">
        <v>14</v>
      </c>
      <c r="G1533" s="5">
        <v>27</v>
      </c>
      <c r="H1533" s="2" t="s">
        <v>29</v>
      </c>
      <c r="I1533" s="2" t="s">
        <v>43</v>
      </c>
      <c r="J1533" s="2" t="s">
        <v>17</v>
      </c>
      <c r="K1533" s="2" t="s">
        <v>35</v>
      </c>
    </row>
    <row r="1534" spans="1:11" x14ac:dyDescent="0.3">
      <c r="A1534" s="2" t="s">
        <v>1918</v>
      </c>
      <c r="B1534" s="2" t="s">
        <v>92</v>
      </c>
      <c r="C1534" s="3">
        <v>45950.26458333333</v>
      </c>
      <c r="D1534" s="2" t="s">
        <v>13</v>
      </c>
      <c r="E1534" s="4">
        <v>1265.56</v>
      </c>
      <c r="F1534" s="2" t="s">
        <v>14</v>
      </c>
      <c r="G1534" s="5">
        <v>31</v>
      </c>
      <c r="H1534" s="2" t="s">
        <v>29</v>
      </c>
      <c r="I1534" s="2" t="s">
        <v>60</v>
      </c>
      <c r="J1534" s="2" t="s">
        <v>44</v>
      </c>
      <c r="K1534" s="2" t="s">
        <v>18</v>
      </c>
    </row>
    <row r="1535" spans="1:11" x14ac:dyDescent="0.3">
      <c r="A1535" s="2" t="s">
        <v>1919</v>
      </c>
      <c r="B1535" s="2" t="s">
        <v>631</v>
      </c>
      <c r="C1535" s="3">
        <v>45771.898611111108</v>
      </c>
      <c r="D1535" s="2" t="s">
        <v>13</v>
      </c>
      <c r="E1535" s="4">
        <v>2974.12</v>
      </c>
      <c r="F1535" s="2" t="s">
        <v>14</v>
      </c>
      <c r="G1535" s="5">
        <v>27</v>
      </c>
      <c r="H1535" s="2" t="s">
        <v>29</v>
      </c>
      <c r="I1535" s="2" t="s">
        <v>34</v>
      </c>
      <c r="J1535" s="2" t="s">
        <v>17</v>
      </c>
      <c r="K1535" s="2" t="s">
        <v>45</v>
      </c>
    </row>
    <row r="1536" spans="1:11" x14ac:dyDescent="0.3">
      <c r="A1536" s="2" t="s">
        <v>1920</v>
      </c>
      <c r="B1536" s="2" t="s">
        <v>808</v>
      </c>
      <c r="C1536" s="3">
        <v>45984.665277777778</v>
      </c>
      <c r="D1536" s="2" t="s">
        <v>33</v>
      </c>
      <c r="E1536" s="4">
        <v>810.76</v>
      </c>
      <c r="F1536" s="2" t="s">
        <v>57</v>
      </c>
      <c r="G1536" s="5">
        <v>26</v>
      </c>
      <c r="H1536" s="2" t="s">
        <v>15</v>
      </c>
      <c r="I1536" s="2" t="s">
        <v>34</v>
      </c>
      <c r="J1536" s="2" t="s">
        <v>17</v>
      </c>
      <c r="K1536" s="2" t="s">
        <v>18</v>
      </c>
    </row>
    <row r="1537" spans="1:11" x14ac:dyDescent="0.3">
      <c r="A1537" s="2" t="s">
        <v>1921</v>
      </c>
      <c r="B1537" s="2" t="s">
        <v>440</v>
      </c>
      <c r="C1537" s="3">
        <v>46001.480555555558</v>
      </c>
      <c r="D1537" s="2" t="s">
        <v>33</v>
      </c>
      <c r="E1537" s="4">
        <v>34747.5</v>
      </c>
      <c r="F1537" s="2" t="s">
        <v>14</v>
      </c>
      <c r="G1537" s="5">
        <v>23</v>
      </c>
      <c r="H1537" s="2" t="s">
        <v>29</v>
      </c>
      <c r="I1537" s="2" t="s">
        <v>34</v>
      </c>
      <c r="J1537" s="2" t="s">
        <v>49</v>
      </c>
      <c r="K1537" s="2" t="s">
        <v>18</v>
      </c>
    </row>
    <row r="1538" spans="1:11" x14ac:dyDescent="0.3">
      <c r="A1538" s="2" t="s">
        <v>1922</v>
      </c>
      <c r="B1538" s="2" t="s">
        <v>198</v>
      </c>
      <c r="C1538" s="3">
        <v>45811.245138888888</v>
      </c>
      <c r="D1538" s="2" t="s">
        <v>33</v>
      </c>
      <c r="E1538" s="4">
        <v>9538.9500000000007</v>
      </c>
      <c r="F1538" s="2" t="s">
        <v>14</v>
      </c>
      <c r="G1538" s="5">
        <v>40</v>
      </c>
      <c r="H1538" s="2" t="s">
        <v>29</v>
      </c>
      <c r="I1538" s="2" t="s">
        <v>34</v>
      </c>
      <c r="J1538" s="2" t="s">
        <v>49</v>
      </c>
      <c r="K1538" s="2" t="s">
        <v>22</v>
      </c>
    </row>
    <row r="1539" spans="1:11" x14ac:dyDescent="0.3">
      <c r="A1539" s="2" t="s">
        <v>1923</v>
      </c>
      <c r="B1539" s="2" t="s">
        <v>156</v>
      </c>
      <c r="C1539" s="3">
        <v>45994.71597222222</v>
      </c>
      <c r="D1539" s="2" t="s">
        <v>28</v>
      </c>
      <c r="E1539" s="4">
        <v>2962.05</v>
      </c>
      <c r="F1539" s="2" t="s">
        <v>14</v>
      </c>
      <c r="G1539" s="5">
        <v>22</v>
      </c>
      <c r="H1539" s="2" t="s">
        <v>29</v>
      </c>
      <c r="I1539" s="2" t="s">
        <v>34</v>
      </c>
      <c r="J1539" s="2" t="s">
        <v>52</v>
      </c>
      <c r="K1539" s="2" t="s">
        <v>35</v>
      </c>
    </row>
    <row r="1540" spans="1:11" x14ac:dyDescent="0.3">
      <c r="A1540" s="2" t="s">
        <v>1924</v>
      </c>
      <c r="B1540" s="2" t="s">
        <v>593</v>
      </c>
      <c r="C1540" s="3">
        <v>45808.145833333343</v>
      </c>
      <c r="D1540" s="2" t="s">
        <v>13</v>
      </c>
      <c r="E1540" s="4">
        <v>1566.98</v>
      </c>
      <c r="F1540" s="2" t="s">
        <v>14</v>
      </c>
      <c r="G1540" s="5">
        <v>33</v>
      </c>
      <c r="H1540" s="2" t="s">
        <v>15</v>
      </c>
      <c r="I1540" s="2" t="s">
        <v>43</v>
      </c>
      <c r="J1540" s="2" t="s">
        <v>17</v>
      </c>
      <c r="K1540" s="2" t="s">
        <v>18</v>
      </c>
    </row>
    <row r="1541" spans="1:11" x14ac:dyDescent="0.3">
      <c r="A1541" s="2" t="s">
        <v>1925</v>
      </c>
      <c r="B1541" s="2" t="s">
        <v>47</v>
      </c>
      <c r="C1541" s="3">
        <v>45723.969444444447</v>
      </c>
      <c r="D1541" s="2" t="s">
        <v>28</v>
      </c>
      <c r="E1541" s="4">
        <v>38173.47</v>
      </c>
      <c r="F1541" s="2" t="s">
        <v>14</v>
      </c>
      <c r="G1541" s="5">
        <v>53</v>
      </c>
      <c r="H1541" s="2" t="s">
        <v>15</v>
      </c>
      <c r="I1541" s="2" t="s">
        <v>48</v>
      </c>
      <c r="J1541" s="2" t="s">
        <v>49</v>
      </c>
      <c r="K1541" s="2" t="s">
        <v>18</v>
      </c>
    </row>
    <row r="1542" spans="1:11" x14ac:dyDescent="0.3">
      <c r="A1542" s="2" t="s">
        <v>1926</v>
      </c>
      <c r="B1542" s="2" t="s">
        <v>549</v>
      </c>
      <c r="C1542" s="3">
        <v>45944.238194444442</v>
      </c>
      <c r="D1542" s="2" t="s">
        <v>33</v>
      </c>
      <c r="E1542" s="4">
        <v>14600.54</v>
      </c>
      <c r="F1542" s="2" t="s">
        <v>14</v>
      </c>
      <c r="G1542" s="5">
        <v>53</v>
      </c>
      <c r="H1542" s="2" t="s">
        <v>29</v>
      </c>
      <c r="I1542" s="2" t="s">
        <v>21</v>
      </c>
      <c r="J1542" s="2" t="s">
        <v>17</v>
      </c>
      <c r="K1542" s="2" t="s">
        <v>18</v>
      </c>
    </row>
    <row r="1543" spans="1:11" x14ac:dyDescent="0.3">
      <c r="A1543" s="2" t="s">
        <v>1927</v>
      </c>
      <c r="B1543" s="2" t="s">
        <v>607</v>
      </c>
      <c r="C1543" s="3">
        <v>45829.836805555547</v>
      </c>
      <c r="D1543" s="2" t="s">
        <v>28</v>
      </c>
      <c r="E1543" s="4">
        <v>89880.19</v>
      </c>
      <c r="F1543" s="2" t="s">
        <v>14</v>
      </c>
      <c r="G1543" s="5">
        <v>20</v>
      </c>
      <c r="H1543" s="2" t="s">
        <v>29</v>
      </c>
      <c r="I1543" s="2" t="s">
        <v>34</v>
      </c>
      <c r="J1543" s="2" t="s">
        <v>52</v>
      </c>
      <c r="K1543" s="2" t="s">
        <v>22</v>
      </c>
    </row>
    <row r="1544" spans="1:11" x14ac:dyDescent="0.3">
      <c r="A1544" s="2" t="s">
        <v>1928</v>
      </c>
      <c r="B1544" s="2" t="s">
        <v>334</v>
      </c>
      <c r="C1544" s="3">
        <v>45771.468055555553</v>
      </c>
      <c r="D1544" s="2" t="s">
        <v>38</v>
      </c>
      <c r="E1544" s="4">
        <v>1312.44</v>
      </c>
      <c r="F1544" s="2" t="s">
        <v>14</v>
      </c>
      <c r="G1544" s="5">
        <v>34</v>
      </c>
      <c r="H1544" s="2" t="s">
        <v>15</v>
      </c>
      <c r="I1544" s="2" t="s">
        <v>60</v>
      </c>
      <c r="J1544" s="2" t="s">
        <v>52</v>
      </c>
      <c r="K1544" s="2" t="s">
        <v>45</v>
      </c>
    </row>
    <row r="1545" spans="1:11" x14ac:dyDescent="0.3">
      <c r="A1545" s="2" t="s">
        <v>1929</v>
      </c>
      <c r="B1545" s="2" t="s">
        <v>334</v>
      </c>
      <c r="C1545" s="3">
        <v>45815.576388888891</v>
      </c>
      <c r="D1545" s="2" t="s">
        <v>13</v>
      </c>
      <c r="E1545" s="4">
        <v>409.65</v>
      </c>
      <c r="F1545" s="2" t="s">
        <v>14</v>
      </c>
      <c r="G1545" s="5">
        <v>34</v>
      </c>
      <c r="H1545" s="2" t="s">
        <v>15</v>
      </c>
      <c r="I1545" s="2" t="s">
        <v>60</v>
      </c>
      <c r="J1545" s="2" t="s">
        <v>52</v>
      </c>
      <c r="K1545" s="2" t="s">
        <v>45</v>
      </c>
    </row>
    <row r="1546" spans="1:11" x14ac:dyDescent="0.3">
      <c r="A1546" s="2" t="s">
        <v>1930</v>
      </c>
      <c r="B1546" s="2" t="s">
        <v>54</v>
      </c>
      <c r="C1546" s="3">
        <v>45827.469444444447</v>
      </c>
      <c r="D1546" s="2" t="s">
        <v>13</v>
      </c>
      <c r="E1546" s="4">
        <v>738.08</v>
      </c>
      <c r="F1546" s="2" t="s">
        <v>14</v>
      </c>
      <c r="G1546" s="5">
        <v>60</v>
      </c>
      <c r="H1546" s="2" t="s">
        <v>29</v>
      </c>
      <c r="I1546" s="2" t="s">
        <v>34</v>
      </c>
      <c r="J1546" s="2" t="s">
        <v>49</v>
      </c>
      <c r="K1546" s="2" t="s">
        <v>45</v>
      </c>
    </row>
    <row r="1547" spans="1:11" x14ac:dyDescent="0.3">
      <c r="A1547" s="2" t="s">
        <v>1931</v>
      </c>
      <c r="B1547" s="2" t="s">
        <v>767</v>
      </c>
      <c r="C1547" s="3">
        <v>45957.395138888889</v>
      </c>
      <c r="D1547" s="2" t="s">
        <v>33</v>
      </c>
      <c r="E1547" s="4">
        <v>28604.85</v>
      </c>
      <c r="F1547" s="2" t="s">
        <v>14</v>
      </c>
      <c r="G1547" s="5">
        <v>33</v>
      </c>
      <c r="H1547" s="2" t="s">
        <v>29</v>
      </c>
      <c r="I1547" s="2" t="s">
        <v>21</v>
      </c>
      <c r="J1547" s="2" t="s">
        <v>17</v>
      </c>
      <c r="K1547" s="2" t="s">
        <v>35</v>
      </c>
    </row>
    <row r="1548" spans="1:11" x14ac:dyDescent="0.3">
      <c r="A1548" s="2" t="s">
        <v>1932</v>
      </c>
      <c r="B1548" s="2" t="s">
        <v>752</v>
      </c>
      <c r="C1548" s="3">
        <v>45718.627083333333</v>
      </c>
      <c r="D1548" s="2" t="s">
        <v>33</v>
      </c>
      <c r="E1548" s="4">
        <v>5521.99</v>
      </c>
      <c r="F1548" s="2" t="s">
        <v>57</v>
      </c>
      <c r="G1548" s="5">
        <v>20</v>
      </c>
      <c r="H1548" s="2" t="s">
        <v>15</v>
      </c>
      <c r="I1548" s="2" t="s">
        <v>48</v>
      </c>
      <c r="J1548" s="2" t="s">
        <v>17</v>
      </c>
      <c r="K1548" s="2" t="s">
        <v>22</v>
      </c>
    </row>
    <row r="1549" spans="1:11" x14ac:dyDescent="0.3">
      <c r="A1549" s="2" t="s">
        <v>1933</v>
      </c>
      <c r="B1549" s="2" t="s">
        <v>84</v>
      </c>
      <c r="C1549" s="3">
        <v>45982.775694444441</v>
      </c>
      <c r="D1549" s="2" t="s">
        <v>13</v>
      </c>
      <c r="E1549" s="4">
        <v>1945.68</v>
      </c>
      <c r="F1549" s="2" t="s">
        <v>14</v>
      </c>
      <c r="G1549" s="5">
        <v>33</v>
      </c>
      <c r="H1549" s="2" t="s">
        <v>15</v>
      </c>
      <c r="I1549" s="2" t="s">
        <v>34</v>
      </c>
      <c r="J1549" s="2" t="s">
        <v>17</v>
      </c>
      <c r="K1549" s="2" t="s">
        <v>18</v>
      </c>
    </row>
    <row r="1550" spans="1:11" x14ac:dyDescent="0.3">
      <c r="A1550" s="2" t="s">
        <v>1934</v>
      </c>
      <c r="B1550" s="2" t="s">
        <v>311</v>
      </c>
      <c r="C1550" s="3">
        <v>45975.104166666657</v>
      </c>
      <c r="D1550" s="2" t="s">
        <v>28</v>
      </c>
      <c r="E1550" s="4">
        <v>4013.95</v>
      </c>
      <c r="F1550" s="2" t="s">
        <v>57</v>
      </c>
      <c r="G1550" s="5">
        <v>56</v>
      </c>
      <c r="H1550" s="2" t="s">
        <v>29</v>
      </c>
      <c r="I1550" s="2" t="s">
        <v>60</v>
      </c>
      <c r="J1550" s="2" t="s">
        <v>49</v>
      </c>
      <c r="K1550" s="2" t="s">
        <v>22</v>
      </c>
    </row>
    <row r="1551" spans="1:11" x14ac:dyDescent="0.3">
      <c r="A1551" s="2" t="s">
        <v>1935</v>
      </c>
      <c r="B1551" s="2" t="s">
        <v>406</v>
      </c>
      <c r="C1551" s="3">
        <v>45757.671527777777</v>
      </c>
      <c r="D1551" s="2" t="s">
        <v>13</v>
      </c>
      <c r="E1551" s="4">
        <v>376.22</v>
      </c>
      <c r="F1551" s="2" t="s">
        <v>14</v>
      </c>
      <c r="G1551" s="5">
        <v>28</v>
      </c>
      <c r="H1551" s="2" t="s">
        <v>15</v>
      </c>
      <c r="I1551" s="2" t="s">
        <v>60</v>
      </c>
      <c r="J1551" s="2" t="s">
        <v>44</v>
      </c>
      <c r="K1551" s="2" t="s">
        <v>45</v>
      </c>
    </row>
    <row r="1552" spans="1:11" x14ac:dyDescent="0.3">
      <c r="A1552" s="2" t="s">
        <v>1936</v>
      </c>
      <c r="B1552" s="2" t="s">
        <v>232</v>
      </c>
      <c r="C1552" s="3">
        <v>46006.522916666669</v>
      </c>
      <c r="D1552" s="2" t="s">
        <v>33</v>
      </c>
      <c r="E1552" s="4">
        <v>579.04</v>
      </c>
      <c r="F1552" s="2" t="s">
        <v>14</v>
      </c>
      <c r="G1552" s="5">
        <v>36</v>
      </c>
      <c r="H1552" s="2" t="s">
        <v>15</v>
      </c>
      <c r="I1552" s="2" t="s">
        <v>34</v>
      </c>
      <c r="J1552" s="2" t="s">
        <v>44</v>
      </c>
      <c r="K1552" s="2" t="s">
        <v>18</v>
      </c>
    </row>
    <row r="1553" spans="1:11" x14ac:dyDescent="0.3">
      <c r="A1553" s="2" t="s">
        <v>1937</v>
      </c>
      <c r="B1553" s="2" t="s">
        <v>219</v>
      </c>
      <c r="C1553" s="3">
        <v>45810.543749999997</v>
      </c>
      <c r="D1553" s="2" t="s">
        <v>33</v>
      </c>
      <c r="E1553" s="4">
        <v>31311.79</v>
      </c>
      <c r="F1553" s="2" t="s">
        <v>14</v>
      </c>
      <c r="G1553" s="5">
        <v>21</v>
      </c>
      <c r="H1553" s="2" t="s">
        <v>15</v>
      </c>
      <c r="I1553" s="2" t="s">
        <v>30</v>
      </c>
      <c r="J1553" s="2" t="s">
        <v>44</v>
      </c>
      <c r="K1553" s="2" t="s">
        <v>18</v>
      </c>
    </row>
    <row r="1554" spans="1:11" x14ac:dyDescent="0.3">
      <c r="A1554" s="2" t="s">
        <v>1938</v>
      </c>
      <c r="B1554" s="2" t="s">
        <v>1424</v>
      </c>
      <c r="C1554" s="3">
        <v>45735.175000000003</v>
      </c>
      <c r="D1554" s="2" t="s">
        <v>28</v>
      </c>
      <c r="E1554" s="4">
        <v>8957.52</v>
      </c>
      <c r="F1554" s="2" t="s">
        <v>57</v>
      </c>
      <c r="G1554" s="5">
        <v>37</v>
      </c>
      <c r="H1554" s="2" t="s">
        <v>29</v>
      </c>
      <c r="I1554" s="2" t="s">
        <v>95</v>
      </c>
      <c r="J1554" s="2" t="s">
        <v>49</v>
      </c>
      <c r="K1554" s="2" t="s">
        <v>18</v>
      </c>
    </row>
    <row r="1555" spans="1:11" x14ac:dyDescent="0.3">
      <c r="A1555" s="2" t="s">
        <v>1939</v>
      </c>
      <c r="B1555" s="2" t="s">
        <v>872</v>
      </c>
      <c r="C1555" s="3">
        <v>45833.566666666673</v>
      </c>
      <c r="D1555" s="2" t="s">
        <v>13</v>
      </c>
      <c r="E1555" s="4">
        <v>360.93</v>
      </c>
      <c r="F1555" s="2" t="s">
        <v>14</v>
      </c>
      <c r="G1555" s="5">
        <v>28</v>
      </c>
      <c r="H1555" s="2" t="s">
        <v>15</v>
      </c>
      <c r="I1555" s="2" t="s">
        <v>34</v>
      </c>
      <c r="J1555" s="2" t="s">
        <v>17</v>
      </c>
      <c r="K1555" s="2" t="s">
        <v>18</v>
      </c>
    </row>
    <row r="1556" spans="1:11" x14ac:dyDescent="0.3">
      <c r="A1556" s="2" t="s">
        <v>1940</v>
      </c>
      <c r="B1556" s="2" t="s">
        <v>1214</v>
      </c>
      <c r="C1556" s="3">
        <v>45892.180555555547</v>
      </c>
      <c r="D1556" s="2" t="s">
        <v>38</v>
      </c>
      <c r="E1556" s="4">
        <v>2475.35</v>
      </c>
      <c r="F1556" s="2" t="s">
        <v>14</v>
      </c>
      <c r="G1556" s="5">
        <v>54</v>
      </c>
      <c r="H1556" s="2" t="s">
        <v>29</v>
      </c>
      <c r="I1556" s="2" t="s">
        <v>95</v>
      </c>
      <c r="J1556" s="2" t="s">
        <v>52</v>
      </c>
      <c r="K1556" s="2" t="s">
        <v>45</v>
      </c>
    </row>
    <row r="1557" spans="1:11" x14ac:dyDescent="0.3">
      <c r="A1557" s="2" t="s">
        <v>1941</v>
      </c>
      <c r="B1557" s="2" t="s">
        <v>1068</v>
      </c>
      <c r="C1557" s="3">
        <v>45750.104861111111</v>
      </c>
      <c r="D1557" s="2" t="s">
        <v>28</v>
      </c>
      <c r="E1557" s="4">
        <v>34040.089999999997</v>
      </c>
      <c r="F1557" s="2" t="s">
        <v>14</v>
      </c>
      <c r="G1557" s="5">
        <v>40</v>
      </c>
      <c r="H1557" s="2" t="s">
        <v>29</v>
      </c>
      <c r="I1557" s="2" t="s">
        <v>60</v>
      </c>
      <c r="J1557" s="2" t="s">
        <v>44</v>
      </c>
      <c r="K1557" s="2" t="s">
        <v>18</v>
      </c>
    </row>
    <row r="1558" spans="1:11" x14ac:dyDescent="0.3">
      <c r="A1558" s="2" t="s">
        <v>1942</v>
      </c>
      <c r="B1558" s="2" t="s">
        <v>140</v>
      </c>
      <c r="C1558" s="3">
        <v>45828.84097222222</v>
      </c>
      <c r="D1558" s="2" t="s">
        <v>28</v>
      </c>
      <c r="E1558" s="4">
        <v>12100.91</v>
      </c>
      <c r="F1558" s="2" t="s">
        <v>14</v>
      </c>
      <c r="G1558" s="5">
        <v>49</v>
      </c>
      <c r="H1558" s="2" t="s">
        <v>15</v>
      </c>
      <c r="I1558" s="2" t="s">
        <v>21</v>
      </c>
      <c r="J1558" s="2" t="s">
        <v>44</v>
      </c>
      <c r="K1558" s="2" t="s">
        <v>22</v>
      </c>
    </row>
    <row r="1559" spans="1:11" x14ac:dyDescent="0.3">
      <c r="A1559" s="2" t="s">
        <v>1943</v>
      </c>
      <c r="B1559" s="2" t="s">
        <v>192</v>
      </c>
      <c r="C1559" s="3">
        <v>45818.835416666669</v>
      </c>
      <c r="D1559" s="2" t="s">
        <v>28</v>
      </c>
      <c r="E1559" s="4">
        <v>18355.189999999999</v>
      </c>
      <c r="F1559" s="2" t="s">
        <v>14</v>
      </c>
      <c r="G1559" s="5">
        <v>48</v>
      </c>
      <c r="H1559" s="2" t="s">
        <v>29</v>
      </c>
      <c r="I1559" s="2" t="s">
        <v>60</v>
      </c>
      <c r="J1559" s="2" t="s">
        <v>49</v>
      </c>
      <c r="K1559" s="2" t="s">
        <v>35</v>
      </c>
    </row>
    <row r="1560" spans="1:11" x14ac:dyDescent="0.3">
      <c r="A1560" s="2" t="s">
        <v>1944</v>
      </c>
      <c r="B1560" s="2" t="s">
        <v>939</v>
      </c>
      <c r="C1560" s="3">
        <v>45660.595138888893</v>
      </c>
      <c r="D1560" s="2" t="s">
        <v>28</v>
      </c>
      <c r="E1560" s="4">
        <v>4776.49</v>
      </c>
      <c r="F1560" s="2" t="s">
        <v>14</v>
      </c>
      <c r="G1560" s="5">
        <v>29</v>
      </c>
      <c r="H1560" s="2" t="s">
        <v>15</v>
      </c>
      <c r="I1560" s="2" t="s">
        <v>21</v>
      </c>
      <c r="J1560" s="2" t="s">
        <v>17</v>
      </c>
      <c r="K1560" s="2" t="s">
        <v>35</v>
      </c>
    </row>
    <row r="1561" spans="1:11" x14ac:dyDescent="0.3">
      <c r="A1561" s="2" t="s">
        <v>1945</v>
      </c>
      <c r="B1561" s="2" t="s">
        <v>296</v>
      </c>
      <c r="C1561" s="3">
        <v>45765.23333333333</v>
      </c>
      <c r="D1561" s="2" t="s">
        <v>28</v>
      </c>
      <c r="E1561" s="4">
        <v>1092.49</v>
      </c>
      <c r="F1561" s="2" t="s">
        <v>57</v>
      </c>
      <c r="G1561" s="5">
        <v>31</v>
      </c>
      <c r="H1561" s="2" t="s">
        <v>15</v>
      </c>
      <c r="I1561" s="2" t="s">
        <v>34</v>
      </c>
      <c r="J1561" s="2" t="s">
        <v>52</v>
      </c>
      <c r="K1561" s="2" t="s">
        <v>18</v>
      </c>
    </row>
    <row r="1562" spans="1:11" x14ac:dyDescent="0.3">
      <c r="A1562" s="2" t="s">
        <v>1946</v>
      </c>
      <c r="B1562" s="2" t="s">
        <v>551</v>
      </c>
      <c r="C1562" s="3">
        <v>45739.659722222219</v>
      </c>
      <c r="D1562" s="2" t="s">
        <v>28</v>
      </c>
      <c r="E1562" s="4">
        <v>16300.77</v>
      </c>
      <c r="F1562" s="2" t="s">
        <v>14</v>
      </c>
      <c r="G1562" s="5">
        <v>32</v>
      </c>
      <c r="H1562" s="2" t="s">
        <v>15</v>
      </c>
      <c r="I1562" s="2" t="s">
        <v>34</v>
      </c>
      <c r="J1562" s="2" t="s">
        <v>44</v>
      </c>
      <c r="K1562" s="2" t="s">
        <v>45</v>
      </c>
    </row>
    <row r="1563" spans="1:11" x14ac:dyDescent="0.3">
      <c r="A1563" s="2" t="s">
        <v>1947</v>
      </c>
      <c r="B1563" s="2" t="s">
        <v>236</v>
      </c>
      <c r="C1563" s="3">
        <v>45703.193749999999</v>
      </c>
      <c r="D1563" s="2" t="s">
        <v>28</v>
      </c>
      <c r="E1563" s="4">
        <v>12937.75</v>
      </c>
      <c r="F1563" s="2" t="s">
        <v>14</v>
      </c>
      <c r="G1563" s="5">
        <v>27</v>
      </c>
      <c r="H1563" s="2" t="s">
        <v>29</v>
      </c>
      <c r="I1563" s="2" t="s">
        <v>34</v>
      </c>
      <c r="J1563" s="2" t="s">
        <v>17</v>
      </c>
      <c r="K1563" s="2" t="s">
        <v>35</v>
      </c>
    </row>
    <row r="1564" spans="1:11" x14ac:dyDescent="0.3">
      <c r="A1564" s="2" t="s">
        <v>1948</v>
      </c>
      <c r="B1564" s="2" t="s">
        <v>150</v>
      </c>
      <c r="C1564" s="3">
        <v>45880.852083333331</v>
      </c>
      <c r="D1564" s="2" t="s">
        <v>28</v>
      </c>
      <c r="E1564" s="4">
        <v>13960.04</v>
      </c>
      <c r="F1564" s="2" t="s">
        <v>14</v>
      </c>
      <c r="G1564" s="5">
        <v>52</v>
      </c>
      <c r="H1564" s="2" t="s">
        <v>15</v>
      </c>
      <c r="I1564" s="2" t="s">
        <v>34</v>
      </c>
      <c r="J1564" s="2" t="s">
        <v>17</v>
      </c>
      <c r="K1564" s="2" t="s">
        <v>22</v>
      </c>
    </row>
    <row r="1565" spans="1:11" x14ac:dyDescent="0.3">
      <c r="A1565" s="2" t="s">
        <v>1949</v>
      </c>
      <c r="B1565" s="2" t="s">
        <v>572</v>
      </c>
      <c r="C1565" s="3">
        <v>45864.5625</v>
      </c>
      <c r="D1565" s="2" t="s">
        <v>13</v>
      </c>
      <c r="E1565" s="4">
        <v>997.71</v>
      </c>
      <c r="F1565" s="2" t="s">
        <v>57</v>
      </c>
      <c r="G1565" s="5">
        <v>57</v>
      </c>
      <c r="H1565" s="2" t="s">
        <v>15</v>
      </c>
      <c r="I1565" s="2" t="s">
        <v>95</v>
      </c>
      <c r="J1565" s="2" t="s">
        <v>17</v>
      </c>
      <c r="K1565" s="2" t="s">
        <v>45</v>
      </c>
    </row>
    <row r="1566" spans="1:11" x14ac:dyDescent="0.3">
      <c r="A1566" s="2" t="s">
        <v>1950</v>
      </c>
      <c r="B1566" s="2" t="s">
        <v>549</v>
      </c>
      <c r="C1566" s="3">
        <v>45854.001388888893</v>
      </c>
      <c r="D1566" s="2" t="s">
        <v>28</v>
      </c>
      <c r="E1566" s="4">
        <v>22214.080000000002</v>
      </c>
      <c r="F1566" s="2" t="s">
        <v>14</v>
      </c>
      <c r="G1566" s="5">
        <v>53</v>
      </c>
      <c r="H1566" s="2" t="s">
        <v>29</v>
      </c>
      <c r="I1566" s="2" t="s">
        <v>21</v>
      </c>
      <c r="J1566" s="2" t="s">
        <v>17</v>
      </c>
      <c r="K1566" s="2" t="s">
        <v>18</v>
      </c>
    </row>
    <row r="1567" spans="1:11" x14ac:dyDescent="0.3">
      <c r="A1567" s="2" t="s">
        <v>1951</v>
      </c>
      <c r="B1567" s="2" t="s">
        <v>500</v>
      </c>
      <c r="C1567" s="3">
        <v>45931.281944444447</v>
      </c>
      <c r="D1567" s="2" t="s">
        <v>13</v>
      </c>
      <c r="E1567" s="4">
        <v>3364.54</v>
      </c>
      <c r="F1567" s="2" t="s">
        <v>14</v>
      </c>
      <c r="G1567" s="5">
        <v>27</v>
      </c>
      <c r="H1567" s="2" t="s">
        <v>15</v>
      </c>
      <c r="I1567" s="2" t="s">
        <v>60</v>
      </c>
      <c r="J1567" s="2" t="s">
        <v>44</v>
      </c>
      <c r="K1567" s="2" t="s">
        <v>18</v>
      </c>
    </row>
    <row r="1568" spans="1:11" x14ac:dyDescent="0.3">
      <c r="A1568" s="2" t="s">
        <v>1952</v>
      </c>
      <c r="B1568" s="2" t="s">
        <v>575</v>
      </c>
      <c r="C1568" s="3">
        <v>45849.039583333331</v>
      </c>
      <c r="D1568" s="2" t="s">
        <v>33</v>
      </c>
      <c r="E1568" s="4">
        <v>3552.87</v>
      </c>
      <c r="F1568" s="2" t="s">
        <v>14</v>
      </c>
      <c r="G1568" s="5">
        <v>48</v>
      </c>
      <c r="H1568" s="2" t="s">
        <v>29</v>
      </c>
      <c r="I1568" s="2" t="s">
        <v>34</v>
      </c>
      <c r="J1568" s="2" t="s">
        <v>17</v>
      </c>
      <c r="K1568" s="2" t="s">
        <v>22</v>
      </c>
    </row>
    <row r="1569" spans="1:11" x14ac:dyDescent="0.3">
      <c r="A1569" s="2" t="s">
        <v>1953</v>
      </c>
      <c r="B1569" s="2" t="s">
        <v>1049</v>
      </c>
      <c r="C1569" s="3">
        <v>45822.675000000003</v>
      </c>
      <c r="D1569" s="2" t="s">
        <v>28</v>
      </c>
      <c r="E1569" s="4">
        <v>5106.25</v>
      </c>
      <c r="F1569" s="2" t="s">
        <v>14</v>
      </c>
      <c r="G1569" s="5">
        <v>40</v>
      </c>
      <c r="H1569" s="2" t="s">
        <v>15</v>
      </c>
      <c r="I1569" s="2" t="s">
        <v>34</v>
      </c>
      <c r="J1569" s="2" t="s">
        <v>52</v>
      </c>
      <c r="K1569" s="2" t="s">
        <v>35</v>
      </c>
    </row>
    <row r="1570" spans="1:11" x14ac:dyDescent="0.3">
      <c r="A1570" s="2" t="s">
        <v>1954</v>
      </c>
      <c r="B1570" s="2" t="s">
        <v>732</v>
      </c>
      <c r="C1570" s="3">
        <v>45667.875</v>
      </c>
      <c r="D1570" s="2" t="s">
        <v>28</v>
      </c>
      <c r="E1570" s="4">
        <v>1567.83</v>
      </c>
      <c r="F1570" s="2" t="s">
        <v>14</v>
      </c>
      <c r="G1570" s="5">
        <v>36</v>
      </c>
      <c r="H1570" s="2" t="s">
        <v>29</v>
      </c>
      <c r="I1570" s="2" t="s">
        <v>43</v>
      </c>
      <c r="J1570" s="2" t="s">
        <v>49</v>
      </c>
      <c r="K1570" s="2" t="s">
        <v>18</v>
      </c>
    </row>
    <row r="1571" spans="1:11" x14ac:dyDescent="0.3">
      <c r="A1571" s="2" t="s">
        <v>1955</v>
      </c>
      <c r="B1571" s="2" t="s">
        <v>977</v>
      </c>
      <c r="C1571" s="3">
        <v>45978.96875</v>
      </c>
      <c r="D1571" s="2" t="s">
        <v>13</v>
      </c>
      <c r="E1571" s="4">
        <v>4844.5200000000004</v>
      </c>
      <c r="F1571" s="2" t="s">
        <v>14</v>
      </c>
      <c r="G1571" s="5">
        <v>38</v>
      </c>
      <c r="H1571" s="2" t="s">
        <v>29</v>
      </c>
      <c r="I1571" s="2" t="s">
        <v>21</v>
      </c>
      <c r="J1571" s="2" t="s">
        <v>17</v>
      </c>
      <c r="K1571" s="2" t="s">
        <v>22</v>
      </c>
    </row>
    <row r="1572" spans="1:11" x14ac:dyDescent="0.3">
      <c r="A1572" s="2" t="s">
        <v>1956</v>
      </c>
      <c r="B1572" s="2" t="s">
        <v>660</v>
      </c>
      <c r="C1572" s="3">
        <v>45773.955555555563</v>
      </c>
      <c r="D1572" s="2" t="s">
        <v>13</v>
      </c>
      <c r="E1572" s="4">
        <v>324.99</v>
      </c>
      <c r="F1572" s="2" t="s">
        <v>122</v>
      </c>
      <c r="G1572" s="5">
        <v>50</v>
      </c>
      <c r="H1572" s="2" t="s">
        <v>15</v>
      </c>
      <c r="I1572" s="2" t="s">
        <v>34</v>
      </c>
      <c r="J1572" s="2" t="s">
        <v>49</v>
      </c>
      <c r="K1572" s="2" t="s">
        <v>22</v>
      </c>
    </row>
    <row r="1573" spans="1:11" x14ac:dyDescent="0.3">
      <c r="A1573" s="2" t="s">
        <v>1957</v>
      </c>
      <c r="B1573" s="2" t="s">
        <v>806</v>
      </c>
      <c r="C1573" s="3">
        <v>45834.380555555559</v>
      </c>
      <c r="D1573" s="2" t="s">
        <v>13</v>
      </c>
      <c r="E1573" s="4">
        <v>254.5</v>
      </c>
      <c r="F1573" s="2" t="s">
        <v>14</v>
      </c>
      <c r="G1573" s="5">
        <v>35</v>
      </c>
      <c r="H1573" s="2" t="s">
        <v>29</v>
      </c>
      <c r="I1573" s="2" t="s">
        <v>21</v>
      </c>
      <c r="J1573" s="2" t="s">
        <v>52</v>
      </c>
      <c r="K1573" s="2" t="s">
        <v>35</v>
      </c>
    </row>
    <row r="1574" spans="1:11" x14ac:dyDescent="0.3">
      <c r="A1574" s="2" t="s">
        <v>1958</v>
      </c>
      <c r="B1574" s="2" t="s">
        <v>585</v>
      </c>
      <c r="C1574" s="3">
        <v>45710.522222222222</v>
      </c>
      <c r="D1574" s="2" t="s">
        <v>13</v>
      </c>
      <c r="E1574" s="4">
        <v>1402.47</v>
      </c>
      <c r="F1574" s="2" t="s">
        <v>57</v>
      </c>
      <c r="G1574" s="5">
        <v>25</v>
      </c>
      <c r="H1574" s="2" t="s">
        <v>15</v>
      </c>
      <c r="I1574" s="2" t="s">
        <v>95</v>
      </c>
      <c r="J1574" s="2" t="s">
        <v>49</v>
      </c>
      <c r="K1574" s="2" t="s">
        <v>35</v>
      </c>
    </row>
    <row r="1575" spans="1:11" x14ac:dyDescent="0.3">
      <c r="A1575" s="2" t="s">
        <v>1959</v>
      </c>
      <c r="B1575" s="2" t="s">
        <v>709</v>
      </c>
      <c r="C1575" s="3">
        <v>45959.381944444453</v>
      </c>
      <c r="D1575" s="2" t="s">
        <v>13</v>
      </c>
      <c r="E1575" s="4">
        <v>603.52</v>
      </c>
      <c r="F1575" s="2" t="s">
        <v>14</v>
      </c>
      <c r="G1575" s="5">
        <v>44</v>
      </c>
      <c r="H1575" s="2" t="s">
        <v>15</v>
      </c>
      <c r="I1575" s="2" t="s">
        <v>34</v>
      </c>
      <c r="J1575" s="2" t="s">
        <v>44</v>
      </c>
      <c r="K1575" s="2" t="s">
        <v>45</v>
      </c>
    </row>
    <row r="1576" spans="1:11" x14ac:dyDescent="0.3">
      <c r="A1576" s="2" t="s">
        <v>1960</v>
      </c>
      <c r="B1576" s="2" t="s">
        <v>707</v>
      </c>
      <c r="C1576" s="3">
        <v>45691.054861111108</v>
      </c>
      <c r="D1576" s="2" t="s">
        <v>28</v>
      </c>
      <c r="E1576" s="4">
        <v>45225.46</v>
      </c>
      <c r="F1576" s="2" t="s">
        <v>14</v>
      </c>
      <c r="G1576" s="5">
        <v>35</v>
      </c>
      <c r="H1576" s="2" t="s">
        <v>15</v>
      </c>
      <c r="I1576" s="2" t="s">
        <v>25</v>
      </c>
      <c r="J1576" s="2" t="s">
        <v>17</v>
      </c>
      <c r="K1576" s="2" t="s">
        <v>18</v>
      </c>
    </row>
    <row r="1577" spans="1:11" x14ac:dyDescent="0.3">
      <c r="A1577" s="2" t="s">
        <v>1961</v>
      </c>
      <c r="B1577" s="2" t="s">
        <v>1962</v>
      </c>
      <c r="C1577" s="3">
        <v>45806.615277777782</v>
      </c>
      <c r="D1577" s="2" t="s">
        <v>13</v>
      </c>
      <c r="E1577" s="4">
        <v>2494.04</v>
      </c>
      <c r="F1577" s="2" t="s">
        <v>14</v>
      </c>
      <c r="G1577" s="5">
        <v>41</v>
      </c>
      <c r="H1577" s="2" t="s">
        <v>15</v>
      </c>
      <c r="I1577" s="2" t="s">
        <v>34</v>
      </c>
      <c r="J1577" s="2" t="s">
        <v>52</v>
      </c>
      <c r="K1577" s="2" t="s">
        <v>45</v>
      </c>
    </row>
    <row r="1578" spans="1:11" x14ac:dyDescent="0.3">
      <c r="A1578" s="2" t="s">
        <v>1963</v>
      </c>
      <c r="B1578" s="2" t="s">
        <v>605</v>
      </c>
      <c r="C1578" s="3">
        <v>45924.814583333333</v>
      </c>
      <c r="D1578" s="2" t="s">
        <v>13</v>
      </c>
      <c r="E1578" s="4">
        <v>1422.93</v>
      </c>
      <c r="F1578" s="2" t="s">
        <v>14</v>
      </c>
      <c r="G1578" s="5">
        <v>29</v>
      </c>
      <c r="H1578" s="2" t="s">
        <v>29</v>
      </c>
      <c r="I1578" s="2" t="s">
        <v>60</v>
      </c>
      <c r="J1578" s="2" t="s">
        <v>17</v>
      </c>
      <c r="K1578" s="2" t="s">
        <v>18</v>
      </c>
    </row>
    <row r="1579" spans="1:11" x14ac:dyDescent="0.3">
      <c r="A1579" s="2" t="s">
        <v>1964</v>
      </c>
      <c r="B1579" s="2" t="s">
        <v>1201</v>
      </c>
      <c r="C1579" s="3">
        <v>45830.580555555563</v>
      </c>
      <c r="D1579" s="2" t="s">
        <v>28</v>
      </c>
      <c r="E1579" s="4">
        <v>3231.66</v>
      </c>
      <c r="F1579" s="2" t="s">
        <v>14</v>
      </c>
      <c r="G1579" s="5">
        <v>44</v>
      </c>
      <c r="H1579" s="2" t="s">
        <v>15</v>
      </c>
      <c r="I1579" s="2" t="s">
        <v>25</v>
      </c>
      <c r="J1579" s="2" t="s">
        <v>44</v>
      </c>
      <c r="K1579" s="2" t="s">
        <v>45</v>
      </c>
    </row>
    <row r="1580" spans="1:11" x14ac:dyDescent="0.3">
      <c r="A1580" s="2" t="s">
        <v>1965</v>
      </c>
      <c r="B1580" s="2" t="s">
        <v>134</v>
      </c>
      <c r="C1580" s="3">
        <v>46009.181250000001</v>
      </c>
      <c r="D1580" s="2" t="s">
        <v>38</v>
      </c>
      <c r="E1580" s="4">
        <v>951.12</v>
      </c>
      <c r="F1580" s="2" t="s">
        <v>14</v>
      </c>
      <c r="G1580" s="5">
        <v>26</v>
      </c>
      <c r="H1580" s="2" t="s">
        <v>15</v>
      </c>
      <c r="I1580" s="2" t="s">
        <v>25</v>
      </c>
      <c r="J1580" s="2" t="s">
        <v>49</v>
      </c>
      <c r="K1580" s="2" t="s">
        <v>45</v>
      </c>
    </row>
    <row r="1581" spans="1:11" x14ac:dyDescent="0.3">
      <c r="A1581" s="2" t="s">
        <v>1966</v>
      </c>
      <c r="B1581" s="2" t="s">
        <v>248</v>
      </c>
      <c r="C1581" s="3">
        <v>45908.491666666669</v>
      </c>
      <c r="D1581" s="2" t="s">
        <v>28</v>
      </c>
      <c r="E1581" s="4">
        <v>42570.06</v>
      </c>
      <c r="F1581" s="2" t="s">
        <v>14</v>
      </c>
      <c r="G1581" s="5">
        <v>35</v>
      </c>
      <c r="H1581" s="2" t="s">
        <v>15</v>
      </c>
      <c r="I1581" s="2" t="s">
        <v>25</v>
      </c>
      <c r="J1581" s="2" t="s">
        <v>17</v>
      </c>
      <c r="K1581" s="2" t="s">
        <v>18</v>
      </c>
    </row>
    <row r="1582" spans="1:11" x14ac:dyDescent="0.3">
      <c r="A1582" s="2" t="s">
        <v>1967</v>
      </c>
      <c r="B1582" s="2" t="s">
        <v>158</v>
      </c>
      <c r="C1582" s="3">
        <v>45754.248611111107</v>
      </c>
      <c r="D1582" s="2" t="s">
        <v>38</v>
      </c>
      <c r="E1582" s="4">
        <v>10102.51</v>
      </c>
      <c r="F1582" s="2" t="s">
        <v>14</v>
      </c>
      <c r="G1582" s="5">
        <v>30</v>
      </c>
      <c r="H1582" s="2" t="s">
        <v>29</v>
      </c>
      <c r="I1582" s="2" t="s">
        <v>34</v>
      </c>
      <c r="J1582" s="2" t="s">
        <v>44</v>
      </c>
      <c r="K1582" s="2" t="s">
        <v>35</v>
      </c>
    </row>
    <row r="1583" spans="1:11" x14ac:dyDescent="0.3">
      <c r="A1583" s="2" t="s">
        <v>1968</v>
      </c>
      <c r="B1583" s="2" t="s">
        <v>256</v>
      </c>
      <c r="C1583" s="3">
        <v>45864.009722222218</v>
      </c>
      <c r="D1583" s="2" t="s">
        <v>13</v>
      </c>
      <c r="E1583" s="4">
        <v>1007.94</v>
      </c>
      <c r="F1583" s="2" t="s">
        <v>14</v>
      </c>
      <c r="G1583" s="5">
        <v>26</v>
      </c>
      <c r="H1583" s="2" t="s">
        <v>29</v>
      </c>
      <c r="I1583" s="2" t="s">
        <v>78</v>
      </c>
      <c r="J1583" s="2" t="s">
        <v>17</v>
      </c>
      <c r="K1583" s="2" t="s">
        <v>35</v>
      </c>
    </row>
    <row r="1584" spans="1:11" x14ac:dyDescent="0.3">
      <c r="A1584" s="2" t="s">
        <v>1969</v>
      </c>
      <c r="B1584" s="2" t="s">
        <v>1191</v>
      </c>
      <c r="C1584" s="3">
        <v>45772.963888888888</v>
      </c>
      <c r="D1584" s="2" t="s">
        <v>154</v>
      </c>
      <c r="E1584" s="4">
        <v>40000</v>
      </c>
      <c r="F1584" s="2" t="s">
        <v>14</v>
      </c>
      <c r="G1584" s="5">
        <v>25</v>
      </c>
      <c r="H1584" s="2" t="s">
        <v>29</v>
      </c>
      <c r="I1584" s="2" t="s">
        <v>34</v>
      </c>
      <c r="J1584" s="2" t="s">
        <v>17</v>
      </c>
      <c r="K1584" s="2" t="s">
        <v>18</v>
      </c>
    </row>
    <row r="1585" spans="1:11" x14ac:dyDescent="0.3">
      <c r="A1585" s="2" t="s">
        <v>1970</v>
      </c>
      <c r="B1585" s="2" t="s">
        <v>521</v>
      </c>
      <c r="C1585" s="3">
        <v>45766.959027777782</v>
      </c>
      <c r="D1585" s="2" t="s">
        <v>33</v>
      </c>
      <c r="E1585" s="4">
        <v>3588.74</v>
      </c>
      <c r="F1585" s="2" t="s">
        <v>14</v>
      </c>
      <c r="G1585" s="5">
        <v>30</v>
      </c>
      <c r="H1585" s="2" t="s">
        <v>29</v>
      </c>
      <c r="I1585" s="2" t="s">
        <v>60</v>
      </c>
      <c r="J1585" s="2" t="s">
        <v>44</v>
      </c>
      <c r="K1585" s="2" t="s">
        <v>18</v>
      </c>
    </row>
    <row r="1586" spans="1:11" x14ac:dyDescent="0.3">
      <c r="A1586" s="2" t="s">
        <v>1971</v>
      </c>
      <c r="B1586" s="2" t="s">
        <v>1290</v>
      </c>
      <c r="C1586" s="3">
        <v>45959.673611111109</v>
      </c>
      <c r="D1586" s="2" t="s">
        <v>28</v>
      </c>
      <c r="E1586" s="4">
        <v>16211.54</v>
      </c>
      <c r="F1586" s="2" t="s">
        <v>14</v>
      </c>
      <c r="G1586" s="5">
        <v>32</v>
      </c>
      <c r="H1586" s="2" t="s">
        <v>15</v>
      </c>
      <c r="I1586" s="2" t="s">
        <v>34</v>
      </c>
      <c r="J1586" s="2" t="s">
        <v>44</v>
      </c>
      <c r="K1586" s="2" t="s">
        <v>18</v>
      </c>
    </row>
    <row r="1587" spans="1:11" x14ac:dyDescent="0.3">
      <c r="A1587" s="2" t="s">
        <v>1972</v>
      </c>
      <c r="B1587" s="2" t="s">
        <v>140</v>
      </c>
      <c r="C1587" s="3">
        <v>45721.489583333343</v>
      </c>
      <c r="D1587" s="2" t="s">
        <v>13</v>
      </c>
      <c r="E1587" s="4">
        <v>744.85</v>
      </c>
      <c r="F1587" s="2" t="s">
        <v>14</v>
      </c>
      <c r="G1587" s="5">
        <v>49</v>
      </c>
      <c r="H1587" s="2" t="s">
        <v>15</v>
      </c>
      <c r="I1587" s="2" t="s">
        <v>21</v>
      </c>
      <c r="J1587" s="2" t="s">
        <v>44</v>
      </c>
      <c r="K1587" s="2" t="s">
        <v>45</v>
      </c>
    </row>
    <row r="1588" spans="1:11" x14ac:dyDescent="0.3">
      <c r="A1588" s="2" t="s">
        <v>1973</v>
      </c>
      <c r="B1588" s="2" t="s">
        <v>1028</v>
      </c>
      <c r="C1588" s="3">
        <v>45991.058333333327</v>
      </c>
      <c r="D1588" s="2" t="s">
        <v>28</v>
      </c>
      <c r="E1588" s="4">
        <v>4648.12</v>
      </c>
      <c r="F1588" s="2" t="s">
        <v>14</v>
      </c>
      <c r="G1588" s="5">
        <v>24</v>
      </c>
      <c r="H1588" s="2" t="s">
        <v>15</v>
      </c>
      <c r="I1588" s="2" t="s">
        <v>25</v>
      </c>
      <c r="J1588" s="2" t="s">
        <v>17</v>
      </c>
      <c r="K1588" s="2" t="s">
        <v>45</v>
      </c>
    </row>
    <row r="1589" spans="1:11" x14ac:dyDescent="0.3">
      <c r="A1589" s="2" t="s">
        <v>1974</v>
      </c>
      <c r="B1589" s="2" t="s">
        <v>1290</v>
      </c>
      <c r="C1589" s="3">
        <v>45985.367361111108</v>
      </c>
      <c r="D1589" s="2" t="s">
        <v>33</v>
      </c>
      <c r="E1589" s="4">
        <v>1711.28</v>
      </c>
      <c r="F1589" s="2" t="s">
        <v>14</v>
      </c>
      <c r="G1589" s="5">
        <v>32</v>
      </c>
      <c r="H1589" s="2" t="s">
        <v>15</v>
      </c>
      <c r="I1589" s="2" t="s">
        <v>34</v>
      </c>
      <c r="J1589" s="2" t="s">
        <v>44</v>
      </c>
      <c r="K1589" s="2" t="s">
        <v>35</v>
      </c>
    </row>
    <row r="1590" spans="1:11" x14ac:dyDescent="0.3">
      <c r="A1590" s="2" t="s">
        <v>1975</v>
      </c>
      <c r="B1590" s="2" t="s">
        <v>429</v>
      </c>
      <c r="C1590" s="3">
        <v>45931.793749999997</v>
      </c>
      <c r="D1590" s="2" t="s">
        <v>33</v>
      </c>
      <c r="E1590" s="4">
        <v>6401.14</v>
      </c>
      <c r="F1590" s="2" t="s">
        <v>14</v>
      </c>
      <c r="G1590" s="5">
        <v>31</v>
      </c>
      <c r="H1590" s="2" t="s">
        <v>29</v>
      </c>
      <c r="I1590" s="2" t="s">
        <v>25</v>
      </c>
      <c r="J1590" s="2" t="s">
        <v>49</v>
      </c>
      <c r="K1590" s="2" t="s">
        <v>35</v>
      </c>
    </row>
    <row r="1591" spans="1:11" x14ac:dyDescent="0.3">
      <c r="A1591" s="2" t="s">
        <v>1976</v>
      </c>
      <c r="B1591" s="2" t="s">
        <v>388</v>
      </c>
      <c r="C1591" s="3">
        <v>45962.070833333331</v>
      </c>
      <c r="D1591" s="2" t="s">
        <v>13</v>
      </c>
      <c r="E1591" s="4">
        <v>2624.36</v>
      </c>
      <c r="F1591" s="2" t="s">
        <v>14</v>
      </c>
      <c r="G1591" s="5">
        <v>31</v>
      </c>
      <c r="H1591" s="2" t="s">
        <v>15</v>
      </c>
      <c r="I1591" s="2" t="s">
        <v>34</v>
      </c>
      <c r="J1591" s="2" t="s">
        <v>17</v>
      </c>
      <c r="K1591" s="2" t="s">
        <v>35</v>
      </c>
    </row>
    <row r="1592" spans="1:11" x14ac:dyDescent="0.3">
      <c r="A1592" s="2" t="s">
        <v>1977</v>
      </c>
      <c r="B1592" s="2" t="s">
        <v>121</v>
      </c>
      <c r="C1592" s="3">
        <v>45713.870138888888</v>
      </c>
      <c r="D1592" s="2" t="s">
        <v>28</v>
      </c>
      <c r="E1592" s="4">
        <v>1263.68</v>
      </c>
      <c r="F1592" s="2" t="s">
        <v>57</v>
      </c>
      <c r="G1592" s="5">
        <v>21</v>
      </c>
      <c r="H1592" s="2" t="s">
        <v>29</v>
      </c>
      <c r="I1592" s="2" t="s">
        <v>16</v>
      </c>
      <c r="J1592" s="2" t="s">
        <v>17</v>
      </c>
      <c r="K1592" s="2" t="s">
        <v>35</v>
      </c>
    </row>
    <row r="1593" spans="1:11" x14ac:dyDescent="0.3">
      <c r="A1593" s="2" t="s">
        <v>1978</v>
      </c>
      <c r="B1593" s="2" t="s">
        <v>943</v>
      </c>
      <c r="C1593" s="3">
        <v>45668.072222222218</v>
      </c>
      <c r="D1593" s="2" t="s">
        <v>13</v>
      </c>
      <c r="E1593" s="4">
        <v>966.47</v>
      </c>
      <c r="F1593" s="2" t="s">
        <v>14</v>
      </c>
      <c r="G1593" s="5">
        <v>32</v>
      </c>
      <c r="H1593" s="2" t="s">
        <v>15</v>
      </c>
      <c r="I1593" s="2" t="s">
        <v>95</v>
      </c>
      <c r="J1593" s="2" t="s">
        <v>44</v>
      </c>
      <c r="K1593" s="2" t="s">
        <v>35</v>
      </c>
    </row>
    <row r="1594" spans="1:11" x14ac:dyDescent="0.3">
      <c r="A1594" s="2" t="s">
        <v>1979</v>
      </c>
      <c r="B1594" s="2" t="s">
        <v>587</v>
      </c>
      <c r="C1594" s="3">
        <v>45717.561111111107</v>
      </c>
      <c r="D1594" s="2" t="s">
        <v>33</v>
      </c>
      <c r="E1594" s="4">
        <v>7840.94</v>
      </c>
      <c r="F1594" s="2" t="s">
        <v>14</v>
      </c>
      <c r="G1594" s="5">
        <v>47</v>
      </c>
      <c r="H1594" s="2" t="s">
        <v>29</v>
      </c>
      <c r="I1594" s="2" t="s">
        <v>34</v>
      </c>
      <c r="J1594" s="2" t="s">
        <v>49</v>
      </c>
      <c r="K1594" s="2" t="s">
        <v>18</v>
      </c>
    </row>
    <row r="1595" spans="1:11" x14ac:dyDescent="0.3">
      <c r="A1595" s="2" t="s">
        <v>1980</v>
      </c>
      <c r="B1595" s="2" t="s">
        <v>388</v>
      </c>
      <c r="C1595" s="3">
        <v>45852.149305555547</v>
      </c>
      <c r="D1595" s="2" t="s">
        <v>28</v>
      </c>
      <c r="E1595" s="4">
        <v>7275.92</v>
      </c>
      <c r="F1595" s="2" t="s">
        <v>14</v>
      </c>
      <c r="G1595" s="5">
        <v>31</v>
      </c>
      <c r="H1595" s="2" t="s">
        <v>15</v>
      </c>
      <c r="I1595" s="2" t="s">
        <v>34</v>
      </c>
      <c r="J1595" s="2" t="s">
        <v>17</v>
      </c>
      <c r="K1595" s="2" t="s">
        <v>18</v>
      </c>
    </row>
    <row r="1596" spans="1:11" x14ac:dyDescent="0.3">
      <c r="A1596" s="2" t="s">
        <v>1981</v>
      </c>
      <c r="B1596" s="2" t="s">
        <v>1717</v>
      </c>
      <c r="C1596" s="3">
        <v>45787.655555555553</v>
      </c>
      <c r="D1596" s="2" t="s">
        <v>28</v>
      </c>
      <c r="E1596" s="4">
        <v>16681.169999999998</v>
      </c>
      <c r="F1596" s="2" t="s">
        <v>14</v>
      </c>
      <c r="G1596" s="5">
        <v>42</v>
      </c>
      <c r="H1596" s="2" t="s">
        <v>15</v>
      </c>
      <c r="I1596" s="2" t="s">
        <v>43</v>
      </c>
      <c r="J1596" s="2" t="s">
        <v>49</v>
      </c>
      <c r="K1596" s="2" t="s">
        <v>18</v>
      </c>
    </row>
    <row r="1597" spans="1:11" x14ac:dyDescent="0.3">
      <c r="A1597" s="2" t="s">
        <v>1982</v>
      </c>
      <c r="B1597" s="2" t="s">
        <v>1026</v>
      </c>
      <c r="C1597" s="3">
        <v>45736.280555555553</v>
      </c>
      <c r="D1597" s="2" t="s">
        <v>154</v>
      </c>
      <c r="E1597" s="4">
        <v>20000</v>
      </c>
      <c r="F1597" s="2" t="s">
        <v>14</v>
      </c>
      <c r="G1597" s="5">
        <v>43</v>
      </c>
      <c r="H1597" s="2" t="s">
        <v>15</v>
      </c>
      <c r="I1597" s="2" t="s">
        <v>78</v>
      </c>
      <c r="J1597" s="2" t="s">
        <v>17</v>
      </c>
      <c r="K1597" s="2" t="s">
        <v>18</v>
      </c>
    </row>
    <row r="1598" spans="1:11" x14ac:dyDescent="0.3">
      <c r="A1598" s="2" t="s">
        <v>1983</v>
      </c>
      <c r="B1598" s="2" t="s">
        <v>440</v>
      </c>
      <c r="C1598" s="3">
        <v>46009.833333333343</v>
      </c>
      <c r="D1598" s="2" t="s">
        <v>13</v>
      </c>
      <c r="E1598" s="4">
        <v>759.65</v>
      </c>
      <c r="F1598" s="2" t="s">
        <v>14</v>
      </c>
      <c r="G1598" s="5">
        <v>23</v>
      </c>
      <c r="H1598" s="2" t="s">
        <v>29</v>
      </c>
      <c r="I1598" s="2" t="s">
        <v>34</v>
      </c>
      <c r="J1598" s="2" t="s">
        <v>49</v>
      </c>
      <c r="K1598" s="2" t="s">
        <v>18</v>
      </c>
    </row>
    <row r="1599" spans="1:11" x14ac:dyDescent="0.3">
      <c r="A1599" s="2" t="s">
        <v>1984</v>
      </c>
      <c r="B1599" s="2" t="s">
        <v>165</v>
      </c>
      <c r="C1599" s="3">
        <v>45812.570833333331</v>
      </c>
      <c r="D1599" s="2" t="s">
        <v>33</v>
      </c>
      <c r="E1599" s="4">
        <v>26866.46</v>
      </c>
      <c r="F1599" s="2" t="s">
        <v>57</v>
      </c>
      <c r="G1599" s="5">
        <v>31</v>
      </c>
      <c r="H1599" s="2" t="s">
        <v>29</v>
      </c>
      <c r="I1599" s="2" t="s">
        <v>30</v>
      </c>
      <c r="J1599" s="2" t="s">
        <v>52</v>
      </c>
      <c r="K1599" s="2" t="s">
        <v>45</v>
      </c>
    </row>
    <row r="1600" spans="1:11" x14ac:dyDescent="0.3">
      <c r="A1600" s="2" t="s">
        <v>1985</v>
      </c>
      <c r="B1600" s="2" t="s">
        <v>543</v>
      </c>
      <c r="C1600" s="3">
        <v>45709.897916666669</v>
      </c>
      <c r="D1600" s="2" t="s">
        <v>28</v>
      </c>
      <c r="E1600" s="4">
        <v>34850.980000000003</v>
      </c>
      <c r="F1600" s="2" t="s">
        <v>14</v>
      </c>
      <c r="G1600" s="5">
        <v>41</v>
      </c>
      <c r="H1600" s="2" t="s">
        <v>15</v>
      </c>
      <c r="I1600" s="2" t="s">
        <v>34</v>
      </c>
      <c r="J1600" s="2" t="s">
        <v>44</v>
      </c>
      <c r="K1600" s="2" t="s">
        <v>45</v>
      </c>
    </row>
    <row r="1601" spans="1:11" x14ac:dyDescent="0.3">
      <c r="A1601" s="2" t="s">
        <v>1986</v>
      </c>
      <c r="B1601" s="2" t="s">
        <v>69</v>
      </c>
      <c r="C1601" s="3">
        <v>45796.818055555559</v>
      </c>
      <c r="D1601" s="2" t="s">
        <v>28</v>
      </c>
      <c r="E1601" s="4">
        <v>72219.73</v>
      </c>
      <c r="F1601" s="2" t="s">
        <v>14</v>
      </c>
      <c r="G1601" s="5">
        <v>42</v>
      </c>
      <c r="H1601" s="2" t="s">
        <v>15</v>
      </c>
      <c r="I1601" s="2" t="s">
        <v>34</v>
      </c>
      <c r="J1601" s="2" t="s">
        <v>44</v>
      </c>
      <c r="K1601" s="2" t="s">
        <v>45</v>
      </c>
    </row>
    <row r="1602" spans="1:11" x14ac:dyDescent="0.3">
      <c r="A1602" s="2" t="s">
        <v>1987</v>
      </c>
      <c r="B1602" s="2" t="s">
        <v>275</v>
      </c>
      <c r="C1602" s="3">
        <v>46016.18472222222</v>
      </c>
      <c r="D1602" s="2" t="s">
        <v>33</v>
      </c>
      <c r="E1602" s="4">
        <v>3020.94</v>
      </c>
      <c r="F1602" s="2" t="s">
        <v>14</v>
      </c>
      <c r="G1602" s="5">
        <v>29</v>
      </c>
      <c r="H1602" s="2" t="s">
        <v>15</v>
      </c>
      <c r="I1602" s="2" t="s">
        <v>34</v>
      </c>
      <c r="J1602" s="2" t="s">
        <v>49</v>
      </c>
      <c r="K1602" s="2" t="s">
        <v>45</v>
      </c>
    </row>
    <row r="1603" spans="1:11" x14ac:dyDescent="0.3">
      <c r="A1603" s="2" t="s">
        <v>1988</v>
      </c>
      <c r="B1603" s="2" t="s">
        <v>211</v>
      </c>
      <c r="C1603" s="3">
        <v>45711.698611111111</v>
      </c>
      <c r="D1603" s="2" t="s">
        <v>13</v>
      </c>
      <c r="E1603" s="4">
        <v>299.5</v>
      </c>
      <c r="F1603" s="2" t="s">
        <v>14</v>
      </c>
      <c r="G1603" s="5">
        <v>30</v>
      </c>
      <c r="H1603" s="2" t="s">
        <v>15</v>
      </c>
      <c r="I1603" s="2" t="s">
        <v>16</v>
      </c>
      <c r="J1603" s="2" t="s">
        <v>17</v>
      </c>
      <c r="K1603" s="2" t="s">
        <v>18</v>
      </c>
    </row>
    <row r="1604" spans="1:11" x14ac:dyDescent="0.3">
      <c r="A1604" s="2" t="s">
        <v>1989</v>
      </c>
      <c r="B1604" s="2" t="s">
        <v>649</v>
      </c>
      <c r="C1604" s="3">
        <v>45974.137499999997</v>
      </c>
      <c r="D1604" s="2" t="s">
        <v>28</v>
      </c>
      <c r="E1604" s="4">
        <v>2416.3200000000002</v>
      </c>
      <c r="F1604" s="2" t="s">
        <v>14</v>
      </c>
      <c r="G1604" s="5">
        <v>24</v>
      </c>
      <c r="H1604" s="2" t="s">
        <v>29</v>
      </c>
      <c r="I1604" s="2" t="s">
        <v>48</v>
      </c>
      <c r="J1604" s="2" t="s">
        <v>17</v>
      </c>
      <c r="K1604" s="2" t="s">
        <v>18</v>
      </c>
    </row>
    <row r="1605" spans="1:11" x14ac:dyDescent="0.3">
      <c r="A1605" s="2" t="s">
        <v>1990</v>
      </c>
      <c r="B1605" s="2" t="s">
        <v>332</v>
      </c>
      <c r="C1605" s="3">
        <v>45716.146527777782</v>
      </c>
      <c r="D1605" s="2" t="s">
        <v>28</v>
      </c>
      <c r="E1605" s="4">
        <v>4548.3900000000003</v>
      </c>
      <c r="F1605" s="2" t="s">
        <v>14</v>
      </c>
      <c r="G1605" s="5">
        <v>36</v>
      </c>
      <c r="H1605" s="2" t="s">
        <v>29</v>
      </c>
      <c r="I1605" s="2" t="s">
        <v>25</v>
      </c>
      <c r="J1605" s="2" t="s">
        <v>44</v>
      </c>
      <c r="K1605" s="2" t="s">
        <v>18</v>
      </c>
    </row>
    <row r="1606" spans="1:11" x14ac:dyDescent="0.3">
      <c r="A1606" s="2" t="s">
        <v>1991</v>
      </c>
      <c r="B1606" s="2" t="s">
        <v>134</v>
      </c>
      <c r="C1606" s="3">
        <v>45759.8</v>
      </c>
      <c r="D1606" s="2" t="s">
        <v>33</v>
      </c>
      <c r="E1606" s="4">
        <v>21731.37</v>
      </c>
      <c r="F1606" s="2" t="s">
        <v>14</v>
      </c>
      <c r="G1606" s="5">
        <v>26</v>
      </c>
      <c r="H1606" s="2" t="s">
        <v>15</v>
      </c>
      <c r="I1606" s="2" t="s">
        <v>25</v>
      </c>
      <c r="J1606" s="2" t="s">
        <v>49</v>
      </c>
      <c r="K1606" s="2" t="s">
        <v>45</v>
      </c>
    </row>
    <row r="1607" spans="1:11" x14ac:dyDescent="0.3">
      <c r="A1607" s="2" t="s">
        <v>1992</v>
      </c>
      <c r="B1607" s="2" t="s">
        <v>492</v>
      </c>
      <c r="C1607" s="3">
        <v>45792.675000000003</v>
      </c>
      <c r="D1607" s="2" t="s">
        <v>13</v>
      </c>
      <c r="E1607" s="4">
        <v>1563.59</v>
      </c>
      <c r="F1607" s="2" t="s">
        <v>57</v>
      </c>
      <c r="G1607" s="5">
        <v>41</v>
      </c>
      <c r="H1607" s="2" t="s">
        <v>29</v>
      </c>
      <c r="I1607" s="2" t="s">
        <v>48</v>
      </c>
      <c r="J1607" s="2" t="s">
        <v>17</v>
      </c>
      <c r="K1607" s="2" t="s">
        <v>35</v>
      </c>
    </row>
    <row r="1608" spans="1:11" x14ac:dyDescent="0.3">
      <c r="A1608" s="2" t="s">
        <v>1993</v>
      </c>
      <c r="B1608" s="2" t="s">
        <v>567</v>
      </c>
      <c r="C1608" s="3">
        <v>45841.93472222222</v>
      </c>
      <c r="D1608" s="2" t="s">
        <v>28</v>
      </c>
      <c r="E1608" s="4">
        <v>22067.27</v>
      </c>
      <c r="F1608" s="2" t="s">
        <v>14</v>
      </c>
      <c r="G1608" s="5">
        <v>39</v>
      </c>
      <c r="H1608" s="2" t="s">
        <v>15</v>
      </c>
      <c r="I1608" s="2" t="s">
        <v>48</v>
      </c>
      <c r="J1608" s="2" t="s">
        <v>17</v>
      </c>
      <c r="K1608" s="2" t="s">
        <v>18</v>
      </c>
    </row>
    <row r="1609" spans="1:11" x14ac:dyDescent="0.3">
      <c r="A1609" s="2" t="s">
        <v>1994</v>
      </c>
      <c r="B1609" s="2" t="s">
        <v>234</v>
      </c>
      <c r="C1609" s="3">
        <v>45809.209722222222</v>
      </c>
      <c r="D1609" s="2" t="s">
        <v>13</v>
      </c>
      <c r="E1609" s="4">
        <v>2867.71</v>
      </c>
      <c r="F1609" s="2" t="s">
        <v>14</v>
      </c>
      <c r="G1609" s="5">
        <v>46</v>
      </c>
      <c r="H1609" s="2" t="s">
        <v>15</v>
      </c>
      <c r="I1609" s="2" t="s">
        <v>78</v>
      </c>
      <c r="J1609" s="2" t="s">
        <v>44</v>
      </c>
      <c r="K1609" s="2" t="s">
        <v>35</v>
      </c>
    </row>
    <row r="1610" spans="1:11" x14ac:dyDescent="0.3">
      <c r="A1610" s="2" t="s">
        <v>1995</v>
      </c>
      <c r="B1610" s="2" t="s">
        <v>262</v>
      </c>
      <c r="C1610" s="3">
        <v>45938.665277777778</v>
      </c>
      <c r="D1610" s="2" t="s">
        <v>33</v>
      </c>
      <c r="E1610" s="4">
        <v>5137.34</v>
      </c>
      <c r="F1610" s="2" t="s">
        <v>14</v>
      </c>
      <c r="G1610" s="5">
        <v>50</v>
      </c>
      <c r="H1610" s="2" t="s">
        <v>29</v>
      </c>
      <c r="I1610" s="2" t="s">
        <v>60</v>
      </c>
      <c r="J1610" s="2" t="s">
        <v>49</v>
      </c>
      <c r="K1610" s="2" t="s">
        <v>18</v>
      </c>
    </row>
    <row r="1611" spans="1:11" x14ac:dyDescent="0.3">
      <c r="A1611" s="2" t="s">
        <v>1996</v>
      </c>
      <c r="B1611" s="2" t="s">
        <v>313</v>
      </c>
      <c r="C1611" s="3">
        <v>45764.957638888889</v>
      </c>
      <c r="D1611" s="2" t="s">
        <v>33</v>
      </c>
      <c r="E1611" s="4">
        <v>29441.19</v>
      </c>
      <c r="F1611" s="2" t="s">
        <v>14</v>
      </c>
      <c r="G1611" s="5">
        <v>24</v>
      </c>
      <c r="H1611" s="2" t="s">
        <v>15</v>
      </c>
      <c r="I1611" s="2" t="s">
        <v>48</v>
      </c>
      <c r="J1611" s="2" t="s">
        <v>17</v>
      </c>
      <c r="K1611" s="2" t="s">
        <v>18</v>
      </c>
    </row>
    <row r="1612" spans="1:11" x14ac:dyDescent="0.3">
      <c r="A1612" s="2" t="s">
        <v>1997</v>
      </c>
      <c r="B1612" s="2" t="s">
        <v>86</v>
      </c>
      <c r="C1612" s="3">
        <v>45904.427083333343</v>
      </c>
      <c r="D1612" s="2" t="s">
        <v>28</v>
      </c>
      <c r="E1612" s="4">
        <v>31043.23</v>
      </c>
      <c r="F1612" s="2" t="s">
        <v>14</v>
      </c>
      <c r="G1612" s="5">
        <v>41</v>
      </c>
      <c r="H1612" s="2" t="s">
        <v>29</v>
      </c>
      <c r="I1612" s="2" t="s">
        <v>60</v>
      </c>
      <c r="J1612" s="2" t="s">
        <v>17</v>
      </c>
      <c r="K1612" s="2" t="s">
        <v>18</v>
      </c>
    </row>
    <row r="1613" spans="1:11" x14ac:dyDescent="0.3">
      <c r="A1613" s="2" t="s">
        <v>1998</v>
      </c>
      <c r="B1613" s="2" t="s">
        <v>547</v>
      </c>
      <c r="C1613" s="3">
        <v>45659.029166666667</v>
      </c>
      <c r="D1613" s="2" t="s">
        <v>28</v>
      </c>
      <c r="E1613" s="4">
        <v>11737.32</v>
      </c>
      <c r="F1613" s="2" t="s">
        <v>14</v>
      </c>
      <c r="G1613" s="5">
        <v>39</v>
      </c>
      <c r="H1613" s="2" t="s">
        <v>29</v>
      </c>
      <c r="I1613" s="2" t="s">
        <v>34</v>
      </c>
      <c r="J1613" s="2" t="s">
        <v>17</v>
      </c>
      <c r="K1613" s="2" t="s">
        <v>45</v>
      </c>
    </row>
    <row r="1614" spans="1:11" x14ac:dyDescent="0.3">
      <c r="A1614" s="2" t="s">
        <v>1999</v>
      </c>
      <c r="B1614" s="2" t="s">
        <v>988</v>
      </c>
      <c r="C1614" s="3">
        <v>45703.161805555559</v>
      </c>
      <c r="D1614" s="2" t="s">
        <v>33</v>
      </c>
      <c r="E1614" s="4">
        <v>34141.760000000002</v>
      </c>
      <c r="F1614" s="2" t="s">
        <v>14</v>
      </c>
      <c r="G1614" s="5">
        <v>35</v>
      </c>
      <c r="H1614" s="2" t="s">
        <v>29</v>
      </c>
      <c r="I1614" s="2" t="s">
        <v>34</v>
      </c>
      <c r="J1614" s="2" t="s">
        <v>49</v>
      </c>
      <c r="K1614" s="2" t="s">
        <v>18</v>
      </c>
    </row>
    <row r="1615" spans="1:11" x14ac:dyDescent="0.3">
      <c r="A1615" s="2" t="s">
        <v>2000</v>
      </c>
      <c r="B1615" s="2" t="s">
        <v>446</v>
      </c>
      <c r="C1615" s="3">
        <v>45951.896527777782</v>
      </c>
      <c r="D1615" s="2" t="s">
        <v>28</v>
      </c>
      <c r="E1615" s="4">
        <v>25179.59</v>
      </c>
      <c r="F1615" s="2" t="s">
        <v>14</v>
      </c>
      <c r="G1615" s="5">
        <v>35</v>
      </c>
      <c r="H1615" s="2" t="s">
        <v>15</v>
      </c>
      <c r="I1615" s="2" t="s">
        <v>16</v>
      </c>
      <c r="J1615" s="2" t="s">
        <v>17</v>
      </c>
      <c r="K1615" s="2" t="s">
        <v>35</v>
      </c>
    </row>
    <row r="1616" spans="1:11" x14ac:dyDescent="0.3">
      <c r="A1616" s="2" t="s">
        <v>2001</v>
      </c>
      <c r="B1616" s="2" t="s">
        <v>360</v>
      </c>
      <c r="C1616" s="3">
        <v>45734.117361111108</v>
      </c>
      <c r="D1616" s="2" t="s">
        <v>13</v>
      </c>
      <c r="E1616" s="4">
        <v>856.1</v>
      </c>
      <c r="F1616" s="2" t="s">
        <v>14</v>
      </c>
      <c r="G1616" s="5">
        <v>40</v>
      </c>
      <c r="H1616" s="2" t="s">
        <v>15</v>
      </c>
      <c r="I1616" s="2" t="s">
        <v>34</v>
      </c>
      <c r="J1616" s="2" t="s">
        <v>17</v>
      </c>
      <c r="K1616" s="2" t="s">
        <v>18</v>
      </c>
    </row>
    <row r="1617" spans="1:11" x14ac:dyDescent="0.3">
      <c r="A1617" s="2" t="s">
        <v>2002</v>
      </c>
      <c r="B1617" s="2" t="s">
        <v>575</v>
      </c>
      <c r="C1617" s="3">
        <v>45919.115277777782</v>
      </c>
      <c r="D1617" s="2" t="s">
        <v>28</v>
      </c>
      <c r="E1617" s="4">
        <v>55047.6</v>
      </c>
      <c r="F1617" s="2" t="s">
        <v>14</v>
      </c>
      <c r="G1617" s="5">
        <v>48</v>
      </c>
      <c r="H1617" s="2" t="s">
        <v>29</v>
      </c>
      <c r="I1617" s="2" t="s">
        <v>34</v>
      </c>
      <c r="J1617" s="2" t="s">
        <v>17</v>
      </c>
      <c r="K1617" s="2" t="s">
        <v>35</v>
      </c>
    </row>
    <row r="1618" spans="1:11" x14ac:dyDescent="0.3">
      <c r="A1618" s="2" t="s">
        <v>2003</v>
      </c>
      <c r="B1618" s="2" t="s">
        <v>393</v>
      </c>
      <c r="C1618" s="3">
        <v>45709.361805555563</v>
      </c>
      <c r="D1618" s="2" t="s">
        <v>28</v>
      </c>
      <c r="E1618" s="4">
        <v>49163.1</v>
      </c>
      <c r="F1618" s="2" t="s">
        <v>14</v>
      </c>
      <c r="G1618" s="5">
        <v>52</v>
      </c>
      <c r="H1618" s="2" t="s">
        <v>29</v>
      </c>
      <c r="I1618" s="2" t="s">
        <v>48</v>
      </c>
      <c r="J1618" s="2" t="s">
        <v>49</v>
      </c>
      <c r="K1618" s="2" t="s">
        <v>18</v>
      </c>
    </row>
    <row r="1619" spans="1:11" x14ac:dyDescent="0.3">
      <c r="A1619" s="2" t="s">
        <v>2004</v>
      </c>
      <c r="B1619" s="2" t="s">
        <v>1478</v>
      </c>
      <c r="C1619" s="3">
        <v>45776.595833333333</v>
      </c>
      <c r="D1619" s="2" t="s">
        <v>38</v>
      </c>
      <c r="E1619" s="4">
        <v>16808.580000000002</v>
      </c>
      <c r="F1619" s="2" t="s">
        <v>57</v>
      </c>
      <c r="G1619" s="5">
        <v>28</v>
      </c>
      <c r="H1619" s="2" t="s">
        <v>15</v>
      </c>
      <c r="I1619" s="2" t="s">
        <v>48</v>
      </c>
      <c r="J1619" s="2" t="s">
        <v>17</v>
      </c>
      <c r="K1619" s="2" t="s">
        <v>18</v>
      </c>
    </row>
    <row r="1620" spans="1:11" x14ac:dyDescent="0.3">
      <c r="A1620" s="2" t="s">
        <v>2005</v>
      </c>
      <c r="B1620" s="2" t="s">
        <v>329</v>
      </c>
      <c r="C1620" s="3">
        <v>45793.585416666669</v>
      </c>
      <c r="D1620" s="2" t="s">
        <v>28</v>
      </c>
      <c r="E1620" s="4">
        <v>36961.61</v>
      </c>
      <c r="F1620" s="2" t="s">
        <v>14</v>
      </c>
      <c r="G1620" s="5">
        <v>31</v>
      </c>
      <c r="H1620" s="2" t="s">
        <v>15</v>
      </c>
      <c r="I1620" s="2" t="s">
        <v>34</v>
      </c>
      <c r="J1620" s="2" t="s">
        <v>49</v>
      </c>
      <c r="K1620" s="2" t="s">
        <v>18</v>
      </c>
    </row>
    <row r="1621" spans="1:11" x14ac:dyDescent="0.3">
      <c r="A1621" s="2" t="s">
        <v>2006</v>
      </c>
      <c r="B1621" s="2" t="s">
        <v>816</v>
      </c>
      <c r="C1621" s="3">
        <v>45709.246527777781</v>
      </c>
      <c r="D1621" s="2" t="s">
        <v>28</v>
      </c>
      <c r="E1621" s="4">
        <v>22707.39</v>
      </c>
      <c r="F1621" s="2" t="s">
        <v>14</v>
      </c>
      <c r="G1621" s="5">
        <v>37</v>
      </c>
      <c r="H1621" s="2" t="s">
        <v>15</v>
      </c>
      <c r="I1621" s="2" t="s">
        <v>60</v>
      </c>
      <c r="J1621" s="2" t="s">
        <v>44</v>
      </c>
      <c r="K1621" s="2" t="s">
        <v>18</v>
      </c>
    </row>
    <row r="1622" spans="1:11" x14ac:dyDescent="0.3">
      <c r="A1622" s="2" t="s">
        <v>2007</v>
      </c>
      <c r="B1622" s="2" t="s">
        <v>190</v>
      </c>
      <c r="C1622" s="3">
        <v>45678.390972222223</v>
      </c>
      <c r="D1622" s="2" t="s">
        <v>13</v>
      </c>
      <c r="E1622" s="4">
        <v>1721.44</v>
      </c>
      <c r="F1622" s="2" t="s">
        <v>14</v>
      </c>
      <c r="G1622" s="5">
        <v>25</v>
      </c>
      <c r="H1622" s="2" t="s">
        <v>15</v>
      </c>
      <c r="I1622" s="2" t="s">
        <v>34</v>
      </c>
      <c r="J1622" s="2" t="s">
        <v>17</v>
      </c>
      <c r="K1622" s="2" t="s">
        <v>18</v>
      </c>
    </row>
    <row r="1623" spans="1:11" x14ac:dyDescent="0.3">
      <c r="A1623" s="2" t="s">
        <v>2008</v>
      </c>
      <c r="B1623" s="2" t="s">
        <v>977</v>
      </c>
      <c r="C1623" s="3">
        <v>46004.435416666667</v>
      </c>
      <c r="D1623" s="2" t="s">
        <v>33</v>
      </c>
      <c r="E1623" s="4">
        <v>36721.4</v>
      </c>
      <c r="F1623" s="2" t="s">
        <v>14</v>
      </c>
      <c r="G1623" s="5">
        <v>38</v>
      </c>
      <c r="H1623" s="2" t="s">
        <v>29</v>
      </c>
      <c r="I1623" s="2" t="s">
        <v>21</v>
      </c>
      <c r="J1623" s="2" t="s">
        <v>17</v>
      </c>
      <c r="K1623" s="2" t="s">
        <v>18</v>
      </c>
    </row>
    <row r="1624" spans="1:11" x14ac:dyDescent="0.3">
      <c r="A1624" s="2" t="s">
        <v>2009</v>
      </c>
      <c r="B1624" s="2" t="s">
        <v>730</v>
      </c>
      <c r="C1624" s="3">
        <v>45717.162499999999</v>
      </c>
      <c r="D1624" s="2" t="s">
        <v>28</v>
      </c>
      <c r="E1624" s="4">
        <v>7864</v>
      </c>
      <c r="F1624" s="2" t="s">
        <v>14</v>
      </c>
      <c r="G1624" s="5">
        <v>40</v>
      </c>
      <c r="H1624" s="2" t="s">
        <v>15</v>
      </c>
      <c r="I1624" s="2" t="s">
        <v>34</v>
      </c>
      <c r="J1624" s="2" t="s">
        <v>17</v>
      </c>
      <c r="K1624" s="2" t="s">
        <v>45</v>
      </c>
    </row>
    <row r="1625" spans="1:11" x14ac:dyDescent="0.3">
      <c r="A1625" s="2" t="s">
        <v>2010</v>
      </c>
      <c r="B1625" s="2" t="s">
        <v>509</v>
      </c>
      <c r="C1625" s="3">
        <v>45681.037499999999</v>
      </c>
      <c r="D1625" s="2" t="s">
        <v>28</v>
      </c>
      <c r="E1625" s="4">
        <v>7429.27</v>
      </c>
      <c r="F1625" s="2" t="s">
        <v>14</v>
      </c>
      <c r="G1625" s="5">
        <v>29</v>
      </c>
      <c r="H1625" s="2" t="s">
        <v>15</v>
      </c>
      <c r="I1625" s="2" t="s">
        <v>34</v>
      </c>
      <c r="J1625" s="2" t="s">
        <v>49</v>
      </c>
      <c r="K1625" s="2" t="s">
        <v>18</v>
      </c>
    </row>
    <row r="1626" spans="1:11" x14ac:dyDescent="0.3">
      <c r="A1626" s="2" t="s">
        <v>2011</v>
      </c>
      <c r="B1626" s="2" t="s">
        <v>56</v>
      </c>
      <c r="C1626" s="3">
        <v>45728.90347222222</v>
      </c>
      <c r="D1626" s="2" t="s">
        <v>13</v>
      </c>
      <c r="E1626" s="4">
        <v>962.99</v>
      </c>
      <c r="F1626" s="2" t="s">
        <v>14</v>
      </c>
      <c r="G1626" s="5">
        <v>64</v>
      </c>
      <c r="H1626" s="2" t="s">
        <v>29</v>
      </c>
      <c r="I1626" s="2" t="s">
        <v>30</v>
      </c>
      <c r="J1626" s="2" t="s">
        <v>49</v>
      </c>
      <c r="K1626" s="2" t="s">
        <v>22</v>
      </c>
    </row>
    <row r="1627" spans="1:11" x14ac:dyDescent="0.3">
      <c r="A1627" s="2" t="s">
        <v>2012</v>
      </c>
      <c r="B1627" s="2" t="s">
        <v>1306</v>
      </c>
      <c r="C1627" s="3">
        <v>45745.431944444441</v>
      </c>
      <c r="D1627" s="2" t="s">
        <v>28</v>
      </c>
      <c r="E1627" s="4">
        <v>32939.03</v>
      </c>
      <c r="F1627" s="2" t="s">
        <v>14</v>
      </c>
      <c r="G1627" s="5">
        <v>40</v>
      </c>
      <c r="H1627" s="2" t="s">
        <v>29</v>
      </c>
      <c r="I1627" s="2" t="s">
        <v>48</v>
      </c>
      <c r="J1627" s="2" t="s">
        <v>17</v>
      </c>
      <c r="K1627" s="2" t="s">
        <v>18</v>
      </c>
    </row>
    <row r="1628" spans="1:11" x14ac:dyDescent="0.3">
      <c r="A1628" s="2" t="s">
        <v>2013</v>
      </c>
      <c r="B1628" s="2" t="s">
        <v>943</v>
      </c>
      <c r="C1628" s="3">
        <v>45882.803472222222</v>
      </c>
      <c r="D1628" s="2" t="s">
        <v>13</v>
      </c>
      <c r="E1628" s="4">
        <v>1342.18</v>
      </c>
      <c r="F1628" s="2" t="s">
        <v>14</v>
      </c>
      <c r="G1628" s="5">
        <v>32</v>
      </c>
      <c r="H1628" s="2" t="s">
        <v>15</v>
      </c>
      <c r="I1628" s="2" t="s">
        <v>95</v>
      </c>
      <c r="J1628" s="2" t="s">
        <v>44</v>
      </c>
      <c r="K1628" s="2" t="s">
        <v>45</v>
      </c>
    </row>
    <row r="1629" spans="1:11" x14ac:dyDescent="0.3">
      <c r="A1629" s="2" t="s">
        <v>2014</v>
      </c>
      <c r="B1629" s="2" t="s">
        <v>399</v>
      </c>
      <c r="C1629" s="3">
        <v>45705.494444444441</v>
      </c>
      <c r="D1629" s="2" t="s">
        <v>13</v>
      </c>
      <c r="E1629" s="4">
        <v>634.27</v>
      </c>
      <c r="F1629" s="2" t="s">
        <v>14</v>
      </c>
      <c r="G1629" s="5">
        <v>53</v>
      </c>
      <c r="H1629" s="2" t="s">
        <v>29</v>
      </c>
      <c r="I1629" s="2" t="s">
        <v>34</v>
      </c>
      <c r="J1629" s="2" t="s">
        <v>17</v>
      </c>
      <c r="K1629" s="2" t="s">
        <v>45</v>
      </c>
    </row>
    <row r="1630" spans="1:11" x14ac:dyDescent="0.3">
      <c r="A1630" s="2" t="s">
        <v>2015</v>
      </c>
      <c r="B1630" s="2" t="s">
        <v>1274</v>
      </c>
      <c r="C1630" s="3">
        <v>45833.213194444441</v>
      </c>
      <c r="D1630" s="2" t="s">
        <v>28</v>
      </c>
      <c r="E1630" s="4">
        <v>1113.58</v>
      </c>
      <c r="F1630" s="2" t="s">
        <v>14</v>
      </c>
      <c r="G1630" s="5">
        <v>32</v>
      </c>
      <c r="H1630" s="2" t="s">
        <v>15</v>
      </c>
      <c r="I1630" s="2" t="s">
        <v>95</v>
      </c>
      <c r="J1630" s="2" t="s">
        <v>17</v>
      </c>
      <c r="K1630" s="2" t="s">
        <v>45</v>
      </c>
    </row>
    <row r="1631" spans="1:11" x14ac:dyDescent="0.3">
      <c r="A1631" s="2" t="s">
        <v>2016</v>
      </c>
      <c r="B1631" s="2" t="s">
        <v>313</v>
      </c>
      <c r="C1631" s="3">
        <v>45863.520138888889</v>
      </c>
      <c r="D1631" s="2" t="s">
        <v>154</v>
      </c>
      <c r="E1631" s="4">
        <v>2000</v>
      </c>
      <c r="F1631" s="2" t="s">
        <v>57</v>
      </c>
      <c r="G1631" s="5">
        <v>24</v>
      </c>
      <c r="H1631" s="2" t="s">
        <v>15</v>
      </c>
      <c r="I1631" s="2" t="s">
        <v>48</v>
      </c>
      <c r="J1631" s="2" t="s">
        <v>17</v>
      </c>
      <c r="K1631" s="2" t="s">
        <v>18</v>
      </c>
    </row>
    <row r="1632" spans="1:11" x14ac:dyDescent="0.3">
      <c r="A1632" s="2" t="s">
        <v>2017</v>
      </c>
      <c r="B1632" s="2" t="s">
        <v>860</v>
      </c>
      <c r="C1632" s="3">
        <v>45797.530555555553</v>
      </c>
      <c r="D1632" s="2" t="s">
        <v>38</v>
      </c>
      <c r="E1632" s="4">
        <v>5450</v>
      </c>
      <c r="F1632" s="2" t="s">
        <v>57</v>
      </c>
      <c r="G1632" s="5">
        <v>29</v>
      </c>
      <c r="H1632" s="2" t="s">
        <v>15</v>
      </c>
      <c r="I1632" s="2" t="s">
        <v>21</v>
      </c>
      <c r="J1632" s="2" t="s">
        <v>52</v>
      </c>
      <c r="K1632" s="2" t="s">
        <v>35</v>
      </c>
    </row>
    <row r="1633" spans="1:11" x14ac:dyDescent="0.3">
      <c r="A1633" s="2" t="s">
        <v>2018</v>
      </c>
      <c r="B1633" s="2" t="s">
        <v>1877</v>
      </c>
      <c r="C1633" s="3">
        <v>45902.570138888892</v>
      </c>
      <c r="D1633" s="2" t="s">
        <v>38</v>
      </c>
      <c r="E1633" s="4">
        <v>3641.65</v>
      </c>
      <c r="F1633" s="2" t="s">
        <v>14</v>
      </c>
      <c r="G1633" s="5">
        <v>27</v>
      </c>
      <c r="H1633" s="2" t="s">
        <v>15</v>
      </c>
      <c r="I1633" s="2" t="s">
        <v>21</v>
      </c>
      <c r="J1633" s="2" t="s">
        <v>49</v>
      </c>
      <c r="K1633" s="2" t="s">
        <v>45</v>
      </c>
    </row>
    <row r="1634" spans="1:11" x14ac:dyDescent="0.3">
      <c r="A1634" s="2" t="s">
        <v>2019</v>
      </c>
      <c r="B1634" s="2" t="s">
        <v>756</v>
      </c>
      <c r="C1634" s="3">
        <v>45743.130555555559</v>
      </c>
      <c r="D1634" s="2" t="s">
        <v>38</v>
      </c>
      <c r="E1634" s="4">
        <v>3775.07</v>
      </c>
      <c r="F1634" s="2" t="s">
        <v>14</v>
      </c>
      <c r="G1634" s="5">
        <v>40</v>
      </c>
      <c r="H1634" s="2" t="s">
        <v>15</v>
      </c>
      <c r="I1634" s="2" t="s">
        <v>16</v>
      </c>
      <c r="J1634" s="2" t="s">
        <v>17</v>
      </c>
      <c r="K1634" s="2" t="s">
        <v>18</v>
      </c>
    </row>
    <row r="1635" spans="1:11" x14ac:dyDescent="0.3">
      <c r="A1635" s="2" t="s">
        <v>2020</v>
      </c>
      <c r="B1635" s="2" t="s">
        <v>388</v>
      </c>
      <c r="C1635" s="3">
        <v>46014.960416666669</v>
      </c>
      <c r="D1635" s="2" t="s">
        <v>28</v>
      </c>
      <c r="E1635" s="4">
        <v>6387.81</v>
      </c>
      <c r="F1635" s="2" t="s">
        <v>14</v>
      </c>
      <c r="G1635" s="5">
        <v>31</v>
      </c>
      <c r="H1635" s="2" t="s">
        <v>15</v>
      </c>
      <c r="I1635" s="2" t="s">
        <v>34</v>
      </c>
      <c r="J1635" s="2" t="s">
        <v>17</v>
      </c>
      <c r="K1635" s="2" t="s">
        <v>45</v>
      </c>
    </row>
    <row r="1636" spans="1:11" x14ac:dyDescent="0.3">
      <c r="A1636" s="2" t="s">
        <v>2021</v>
      </c>
      <c r="B1636" s="2" t="s">
        <v>898</v>
      </c>
      <c r="C1636" s="3">
        <v>45739.143055555563</v>
      </c>
      <c r="D1636" s="2" t="s">
        <v>28</v>
      </c>
      <c r="E1636" s="4">
        <v>2315.37</v>
      </c>
      <c r="F1636" s="2" t="s">
        <v>14</v>
      </c>
      <c r="G1636" s="5">
        <v>56</v>
      </c>
      <c r="H1636" s="2" t="s">
        <v>29</v>
      </c>
      <c r="I1636" s="2" t="s">
        <v>34</v>
      </c>
      <c r="J1636" s="2" t="s">
        <v>17</v>
      </c>
      <c r="K1636" s="2" t="s">
        <v>18</v>
      </c>
    </row>
    <row r="1637" spans="1:11" x14ac:dyDescent="0.3">
      <c r="A1637" s="2" t="s">
        <v>2022</v>
      </c>
      <c r="B1637" s="2" t="s">
        <v>171</v>
      </c>
      <c r="C1637" s="3">
        <v>45960.660416666673</v>
      </c>
      <c r="D1637" s="2" t="s">
        <v>154</v>
      </c>
      <c r="E1637" s="4">
        <v>10000</v>
      </c>
      <c r="F1637" s="2" t="s">
        <v>14</v>
      </c>
      <c r="G1637" s="5">
        <v>51</v>
      </c>
      <c r="H1637" s="2" t="s">
        <v>29</v>
      </c>
      <c r="I1637" s="2" t="s">
        <v>25</v>
      </c>
      <c r="J1637" s="2" t="s">
        <v>17</v>
      </c>
      <c r="K1637" s="2" t="s">
        <v>22</v>
      </c>
    </row>
    <row r="1638" spans="1:11" x14ac:dyDescent="0.3">
      <c r="A1638" s="2" t="s">
        <v>2023</v>
      </c>
      <c r="B1638" s="2" t="s">
        <v>1205</v>
      </c>
      <c r="C1638" s="3">
        <v>45949.894444444442</v>
      </c>
      <c r="D1638" s="2" t="s">
        <v>33</v>
      </c>
      <c r="E1638" s="4">
        <v>6854.27</v>
      </c>
      <c r="F1638" s="2" t="s">
        <v>14</v>
      </c>
      <c r="G1638" s="5">
        <v>42</v>
      </c>
      <c r="H1638" s="2" t="s">
        <v>29</v>
      </c>
      <c r="I1638" s="2" t="s">
        <v>21</v>
      </c>
      <c r="J1638" s="2" t="s">
        <v>17</v>
      </c>
      <c r="K1638" s="2" t="s">
        <v>22</v>
      </c>
    </row>
    <row r="1639" spans="1:11" x14ac:dyDescent="0.3">
      <c r="A1639" s="2" t="s">
        <v>2024</v>
      </c>
      <c r="B1639" s="2" t="s">
        <v>449</v>
      </c>
      <c r="C1639" s="3">
        <v>45750.808333333327</v>
      </c>
      <c r="D1639" s="2" t="s">
        <v>33</v>
      </c>
      <c r="E1639" s="4">
        <v>8986.09</v>
      </c>
      <c r="F1639" s="2" t="s">
        <v>14</v>
      </c>
      <c r="G1639" s="5">
        <v>44</v>
      </c>
      <c r="H1639" s="2" t="s">
        <v>29</v>
      </c>
      <c r="I1639" s="2" t="s">
        <v>34</v>
      </c>
      <c r="J1639" s="2" t="s">
        <v>52</v>
      </c>
      <c r="K1639" s="2" t="s">
        <v>18</v>
      </c>
    </row>
    <row r="1640" spans="1:11" x14ac:dyDescent="0.3">
      <c r="A1640" s="2" t="s">
        <v>2025</v>
      </c>
      <c r="B1640" s="2" t="s">
        <v>532</v>
      </c>
      <c r="C1640" s="3">
        <v>45841.792361111111</v>
      </c>
      <c r="D1640" s="2" t="s">
        <v>13</v>
      </c>
      <c r="E1640" s="4">
        <v>2218.13</v>
      </c>
      <c r="F1640" s="2" t="s">
        <v>14</v>
      </c>
      <c r="G1640" s="5">
        <v>37</v>
      </c>
      <c r="H1640" s="2" t="s">
        <v>15</v>
      </c>
      <c r="I1640" s="2" t="s">
        <v>34</v>
      </c>
      <c r="J1640" s="2" t="s">
        <v>49</v>
      </c>
      <c r="K1640" s="2" t="s">
        <v>45</v>
      </c>
    </row>
    <row r="1641" spans="1:11" x14ac:dyDescent="0.3">
      <c r="A1641" s="2" t="s">
        <v>2026</v>
      </c>
      <c r="B1641" s="2" t="s">
        <v>84</v>
      </c>
      <c r="C1641" s="3">
        <v>46008.997916666667</v>
      </c>
      <c r="D1641" s="2" t="s">
        <v>28</v>
      </c>
      <c r="E1641" s="4">
        <v>1882.74</v>
      </c>
      <c r="F1641" s="2" t="s">
        <v>14</v>
      </c>
      <c r="G1641" s="5">
        <v>33</v>
      </c>
      <c r="H1641" s="2" t="s">
        <v>15</v>
      </c>
      <c r="I1641" s="2" t="s">
        <v>34</v>
      </c>
      <c r="J1641" s="2" t="s">
        <v>17</v>
      </c>
      <c r="K1641" s="2" t="s">
        <v>35</v>
      </c>
    </row>
    <row r="1642" spans="1:11" x14ac:dyDescent="0.3">
      <c r="A1642" s="2" t="s">
        <v>2027</v>
      </c>
      <c r="B1642" s="2" t="s">
        <v>538</v>
      </c>
      <c r="C1642" s="3">
        <v>45724.665277777778</v>
      </c>
      <c r="D1642" s="2" t="s">
        <v>28</v>
      </c>
      <c r="E1642" s="4">
        <v>30480.87</v>
      </c>
      <c r="F1642" s="2" t="s">
        <v>14</v>
      </c>
      <c r="G1642" s="5">
        <v>46</v>
      </c>
      <c r="H1642" s="2" t="s">
        <v>15</v>
      </c>
      <c r="I1642" s="2" t="s">
        <v>43</v>
      </c>
      <c r="J1642" s="2" t="s">
        <v>17</v>
      </c>
      <c r="K1642" s="2" t="s">
        <v>18</v>
      </c>
    </row>
    <row r="1643" spans="1:11" x14ac:dyDescent="0.3">
      <c r="A1643" s="2" t="s">
        <v>2028</v>
      </c>
      <c r="B1643" s="2" t="s">
        <v>449</v>
      </c>
      <c r="C1643" s="3">
        <v>45907.163888888892</v>
      </c>
      <c r="D1643" s="2" t="s">
        <v>13</v>
      </c>
      <c r="E1643" s="4">
        <v>2675.85</v>
      </c>
      <c r="F1643" s="2" t="s">
        <v>14</v>
      </c>
      <c r="G1643" s="5">
        <v>44</v>
      </c>
      <c r="H1643" s="2" t="s">
        <v>29</v>
      </c>
      <c r="I1643" s="2" t="s">
        <v>34</v>
      </c>
      <c r="J1643" s="2" t="s">
        <v>52</v>
      </c>
      <c r="K1643" s="2" t="s">
        <v>22</v>
      </c>
    </row>
    <row r="1644" spans="1:11" x14ac:dyDescent="0.3">
      <c r="A1644" s="2" t="s">
        <v>2029</v>
      </c>
      <c r="B1644" s="2" t="s">
        <v>403</v>
      </c>
      <c r="C1644" s="3">
        <v>45868.584722222222</v>
      </c>
      <c r="D1644" s="2" t="s">
        <v>33</v>
      </c>
      <c r="E1644" s="4">
        <v>13229.57</v>
      </c>
      <c r="F1644" s="2" t="s">
        <v>57</v>
      </c>
      <c r="G1644" s="5">
        <v>31</v>
      </c>
      <c r="H1644" s="2" t="s">
        <v>15</v>
      </c>
      <c r="I1644" s="2" t="s">
        <v>34</v>
      </c>
      <c r="J1644" s="2" t="s">
        <v>52</v>
      </c>
      <c r="K1644" s="2" t="s">
        <v>18</v>
      </c>
    </row>
    <row r="1645" spans="1:11" x14ac:dyDescent="0.3">
      <c r="A1645" s="2" t="s">
        <v>2030</v>
      </c>
      <c r="B1645" s="2" t="s">
        <v>163</v>
      </c>
      <c r="C1645" s="3">
        <v>45690.361805555563</v>
      </c>
      <c r="D1645" s="2" t="s">
        <v>28</v>
      </c>
      <c r="E1645" s="4">
        <v>7605.42</v>
      </c>
      <c r="F1645" s="2" t="s">
        <v>14</v>
      </c>
      <c r="G1645" s="5">
        <v>31</v>
      </c>
      <c r="H1645" s="2" t="s">
        <v>29</v>
      </c>
      <c r="I1645" s="2" t="s">
        <v>25</v>
      </c>
      <c r="J1645" s="2" t="s">
        <v>49</v>
      </c>
      <c r="K1645" s="2" t="s">
        <v>35</v>
      </c>
    </row>
    <row r="1646" spans="1:11" x14ac:dyDescent="0.3">
      <c r="A1646" s="2" t="s">
        <v>2031</v>
      </c>
      <c r="B1646" s="2" t="s">
        <v>431</v>
      </c>
      <c r="C1646" s="3">
        <v>45818.03125</v>
      </c>
      <c r="D1646" s="2" t="s">
        <v>28</v>
      </c>
      <c r="E1646" s="4">
        <v>9097.09</v>
      </c>
      <c r="F1646" s="2" t="s">
        <v>14</v>
      </c>
      <c r="G1646" s="5">
        <v>51</v>
      </c>
      <c r="H1646" s="2" t="s">
        <v>15</v>
      </c>
      <c r="I1646" s="2" t="s">
        <v>21</v>
      </c>
      <c r="J1646" s="2" t="s">
        <v>49</v>
      </c>
      <c r="K1646" s="2" t="s">
        <v>45</v>
      </c>
    </row>
    <row r="1647" spans="1:11" x14ac:dyDescent="0.3">
      <c r="A1647" s="2" t="s">
        <v>2032</v>
      </c>
      <c r="B1647" s="2" t="s">
        <v>152</v>
      </c>
      <c r="C1647" s="3">
        <v>46005.700694444437</v>
      </c>
      <c r="D1647" s="2" t="s">
        <v>38</v>
      </c>
      <c r="E1647" s="4">
        <v>2472.54</v>
      </c>
      <c r="F1647" s="2" t="s">
        <v>57</v>
      </c>
      <c r="G1647" s="5">
        <v>31</v>
      </c>
      <c r="H1647" s="2" t="s">
        <v>15</v>
      </c>
      <c r="I1647" s="2" t="s">
        <v>34</v>
      </c>
      <c r="J1647" s="2" t="s">
        <v>49</v>
      </c>
      <c r="K1647" s="2" t="s">
        <v>35</v>
      </c>
    </row>
    <row r="1648" spans="1:11" x14ac:dyDescent="0.3">
      <c r="A1648" s="2" t="s">
        <v>2033</v>
      </c>
      <c r="B1648" s="2" t="s">
        <v>947</v>
      </c>
      <c r="C1648" s="3">
        <v>45953.98333333333</v>
      </c>
      <c r="D1648" s="2" t="s">
        <v>33</v>
      </c>
      <c r="E1648" s="4">
        <v>6280.56</v>
      </c>
      <c r="F1648" s="2" t="s">
        <v>14</v>
      </c>
      <c r="G1648" s="5">
        <v>25</v>
      </c>
      <c r="H1648" s="2" t="s">
        <v>29</v>
      </c>
      <c r="I1648" s="2" t="s">
        <v>34</v>
      </c>
      <c r="J1648" s="2" t="s">
        <v>17</v>
      </c>
      <c r="K1648" s="2" t="s">
        <v>45</v>
      </c>
    </row>
    <row r="1649" spans="1:11" x14ac:dyDescent="0.3">
      <c r="A1649" s="2" t="s">
        <v>2034</v>
      </c>
      <c r="B1649" s="2" t="s">
        <v>1077</v>
      </c>
      <c r="C1649" s="3">
        <v>45772.913194444453</v>
      </c>
      <c r="D1649" s="2" t="s">
        <v>38</v>
      </c>
      <c r="E1649" s="4">
        <v>2056.79</v>
      </c>
      <c r="F1649" s="2" t="s">
        <v>14</v>
      </c>
      <c r="G1649" s="5">
        <v>30</v>
      </c>
      <c r="H1649" s="2" t="s">
        <v>29</v>
      </c>
      <c r="I1649" s="2" t="s">
        <v>60</v>
      </c>
      <c r="J1649" s="2" t="s">
        <v>49</v>
      </c>
      <c r="K1649" s="2" t="s">
        <v>18</v>
      </c>
    </row>
    <row r="1650" spans="1:11" x14ac:dyDescent="0.3">
      <c r="A1650" s="2" t="s">
        <v>2035</v>
      </c>
      <c r="B1650" s="2" t="s">
        <v>853</v>
      </c>
      <c r="C1650" s="3">
        <v>45831.689583333333</v>
      </c>
      <c r="D1650" s="2" t="s">
        <v>38</v>
      </c>
      <c r="E1650" s="4">
        <v>8956.1</v>
      </c>
      <c r="F1650" s="2" t="s">
        <v>14</v>
      </c>
      <c r="G1650" s="5">
        <v>45</v>
      </c>
      <c r="H1650" s="2" t="s">
        <v>29</v>
      </c>
      <c r="I1650" s="2" t="s">
        <v>34</v>
      </c>
      <c r="J1650" s="2" t="s">
        <v>49</v>
      </c>
      <c r="K1650" s="2" t="s">
        <v>35</v>
      </c>
    </row>
    <row r="1651" spans="1:11" x14ac:dyDescent="0.3">
      <c r="A1651" s="2" t="s">
        <v>2036</v>
      </c>
      <c r="B1651" s="2" t="s">
        <v>2037</v>
      </c>
      <c r="C1651" s="3">
        <v>46010.943749999999</v>
      </c>
      <c r="D1651" s="2" t="s">
        <v>13</v>
      </c>
      <c r="E1651" s="4">
        <v>636.42999999999995</v>
      </c>
      <c r="F1651" s="2" t="s">
        <v>14</v>
      </c>
      <c r="G1651" s="5">
        <v>46</v>
      </c>
      <c r="H1651" s="2" t="s">
        <v>29</v>
      </c>
      <c r="I1651" s="2" t="s">
        <v>60</v>
      </c>
      <c r="J1651" s="2" t="s">
        <v>17</v>
      </c>
      <c r="K1651" s="2" t="s">
        <v>18</v>
      </c>
    </row>
    <row r="1652" spans="1:11" x14ac:dyDescent="0.3">
      <c r="A1652" s="2" t="s">
        <v>2038</v>
      </c>
      <c r="B1652" s="2" t="s">
        <v>343</v>
      </c>
      <c r="C1652" s="3">
        <v>45706.570833333331</v>
      </c>
      <c r="D1652" s="2" t="s">
        <v>154</v>
      </c>
      <c r="E1652" s="4">
        <v>20000</v>
      </c>
      <c r="F1652" s="2" t="s">
        <v>14</v>
      </c>
      <c r="G1652" s="5">
        <v>38</v>
      </c>
      <c r="H1652" s="2" t="s">
        <v>15</v>
      </c>
      <c r="I1652" s="2" t="s">
        <v>34</v>
      </c>
      <c r="J1652" s="2" t="s">
        <v>17</v>
      </c>
      <c r="K1652" s="2" t="s">
        <v>35</v>
      </c>
    </row>
    <row r="1653" spans="1:11" x14ac:dyDescent="0.3">
      <c r="A1653" s="2" t="s">
        <v>2039</v>
      </c>
      <c r="B1653" s="2" t="s">
        <v>617</v>
      </c>
      <c r="C1653" s="3">
        <v>45785.640277777777</v>
      </c>
      <c r="D1653" s="2" t="s">
        <v>38</v>
      </c>
      <c r="E1653" s="4">
        <v>21439.05</v>
      </c>
      <c r="F1653" s="2" t="s">
        <v>14</v>
      </c>
      <c r="G1653" s="5">
        <v>22</v>
      </c>
      <c r="H1653" s="2" t="s">
        <v>15</v>
      </c>
      <c r="I1653" s="2" t="s">
        <v>34</v>
      </c>
      <c r="J1653" s="2" t="s">
        <v>44</v>
      </c>
      <c r="K1653" s="2" t="s">
        <v>35</v>
      </c>
    </row>
    <row r="1654" spans="1:11" x14ac:dyDescent="0.3">
      <c r="A1654" s="2" t="s">
        <v>2040</v>
      </c>
      <c r="B1654" s="2" t="s">
        <v>834</v>
      </c>
      <c r="C1654" s="3">
        <v>45997.90347222222</v>
      </c>
      <c r="D1654" s="2" t="s">
        <v>28</v>
      </c>
      <c r="E1654" s="4">
        <v>18569.64</v>
      </c>
      <c r="F1654" s="2" t="s">
        <v>14</v>
      </c>
      <c r="G1654" s="5">
        <v>28</v>
      </c>
      <c r="H1654" s="2" t="s">
        <v>29</v>
      </c>
      <c r="I1654" s="2" t="s">
        <v>34</v>
      </c>
      <c r="J1654" s="2" t="s">
        <v>17</v>
      </c>
      <c r="K1654" s="2" t="s">
        <v>18</v>
      </c>
    </row>
    <row r="1655" spans="1:11" x14ac:dyDescent="0.3">
      <c r="A1655" s="2" t="s">
        <v>2041</v>
      </c>
      <c r="B1655" s="2" t="s">
        <v>317</v>
      </c>
      <c r="C1655" s="3">
        <v>45855.203472222223</v>
      </c>
      <c r="D1655" s="2" t="s">
        <v>33</v>
      </c>
      <c r="E1655" s="4">
        <v>8941.99</v>
      </c>
      <c r="F1655" s="2" t="s">
        <v>14</v>
      </c>
      <c r="G1655" s="5">
        <v>55</v>
      </c>
      <c r="H1655" s="2" t="s">
        <v>15</v>
      </c>
      <c r="I1655" s="2" t="s">
        <v>34</v>
      </c>
      <c r="J1655" s="2" t="s">
        <v>49</v>
      </c>
      <c r="K1655" s="2" t="s">
        <v>45</v>
      </c>
    </row>
    <row r="1656" spans="1:11" x14ac:dyDescent="0.3">
      <c r="A1656" s="2" t="s">
        <v>2042</v>
      </c>
      <c r="B1656" s="2" t="s">
        <v>917</v>
      </c>
      <c r="C1656" s="3">
        <v>45943.793749999997</v>
      </c>
      <c r="D1656" s="2" t="s">
        <v>13</v>
      </c>
      <c r="E1656" s="4">
        <v>2711.66</v>
      </c>
      <c r="F1656" s="2" t="s">
        <v>14</v>
      </c>
      <c r="G1656" s="5">
        <v>38</v>
      </c>
      <c r="H1656" s="2" t="s">
        <v>29</v>
      </c>
      <c r="I1656" s="2" t="s">
        <v>95</v>
      </c>
      <c r="J1656" s="2" t="s">
        <v>49</v>
      </c>
      <c r="K1656" s="2" t="s">
        <v>45</v>
      </c>
    </row>
    <row r="1657" spans="1:11" x14ac:dyDescent="0.3">
      <c r="A1657" s="2" t="s">
        <v>2043</v>
      </c>
      <c r="B1657" s="2" t="s">
        <v>740</v>
      </c>
      <c r="C1657" s="3">
        <v>45663.874305555553</v>
      </c>
      <c r="D1657" s="2" t="s">
        <v>28</v>
      </c>
      <c r="E1657" s="4">
        <v>11048.24</v>
      </c>
      <c r="F1657" s="2" t="s">
        <v>14</v>
      </c>
      <c r="G1657" s="5">
        <v>44</v>
      </c>
      <c r="H1657" s="2" t="s">
        <v>29</v>
      </c>
      <c r="I1657" s="2" t="s">
        <v>95</v>
      </c>
      <c r="J1657" s="2" t="s">
        <v>44</v>
      </c>
      <c r="K1657" s="2" t="s">
        <v>45</v>
      </c>
    </row>
    <row r="1658" spans="1:11" x14ac:dyDescent="0.3">
      <c r="A1658" s="2" t="s">
        <v>2044</v>
      </c>
      <c r="B1658" s="2" t="s">
        <v>485</v>
      </c>
      <c r="C1658" s="3">
        <v>45738.70416666667</v>
      </c>
      <c r="D1658" s="2" t="s">
        <v>13</v>
      </c>
      <c r="E1658" s="4">
        <v>447.27</v>
      </c>
      <c r="F1658" s="2" t="s">
        <v>14</v>
      </c>
      <c r="G1658" s="5">
        <v>20</v>
      </c>
      <c r="H1658" s="2" t="s">
        <v>15</v>
      </c>
      <c r="I1658" s="2" t="s">
        <v>60</v>
      </c>
      <c r="J1658" s="2" t="s">
        <v>17</v>
      </c>
      <c r="K1658" s="2" t="s">
        <v>35</v>
      </c>
    </row>
    <row r="1659" spans="1:11" x14ac:dyDescent="0.3">
      <c r="A1659" s="2" t="s">
        <v>2045</v>
      </c>
      <c r="B1659" s="2" t="s">
        <v>1424</v>
      </c>
      <c r="C1659" s="3">
        <v>45898.663194444453</v>
      </c>
      <c r="D1659" s="2" t="s">
        <v>33</v>
      </c>
      <c r="E1659" s="4">
        <v>5572.74</v>
      </c>
      <c r="F1659" s="2" t="s">
        <v>14</v>
      </c>
      <c r="G1659" s="5">
        <v>37</v>
      </c>
      <c r="H1659" s="2" t="s">
        <v>29</v>
      </c>
      <c r="I1659" s="2" t="s">
        <v>95</v>
      </c>
      <c r="J1659" s="2" t="s">
        <v>49</v>
      </c>
      <c r="K1659" s="2" t="s">
        <v>45</v>
      </c>
    </row>
    <row r="1660" spans="1:11" x14ac:dyDescent="0.3">
      <c r="A1660" s="2" t="s">
        <v>2046</v>
      </c>
      <c r="B1660" s="2" t="s">
        <v>167</v>
      </c>
      <c r="C1660" s="3">
        <v>45742.116666666669</v>
      </c>
      <c r="D1660" s="2" t="s">
        <v>154</v>
      </c>
      <c r="E1660" s="4">
        <v>10000</v>
      </c>
      <c r="F1660" s="2" t="s">
        <v>14</v>
      </c>
      <c r="G1660" s="5">
        <v>24</v>
      </c>
      <c r="H1660" s="2" t="s">
        <v>29</v>
      </c>
      <c r="I1660" s="2" t="s">
        <v>34</v>
      </c>
      <c r="J1660" s="2" t="s">
        <v>44</v>
      </c>
      <c r="K1660" s="2" t="s">
        <v>18</v>
      </c>
    </row>
    <row r="1661" spans="1:11" x14ac:dyDescent="0.3">
      <c r="A1661" s="2" t="s">
        <v>2047</v>
      </c>
      <c r="B1661" s="2" t="s">
        <v>585</v>
      </c>
      <c r="C1661" s="3">
        <v>45909.427083333343</v>
      </c>
      <c r="D1661" s="2" t="s">
        <v>13</v>
      </c>
      <c r="E1661" s="4">
        <v>3029.27</v>
      </c>
      <c r="F1661" s="2" t="s">
        <v>14</v>
      </c>
      <c r="G1661" s="5">
        <v>25</v>
      </c>
      <c r="H1661" s="2" t="s">
        <v>15</v>
      </c>
      <c r="I1661" s="2" t="s">
        <v>95</v>
      </c>
      <c r="J1661" s="2" t="s">
        <v>49</v>
      </c>
      <c r="K1661" s="2" t="s">
        <v>35</v>
      </c>
    </row>
    <row r="1662" spans="1:11" x14ac:dyDescent="0.3">
      <c r="A1662" s="2" t="s">
        <v>2048</v>
      </c>
      <c r="B1662" s="2" t="s">
        <v>1424</v>
      </c>
      <c r="C1662" s="3">
        <v>45827.335416666669</v>
      </c>
      <c r="D1662" s="2" t="s">
        <v>28</v>
      </c>
      <c r="E1662" s="4">
        <v>47444.56</v>
      </c>
      <c r="F1662" s="2" t="s">
        <v>14</v>
      </c>
      <c r="G1662" s="5">
        <v>37</v>
      </c>
      <c r="H1662" s="2" t="s">
        <v>29</v>
      </c>
      <c r="I1662" s="2" t="s">
        <v>95</v>
      </c>
      <c r="J1662" s="2" t="s">
        <v>49</v>
      </c>
      <c r="K1662" s="2" t="s">
        <v>22</v>
      </c>
    </row>
    <row r="1663" spans="1:11" x14ac:dyDescent="0.3">
      <c r="A1663" s="2" t="s">
        <v>2049</v>
      </c>
      <c r="B1663" s="2" t="s">
        <v>969</v>
      </c>
      <c r="C1663" s="3">
        <v>45917.315972222219</v>
      </c>
      <c r="D1663" s="2" t="s">
        <v>28</v>
      </c>
      <c r="E1663" s="4">
        <v>17560.3</v>
      </c>
      <c r="F1663" s="2" t="s">
        <v>14</v>
      </c>
      <c r="G1663" s="5">
        <v>60</v>
      </c>
      <c r="H1663" s="2" t="s">
        <v>15</v>
      </c>
      <c r="I1663" s="2" t="s">
        <v>21</v>
      </c>
      <c r="J1663" s="2" t="s">
        <v>17</v>
      </c>
      <c r="K1663" s="2" t="s">
        <v>45</v>
      </c>
    </row>
    <row r="1664" spans="1:11" x14ac:dyDescent="0.3">
      <c r="A1664" s="2" t="s">
        <v>2050</v>
      </c>
      <c r="B1664" s="2" t="s">
        <v>372</v>
      </c>
      <c r="C1664" s="3">
        <v>45987.517361111109</v>
      </c>
      <c r="D1664" s="2" t="s">
        <v>13</v>
      </c>
      <c r="E1664" s="4">
        <v>2866.86</v>
      </c>
      <c r="F1664" s="2" t="s">
        <v>14</v>
      </c>
      <c r="G1664" s="5">
        <v>28</v>
      </c>
      <c r="H1664" s="2" t="s">
        <v>29</v>
      </c>
      <c r="I1664" s="2" t="s">
        <v>25</v>
      </c>
      <c r="J1664" s="2" t="s">
        <v>17</v>
      </c>
      <c r="K1664" s="2" t="s">
        <v>18</v>
      </c>
    </row>
    <row r="1665" spans="1:11" x14ac:dyDescent="0.3">
      <c r="A1665" s="2" t="s">
        <v>2051</v>
      </c>
      <c r="B1665" s="2" t="s">
        <v>336</v>
      </c>
      <c r="C1665" s="3">
        <v>45778.103472222218</v>
      </c>
      <c r="D1665" s="2" t="s">
        <v>13</v>
      </c>
      <c r="E1665" s="4">
        <v>833.04</v>
      </c>
      <c r="F1665" s="2" t="s">
        <v>14</v>
      </c>
      <c r="G1665" s="5">
        <v>32</v>
      </c>
      <c r="H1665" s="2" t="s">
        <v>29</v>
      </c>
      <c r="I1665" s="2" t="s">
        <v>78</v>
      </c>
      <c r="J1665" s="2" t="s">
        <v>52</v>
      </c>
      <c r="K1665" s="2" t="s">
        <v>18</v>
      </c>
    </row>
    <row r="1666" spans="1:11" x14ac:dyDescent="0.3">
      <c r="A1666" s="2" t="s">
        <v>2052</v>
      </c>
      <c r="B1666" s="2" t="s">
        <v>730</v>
      </c>
      <c r="C1666" s="3">
        <v>45885.769444444442</v>
      </c>
      <c r="D1666" s="2" t="s">
        <v>33</v>
      </c>
      <c r="E1666" s="4">
        <v>8717.49</v>
      </c>
      <c r="F1666" s="2" t="s">
        <v>14</v>
      </c>
      <c r="G1666" s="5">
        <v>40</v>
      </c>
      <c r="H1666" s="2" t="s">
        <v>15</v>
      </c>
      <c r="I1666" s="2" t="s">
        <v>34</v>
      </c>
      <c r="J1666" s="2" t="s">
        <v>17</v>
      </c>
      <c r="K1666" s="2" t="s">
        <v>18</v>
      </c>
    </row>
    <row r="1667" spans="1:11" x14ac:dyDescent="0.3">
      <c r="A1667" s="2" t="s">
        <v>2053</v>
      </c>
      <c r="B1667" s="2" t="s">
        <v>837</v>
      </c>
      <c r="C1667" s="3">
        <v>45703.644444444442</v>
      </c>
      <c r="D1667" s="2" t="s">
        <v>28</v>
      </c>
      <c r="E1667" s="4">
        <v>3369.11</v>
      </c>
      <c r="F1667" s="2" t="s">
        <v>14</v>
      </c>
      <c r="G1667" s="5">
        <v>37</v>
      </c>
      <c r="H1667" s="2" t="s">
        <v>15</v>
      </c>
      <c r="I1667" s="2" t="s">
        <v>78</v>
      </c>
      <c r="J1667" s="2" t="s">
        <v>17</v>
      </c>
      <c r="K1667" s="2" t="s">
        <v>18</v>
      </c>
    </row>
    <row r="1668" spans="1:11" x14ac:dyDescent="0.3">
      <c r="A1668" s="2" t="s">
        <v>2054</v>
      </c>
      <c r="B1668" s="2" t="s">
        <v>834</v>
      </c>
      <c r="C1668" s="3">
        <v>45819.146527777782</v>
      </c>
      <c r="D1668" s="2" t="s">
        <v>28</v>
      </c>
      <c r="E1668" s="4">
        <v>22478.07</v>
      </c>
      <c r="F1668" s="2" t="s">
        <v>14</v>
      </c>
      <c r="G1668" s="5">
        <v>28</v>
      </c>
      <c r="H1668" s="2" t="s">
        <v>29</v>
      </c>
      <c r="I1668" s="2" t="s">
        <v>34</v>
      </c>
      <c r="J1668" s="2" t="s">
        <v>17</v>
      </c>
      <c r="K1668" s="2" t="s">
        <v>35</v>
      </c>
    </row>
    <row r="1669" spans="1:11" x14ac:dyDescent="0.3">
      <c r="A1669" s="2" t="s">
        <v>2055</v>
      </c>
      <c r="B1669" s="2" t="s">
        <v>494</v>
      </c>
      <c r="C1669" s="3">
        <v>45992.004166666673</v>
      </c>
      <c r="D1669" s="2" t="s">
        <v>28</v>
      </c>
      <c r="E1669" s="4">
        <v>1064.27</v>
      </c>
      <c r="F1669" s="2" t="s">
        <v>14</v>
      </c>
      <c r="G1669" s="5">
        <v>42</v>
      </c>
      <c r="H1669" s="2" t="s">
        <v>29</v>
      </c>
      <c r="I1669" s="2" t="s">
        <v>34</v>
      </c>
      <c r="J1669" s="2" t="s">
        <v>17</v>
      </c>
      <c r="K1669" s="2" t="s">
        <v>45</v>
      </c>
    </row>
    <row r="1670" spans="1:11" x14ac:dyDescent="0.3">
      <c r="A1670" s="2" t="s">
        <v>2056</v>
      </c>
      <c r="B1670" s="2" t="s">
        <v>494</v>
      </c>
      <c r="C1670" s="3">
        <v>45864.543055555558</v>
      </c>
      <c r="D1670" s="2" t="s">
        <v>13</v>
      </c>
      <c r="E1670" s="4">
        <v>464.5</v>
      </c>
      <c r="F1670" s="2" t="s">
        <v>14</v>
      </c>
      <c r="G1670" s="5">
        <v>42</v>
      </c>
      <c r="H1670" s="2" t="s">
        <v>29</v>
      </c>
      <c r="I1670" s="2" t="s">
        <v>34</v>
      </c>
      <c r="J1670" s="2" t="s">
        <v>17</v>
      </c>
      <c r="K1670" s="2" t="s">
        <v>18</v>
      </c>
    </row>
    <row r="1671" spans="1:11" x14ac:dyDescent="0.3">
      <c r="A1671" s="2" t="s">
        <v>2057</v>
      </c>
      <c r="B1671" s="2" t="s">
        <v>71</v>
      </c>
      <c r="C1671" s="3">
        <v>45943.708333333343</v>
      </c>
      <c r="D1671" s="2" t="s">
        <v>28</v>
      </c>
      <c r="E1671" s="4">
        <v>65667.360000000001</v>
      </c>
      <c r="F1671" s="2" t="s">
        <v>14</v>
      </c>
      <c r="G1671" s="5">
        <v>42</v>
      </c>
      <c r="H1671" s="2" t="s">
        <v>15</v>
      </c>
      <c r="I1671" s="2" t="s">
        <v>60</v>
      </c>
      <c r="J1671" s="2" t="s">
        <v>17</v>
      </c>
      <c r="K1671" s="2" t="s">
        <v>35</v>
      </c>
    </row>
    <row r="1672" spans="1:11" x14ac:dyDescent="0.3">
      <c r="A1672" s="2" t="s">
        <v>2058</v>
      </c>
      <c r="B1672" s="2" t="s">
        <v>532</v>
      </c>
      <c r="C1672" s="3">
        <v>45704.818749999999</v>
      </c>
      <c r="D1672" s="2" t="s">
        <v>13</v>
      </c>
      <c r="E1672" s="4">
        <v>3290.39</v>
      </c>
      <c r="F1672" s="2" t="s">
        <v>14</v>
      </c>
      <c r="G1672" s="5">
        <v>37</v>
      </c>
      <c r="H1672" s="2" t="s">
        <v>15</v>
      </c>
      <c r="I1672" s="2" t="s">
        <v>34</v>
      </c>
      <c r="J1672" s="2" t="s">
        <v>49</v>
      </c>
      <c r="K1672" s="2" t="s">
        <v>22</v>
      </c>
    </row>
    <row r="1673" spans="1:11" x14ac:dyDescent="0.3">
      <c r="A1673" s="2" t="s">
        <v>2059</v>
      </c>
      <c r="B1673" s="2" t="s">
        <v>325</v>
      </c>
      <c r="C1673" s="3">
        <v>45984.413888888892</v>
      </c>
      <c r="D1673" s="2" t="s">
        <v>28</v>
      </c>
      <c r="E1673" s="4">
        <v>20632.240000000002</v>
      </c>
      <c r="F1673" s="2" t="s">
        <v>14</v>
      </c>
      <c r="G1673" s="5">
        <v>48</v>
      </c>
      <c r="H1673" s="2" t="s">
        <v>15</v>
      </c>
      <c r="I1673" s="2" t="s">
        <v>34</v>
      </c>
      <c r="J1673" s="2" t="s">
        <v>17</v>
      </c>
      <c r="K1673" s="2" t="s">
        <v>22</v>
      </c>
    </row>
    <row r="1674" spans="1:11" x14ac:dyDescent="0.3">
      <c r="A1674" s="2" t="s">
        <v>2060</v>
      </c>
      <c r="B1674" s="2" t="s">
        <v>980</v>
      </c>
      <c r="C1674" s="3">
        <v>45918.717361111107</v>
      </c>
      <c r="D1674" s="2" t="s">
        <v>33</v>
      </c>
      <c r="E1674" s="4">
        <v>10233.39</v>
      </c>
      <c r="F1674" s="2" t="s">
        <v>14</v>
      </c>
      <c r="G1674" s="5">
        <v>43</v>
      </c>
      <c r="H1674" s="2" t="s">
        <v>15</v>
      </c>
      <c r="I1674" s="2" t="s">
        <v>78</v>
      </c>
      <c r="J1674" s="2" t="s">
        <v>17</v>
      </c>
      <c r="K1674" s="2" t="s">
        <v>18</v>
      </c>
    </row>
    <row r="1675" spans="1:11" x14ac:dyDescent="0.3">
      <c r="A1675" s="2" t="s">
        <v>2061</v>
      </c>
      <c r="B1675" s="2" t="s">
        <v>311</v>
      </c>
      <c r="C1675" s="3">
        <v>45993.895138888889</v>
      </c>
      <c r="D1675" s="2" t="s">
        <v>33</v>
      </c>
      <c r="E1675" s="4">
        <v>20981.040000000001</v>
      </c>
      <c r="F1675" s="2" t="s">
        <v>14</v>
      </c>
      <c r="G1675" s="5">
        <v>56</v>
      </c>
      <c r="H1675" s="2" t="s">
        <v>29</v>
      </c>
      <c r="I1675" s="2" t="s">
        <v>60</v>
      </c>
      <c r="J1675" s="2" t="s">
        <v>49</v>
      </c>
      <c r="K1675" s="2" t="s">
        <v>18</v>
      </c>
    </row>
    <row r="1676" spans="1:11" x14ac:dyDescent="0.3">
      <c r="A1676" s="2" t="s">
        <v>2062</v>
      </c>
      <c r="B1676" s="2" t="s">
        <v>20</v>
      </c>
      <c r="C1676" s="3">
        <v>45832.494444444441</v>
      </c>
      <c r="D1676" s="2" t="s">
        <v>38</v>
      </c>
      <c r="E1676" s="4">
        <v>14679.88</v>
      </c>
      <c r="F1676" s="2" t="s">
        <v>57</v>
      </c>
      <c r="G1676" s="5">
        <v>43</v>
      </c>
      <c r="H1676" s="2" t="s">
        <v>15</v>
      </c>
      <c r="I1676" s="2" t="s">
        <v>21</v>
      </c>
      <c r="J1676" s="2" t="s">
        <v>17</v>
      </c>
      <c r="K1676" s="2" t="s">
        <v>45</v>
      </c>
    </row>
    <row r="1677" spans="1:11" x14ac:dyDescent="0.3">
      <c r="A1677" s="2" t="s">
        <v>2063</v>
      </c>
      <c r="B1677" s="2" t="s">
        <v>105</v>
      </c>
      <c r="C1677" s="3">
        <v>45685.32916666667</v>
      </c>
      <c r="D1677" s="2" t="s">
        <v>28</v>
      </c>
      <c r="E1677" s="4">
        <v>7696.05</v>
      </c>
      <c r="F1677" s="2" t="s">
        <v>14</v>
      </c>
      <c r="G1677" s="5">
        <v>42</v>
      </c>
      <c r="H1677" s="2" t="s">
        <v>15</v>
      </c>
      <c r="I1677" s="2" t="s">
        <v>34</v>
      </c>
      <c r="J1677" s="2" t="s">
        <v>49</v>
      </c>
      <c r="K1677" s="2" t="s">
        <v>18</v>
      </c>
    </row>
    <row r="1678" spans="1:11" x14ac:dyDescent="0.3">
      <c r="A1678" s="2" t="s">
        <v>2064</v>
      </c>
      <c r="B1678" s="2" t="s">
        <v>140</v>
      </c>
      <c r="C1678" s="3">
        <v>45890.440972222219</v>
      </c>
      <c r="D1678" s="2" t="s">
        <v>28</v>
      </c>
      <c r="E1678" s="4">
        <v>29137.19</v>
      </c>
      <c r="F1678" s="2" t="s">
        <v>57</v>
      </c>
      <c r="G1678" s="5">
        <v>49</v>
      </c>
      <c r="H1678" s="2" t="s">
        <v>15</v>
      </c>
      <c r="I1678" s="2" t="s">
        <v>21</v>
      </c>
      <c r="J1678" s="2" t="s">
        <v>44</v>
      </c>
      <c r="K1678" s="2" t="s">
        <v>18</v>
      </c>
    </row>
    <row r="1679" spans="1:11" x14ac:dyDescent="0.3">
      <c r="A1679" s="2" t="s">
        <v>2065</v>
      </c>
      <c r="B1679" s="2" t="s">
        <v>829</v>
      </c>
      <c r="C1679" s="3">
        <v>45975.8125</v>
      </c>
      <c r="D1679" s="2" t="s">
        <v>13</v>
      </c>
      <c r="E1679" s="4">
        <v>798.14</v>
      </c>
      <c r="F1679" s="2" t="s">
        <v>14</v>
      </c>
      <c r="G1679" s="5">
        <v>43</v>
      </c>
      <c r="H1679" s="2" t="s">
        <v>15</v>
      </c>
      <c r="I1679" s="2" t="s">
        <v>25</v>
      </c>
      <c r="J1679" s="2" t="s">
        <v>52</v>
      </c>
      <c r="K1679" s="2" t="s">
        <v>35</v>
      </c>
    </row>
    <row r="1680" spans="1:11" x14ac:dyDescent="0.3">
      <c r="A1680" s="2" t="s">
        <v>2066</v>
      </c>
      <c r="B1680" s="2" t="s">
        <v>148</v>
      </c>
      <c r="C1680" s="3">
        <v>45994.489583333343</v>
      </c>
      <c r="D1680" s="2" t="s">
        <v>28</v>
      </c>
      <c r="E1680" s="4">
        <v>3813.24</v>
      </c>
      <c r="F1680" s="2" t="s">
        <v>14</v>
      </c>
      <c r="G1680" s="5">
        <v>56</v>
      </c>
      <c r="H1680" s="2" t="s">
        <v>29</v>
      </c>
      <c r="I1680" s="2" t="s">
        <v>43</v>
      </c>
      <c r="J1680" s="2" t="s">
        <v>17</v>
      </c>
      <c r="K1680" s="2" t="s">
        <v>45</v>
      </c>
    </row>
    <row r="1681" spans="1:11" x14ac:dyDescent="0.3">
      <c r="A1681" s="2" t="s">
        <v>2067</v>
      </c>
      <c r="B1681" s="2" t="s">
        <v>500</v>
      </c>
      <c r="C1681" s="3">
        <v>45889.129166666673</v>
      </c>
      <c r="D1681" s="2" t="s">
        <v>33</v>
      </c>
      <c r="E1681" s="4">
        <v>19260.03</v>
      </c>
      <c r="F1681" s="2" t="s">
        <v>14</v>
      </c>
      <c r="G1681" s="5">
        <v>27</v>
      </c>
      <c r="H1681" s="2" t="s">
        <v>15</v>
      </c>
      <c r="I1681" s="2" t="s">
        <v>60</v>
      </c>
      <c r="J1681" s="2" t="s">
        <v>44</v>
      </c>
      <c r="K1681" s="2" t="s">
        <v>18</v>
      </c>
    </row>
    <row r="1682" spans="1:11" x14ac:dyDescent="0.3">
      <c r="A1682" s="2" t="s">
        <v>2068</v>
      </c>
      <c r="B1682" s="2" t="s">
        <v>244</v>
      </c>
      <c r="C1682" s="3">
        <v>45995.291666666657</v>
      </c>
      <c r="D1682" s="2" t="s">
        <v>28</v>
      </c>
      <c r="E1682" s="4">
        <v>19310.96</v>
      </c>
      <c r="F1682" s="2" t="s">
        <v>14</v>
      </c>
      <c r="G1682" s="5">
        <v>49</v>
      </c>
      <c r="H1682" s="2" t="s">
        <v>29</v>
      </c>
      <c r="I1682" s="2" t="s">
        <v>16</v>
      </c>
      <c r="J1682" s="2" t="s">
        <v>17</v>
      </c>
      <c r="K1682" s="2" t="s">
        <v>18</v>
      </c>
    </row>
    <row r="1683" spans="1:11" x14ac:dyDescent="0.3">
      <c r="A1683" s="2" t="s">
        <v>2069</v>
      </c>
      <c r="B1683" s="2" t="s">
        <v>275</v>
      </c>
      <c r="C1683" s="3">
        <v>45832.495138888888</v>
      </c>
      <c r="D1683" s="2" t="s">
        <v>13</v>
      </c>
      <c r="E1683" s="4">
        <v>1134.81</v>
      </c>
      <c r="F1683" s="2" t="s">
        <v>14</v>
      </c>
      <c r="G1683" s="5">
        <v>29</v>
      </c>
      <c r="H1683" s="2" t="s">
        <v>15</v>
      </c>
      <c r="I1683" s="2" t="s">
        <v>34</v>
      </c>
      <c r="J1683" s="2" t="s">
        <v>49</v>
      </c>
      <c r="K1683" s="2" t="s">
        <v>18</v>
      </c>
    </row>
    <row r="1684" spans="1:11" x14ac:dyDescent="0.3">
      <c r="A1684" s="2" t="s">
        <v>2070</v>
      </c>
      <c r="B1684" s="2" t="s">
        <v>97</v>
      </c>
      <c r="C1684" s="3">
        <v>45982.399305555547</v>
      </c>
      <c r="D1684" s="2" t="s">
        <v>13</v>
      </c>
      <c r="E1684" s="4">
        <v>2502.59</v>
      </c>
      <c r="F1684" s="2" t="s">
        <v>57</v>
      </c>
      <c r="G1684" s="5">
        <v>31</v>
      </c>
      <c r="H1684" s="2" t="s">
        <v>15</v>
      </c>
      <c r="I1684" s="2" t="s">
        <v>25</v>
      </c>
      <c r="J1684" s="2" t="s">
        <v>17</v>
      </c>
      <c r="K1684" s="2" t="s">
        <v>18</v>
      </c>
    </row>
    <row r="1685" spans="1:11" x14ac:dyDescent="0.3">
      <c r="A1685" s="2" t="s">
        <v>2071</v>
      </c>
      <c r="B1685" s="2" t="s">
        <v>393</v>
      </c>
      <c r="C1685" s="3">
        <v>45925.488888888889</v>
      </c>
      <c r="D1685" s="2" t="s">
        <v>33</v>
      </c>
      <c r="E1685" s="4">
        <v>1142.79</v>
      </c>
      <c r="F1685" s="2" t="s">
        <v>14</v>
      </c>
      <c r="G1685" s="5">
        <v>52</v>
      </c>
      <c r="H1685" s="2" t="s">
        <v>29</v>
      </c>
      <c r="I1685" s="2" t="s">
        <v>48</v>
      </c>
      <c r="J1685" s="2" t="s">
        <v>49</v>
      </c>
      <c r="K1685" s="2" t="s">
        <v>35</v>
      </c>
    </row>
    <row r="1686" spans="1:11" x14ac:dyDescent="0.3">
      <c r="A1686" s="2" t="s">
        <v>2072</v>
      </c>
      <c r="B1686" s="2" t="s">
        <v>289</v>
      </c>
      <c r="C1686" s="3">
        <v>45712.081250000003</v>
      </c>
      <c r="D1686" s="2" t="s">
        <v>33</v>
      </c>
      <c r="E1686" s="4">
        <v>10029.56</v>
      </c>
      <c r="F1686" s="2" t="s">
        <v>14</v>
      </c>
      <c r="G1686" s="5">
        <v>32</v>
      </c>
      <c r="H1686" s="2" t="s">
        <v>29</v>
      </c>
      <c r="I1686" s="2" t="s">
        <v>48</v>
      </c>
      <c r="J1686" s="2" t="s">
        <v>17</v>
      </c>
      <c r="K1686" s="2" t="s">
        <v>22</v>
      </c>
    </row>
    <row r="1687" spans="1:11" x14ac:dyDescent="0.3">
      <c r="A1687" s="2" t="s">
        <v>2073</v>
      </c>
      <c r="B1687" s="2" t="s">
        <v>140</v>
      </c>
      <c r="C1687" s="3">
        <v>45742.630555555559</v>
      </c>
      <c r="D1687" s="2" t="s">
        <v>28</v>
      </c>
      <c r="E1687" s="4">
        <v>10325.16</v>
      </c>
      <c r="F1687" s="2" t="s">
        <v>14</v>
      </c>
      <c r="G1687" s="5">
        <v>49</v>
      </c>
      <c r="H1687" s="2" t="s">
        <v>15</v>
      </c>
      <c r="I1687" s="2" t="s">
        <v>21</v>
      </c>
      <c r="J1687" s="2" t="s">
        <v>44</v>
      </c>
      <c r="K1687" s="2" t="s">
        <v>35</v>
      </c>
    </row>
    <row r="1688" spans="1:11" x14ac:dyDescent="0.3">
      <c r="A1688" s="2" t="s">
        <v>2074</v>
      </c>
      <c r="B1688" s="2" t="s">
        <v>521</v>
      </c>
      <c r="C1688" s="3">
        <v>45867.136111111111</v>
      </c>
      <c r="D1688" s="2" t="s">
        <v>13</v>
      </c>
      <c r="E1688" s="4">
        <v>1615.17</v>
      </c>
      <c r="F1688" s="2" t="s">
        <v>14</v>
      </c>
      <c r="G1688" s="5">
        <v>30</v>
      </c>
      <c r="H1688" s="2" t="s">
        <v>29</v>
      </c>
      <c r="I1688" s="2" t="s">
        <v>60</v>
      </c>
      <c r="J1688" s="2" t="s">
        <v>44</v>
      </c>
      <c r="K1688" s="2" t="s">
        <v>45</v>
      </c>
    </row>
    <row r="1689" spans="1:11" x14ac:dyDescent="0.3">
      <c r="A1689" s="2" t="s">
        <v>2075</v>
      </c>
      <c r="B1689" s="2" t="s">
        <v>1130</v>
      </c>
      <c r="C1689" s="3">
        <v>45970.258333333331</v>
      </c>
      <c r="D1689" s="2" t="s">
        <v>13</v>
      </c>
      <c r="E1689" s="4">
        <v>1715.82</v>
      </c>
      <c r="F1689" s="2" t="s">
        <v>14</v>
      </c>
      <c r="G1689" s="5">
        <v>36</v>
      </c>
      <c r="H1689" s="2" t="s">
        <v>29</v>
      </c>
      <c r="I1689" s="2" t="s">
        <v>34</v>
      </c>
      <c r="J1689" s="2" t="s">
        <v>52</v>
      </c>
      <c r="K1689" s="2" t="s">
        <v>18</v>
      </c>
    </row>
    <row r="1690" spans="1:11" x14ac:dyDescent="0.3">
      <c r="A1690" s="2" t="s">
        <v>2076</v>
      </c>
      <c r="B1690" s="2" t="s">
        <v>301</v>
      </c>
      <c r="C1690" s="3">
        <v>45719.509027777778</v>
      </c>
      <c r="D1690" s="2" t="s">
        <v>28</v>
      </c>
      <c r="E1690" s="4">
        <v>125207.39</v>
      </c>
      <c r="F1690" s="2" t="s">
        <v>14</v>
      </c>
      <c r="G1690" s="5">
        <v>49</v>
      </c>
      <c r="H1690" s="2" t="s">
        <v>15</v>
      </c>
      <c r="I1690" s="2" t="s">
        <v>60</v>
      </c>
      <c r="J1690" s="2" t="s">
        <v>17</v>
      </c>
      <c r="K1690" s="2" t="s">
        <v>35</v>
      </c>
    </row>
    <row r="1691" spans="1:11" x14ac:dyDescent="0.3">
      <c r="A1691" s="2" t="s">
        <v>2077</v>
      </c>
      <c r="B1691" s="2" t="s">
        <v>246</v>
      </c>
      <c r="C1691" s="3">
        <v>45892.28125</v>
      </c>
      <c r="D1691" s="2" t="s">
        <v>13</v>
      </c>
      <c r="E1691" s="4">
        <v>644.66999999999996</v>
      </c>
      <c r="F1691" s="2" t="s">
        <v>14</v>
      </c>
      <c r="G1691" s="5">
        <v>30</v>
      </c>
      <c r="H1691" s="2" t="s">
        <v>15</v>
      </c>
      <c r="I1691" s="2" t="s">
        <v>60</v>
      </c>
      <c r="J1691" s="2" t="s">
        <v>49</v>
      </c>
      <c r="K1691" s="2" t="s">
        <v>22</v>
      </c>
    </row>
    <row r="1692" spans="1:11" x14ac:dyDescent="0.3">
      <c r="A1692" s="2" t="s">
        <v>2078</v>
      </c>
      <c r="B1692" s="2" t="s">
        <v>1201</v>
      </c>
      <c r="C1692" s="3">
        <v>45831.158333333333</v>
      </c>
      <c r="D1692" s="2" t="s">
        <v>38</v>
      </c>
      <c r="E1692" s="4">
        <v>676.72</v>
      </c>
      <c r="F1692" s="2" t="s">
        <v>14</v>
      </c>
      <c r="G1692" s="5">
        <v>44</v>
      </c>
      <c r="H1692" s="2" t="s">
        <v>15</v>
      </c>
      <c r="I1692" s="2" t="s">
        <v>25</v>
      </c>
      <c r="J1692" s="2" t="s">
        <v>44</v>
      </c>
      <c r="K1692" s="2" t="s">
        <v>45</v>
      </c>
    </row>
    <row r="1693" spans="1:11" x14ac:dyDescent="0.3">
      <c r="A1693" s="2" t="s">
        <v>2079</v>
      </c>
      <c r="B1693" s="2" t="s">
        <v>142</v>
      </c>
      <c r="C1693" s="3">
        <v>45870.082638888889</v>
      </c>
      <c r="D1693" s="2" t="s">
        <v>13</v>
      </c>
      <c r="E1693" s="4">
        <v>1002.95</v>
      </c>
      <c r="F1693" s="2" t="s">
        <v>14</v>
      </c>
      <c r="G1693" s="5">
        <v>49</v>
      </c>
      <c r="H1693" s="2" t="s">
        <v>29</v>
      </c>
      <c r="I1693" s="2" t="s">
        <v>34</v>
      </c>
      <c r="J1693" s="2" t="s">
        <v>17</v>
      </c>
      <c r="K1693" s="2" t="s">
        <v>18</v>
      </c>
    </row>
    <row r="1694" spans="1:11" x14ac:dyDescent="0.3">
      <c r="A1694" s="2" t="s">
        <v>2080</v>
      </c>
      <c r="B1694" s="2" t="s">
        <v>529</v>
      </c>
      <c r="C1694" s="3">
        <v>45982.900694444441</v>
      </c>
      <c r="D1694" s="2" t="s">
        <v>13</v>
      </c>
      <c r="E1694" s="4">
        <v>1015.84</v>
      </c>
      <c r="F1694" s="2" t="s">
        <v>14</v>
      </c>
      <c r="G1694" s="5">
        <v>28</v>
      </c>
      <c r="H1694" s="2" t="s">
        <v>29</v>
      </c>
      <c r="I1694" s="2" t="s">
        <v>34</v>
      </c>
      <c r="J1694" s="2" t="s">
        <v>17</v>
      </c>
      <c r="K1694" s="2" t="s">
        <v>45</v>
      </c>
    </row>
    <row r="1695" spans="1:11" x14ac:dyDescent="0.3">
      <c r="A1695" s="2" t="s">
        <v>2081</v>
      </c>
      <c r="B1695" s="2" t="s">
        <v>623</v>
      </c>
      <c r="C1695" s="3">
        <v>45721.603472222218</v>
      </c>
      <c r="D1695" s="2" t="s">
        <v>13</v>
      </c>
      <c r="E1695" s="4">
        <v>200.05</v>
      </c>
      <c r="F1695" s="2" t="s">
        <v>14</v>
      </c>
      <c r="G1695" s="5">
        <v>47</v>
      </c>
      <c r="H1695" s="2" t="s">
        <v>15</v>
      </c>
      <c r="I1695" s="2" t="s">
        <v>48</v>
      </c>
      <c r="J1695" s="2" t="s">
        <v>49</v>
      </c>
      <c r="K1695" s="2" t="s">
        <v>45</v>
      </c>
    </row>
    <row r="1696" spans="1:11" x14ac:dyDescent="0.3">
      <c r="A1696" s="2" t="s">
        <v>2082</v>
      </c>
      <c r="B1696" s="2" t="s">
        <v>75</v>
      </c>
      <c r="C1696" s="3">
        <v>45995.772222222222</v>
      </c>
      <c r="D1696" s="2" t="s">
        <v>28</v>
      </c>
      <c r="E1696" s="4">
        <v>6356.45</v>
      </c>
      <c r="F1696" s="2" t="s">
        <v>14</v>
      </c>
      <c r="G1696" s="5">
        <v>31</v>
      </c>
      <c r="H1696" s="2" t="s">
        <v>29</v>
      </c>
      <c r="I1696" s="2" t="s">
        <v>25</v>
      </c>
      <c r="J1696" s="2" t="s">
        <v>17</v>
      </c>
      <c r="K1696" s="2" t="s">
        <v>45</v>
      </c>
    </row>
    <row r="1697" spans="1:11" x14ac:dyDescent="0.3">
      <c r="A1697" s="2" t="s">
        <v>2083</v>
      </c>
      <c r="B1697" s="2" t="s">
        <v>185</v>
      </c>
      <c r="C1697" s="3">
        <v>45726.625</v>
      </c>
      <c r="D1697" s="2" t="s">
        <v>38</v>
      </c>
      <c r="E1697" s="4">
        <v>6808.79</v>
      </c>
      <c r="F1697" s="2" t="s">
        <v>14</v>
      </c>
      <c r="G1697" s="5">
        <v>28</v>
      </c>
      <c r="H1697" s="2" t="s">
        <v>29</v>
      </c>
      <c r="I1697" s="2" t="s">
        <v>34</v>
      </c>
      <c r="J1697" s="2" t="s">
        <v>17</v>
      </c>
      <c r="K1697" s="2" t="s">
        <v>18</v>
      </c>
    </row>
    <row r="1698" spans="1:11" x14ac:dyDescent="0.3">
      <c r="A1698" s="2" t="s">
        <v>2084</v>
      </c>
      <c r="B1698" s="2" t="s">
        <v>80</v>
      </c>
      <c r="C1698" s="3">
        <v>45929.960416666669</v>
      </c>
      <c r="D1698" s="2" t="s">
        <v>28</v>
      </c>
      <c r="E1698" s="4">
        <v>1228.21</v>
      </c>
      <c r="F1698" s="2" t="s">
        <v>14</v>
      </c>
      <c r="G1698" s="5">
        <v>27</v>
      </c>
      <c r="H1698" s="2" t="s">
        <v>29</v>
      </c>
      <c r="I1698" s="2" t="s">
        <v>60</v>
      </c>
      <c r="J1698" s="2" t="s">
        <v>17</v>
      </c>
      <c r="K1698" s="2" t="s">
        <v>45</v>
      </c>
    </row>
    <row r="1699" spans="1:11" x14ac:dyDescent="0.3">
      <c r="A1699" s="2" t="s">
        <v>2085</v>
      </c>
      <c r="B1699" s="2" t="s">
        <v>898</v>
      </c>
      <c r="C1699" s="3">
        <v>45941.578472222223</v>
      </c>
      <c r="D1699" s="2" t="s">
        <v>28</v>
      </c>
      <c r="E1699" s="4">
        <v>6226.93</v>
      </c>
      <c r="F1699" s="2" t="s">
        <v>14</v>
      </c>
      <c r="G1699" s="5">
        <v>56</v>
      </c>
      <c r="H1699" s="2" t="s">
        <v>29</v>
      </c>
      <c r="I1699" s="2" t="s">
        <v>34</v>
      </c>
      <c r="J1699" s="2" t="s">
        <v>17</v>
      </c>
      <c r="K1699" s="2" t="s">
        <v>18</v>
      </c>
    </row>
    <row r="1700" spans="1:11" x14ac:dyDescent="0.3">
      <c r="A1700" s="2" t="s">
        <v>2086</v>
      </c>
      <c r="B1700" s="2" t="s">
        <v>1408</v>
      </c>
      <c r="C1700" s="3">
        <v>45957.665972222218</v>
      </c>
      <c r="D1700" s="2" t="s">
        <v>33</v>
      </c>
      <c r="E1700" s="4">
        <v>27481.759999999998</v>
      </c>
      <c r="F1700" s="2" t="s">
        <v>14</v>
      </c>
      <c r="G1700" s="5">
        <v>39</v>
      </c>
      <c r="H1700" s="2" t="s">
        <v>15</v>
      </c>
      <c r="I1700" s="2" t="s">
        <v>25</v>
      </c>
      <c r="J1700" s="2" t="s">
        <v>52</v>
      </c>
      <c r="K1700" s="2" t="s">
        <v>45</v>
      </c>
    </row>
    <row r="1701" spans="1:11" x14ac:dyDescent="0.3">
      <c r="A1701" s="2" t="s">
        <v>2087</v>
      </c>
      <c r="B1701" s="2" t="s">
        <v>808</v>
      </c>
      <c r="C1701" s="3">
        <v>45918.238888888889</v>
      </c>
      <c r="D1701" s="2" t="s">
        <v>38</v>
      </c>
      <c r="E1701" s="4">
        <v>2893.85</v>
      </c>
      <c r="F1701" s="2" t="s">
        <v>14</v>
      </c>
      <c r="G1701" s="5">
        <v>26</v>
      </c>
      <c r="H1701" s="2" t="s">
        <v>15</v>
      </c>
      <c r="I1701" s="2" t="s">
        <v>34</v>
      </c>
      <c r="J1701" s="2" t="s">
        <v>17</v>
      </c>
      <c r="K1701" s="2" t="s">
        <v>45</v>
      </c>
    </row>
    <row r="1702" spans="1:11" x14ac:dyDescent="0.3">
      <c r="A1702" s="2" t="s">
        <v>2088</v>
      </c>
      <c r="B1702" s="2" t="s">
        <v>947</v>
      </c>
      <c r="C1702" s="3">
        <v>45954.240277777782</v>
      </c>
      <c r="D1702" s="2" t="s">
        <v>38</v>
      </c>
      <c r="E1702" s="4">
        <v>2750.49</v>
      </c>
      <c r="F1702" s="2" t="s">
        <v>14</v>
      </c>
      <c r="G1702" s="5">
        <v>25</v>
      </c>
      <c r="H1702" s="2" t="s">
        <v>29</v>
      </c>
      <c r="I1702" s="2" t="s">
        <v>34</v>
      </c>
      <c r="J1702" s="2" t="s">
        <v>17</v>
      </c>
      <c r="K1702" s="2" t="s">
        <v>35</v>
      </c>
    </row>
    <row r="1703" spans="1:11" x14ac:dyDescent="0.3">
      <c r="A1703" s="2" t="s">
        <v>2089</v>
      </c>
      <c r="B1703" s="2" t="s">
        <v>248</v>
      </c>
      <c r="C1703" s="3">
        <v>45723.14166666667</v>
      </c>
      <c r="D1703" s="2" t="s">
        <v>33</v>
      </c>
      <c r="E1703" s="4">
        <v>3976.17</v>
      </c>
      <c r="F1703" s="2" t="s">
        <v>14</v>
      </c>
      <c r="G1703" s="5">
        <v>35</v>
      </c>
      <c r="H1703" s="2" t="s">
        <v>15</v>
      </c>
      <c r="I1703" s="2" t="s">
        <v>25</v>
      </c>
      <c r="J1703" s="2" t="s">
        <v>17</v>
      </c>
      <c r="K1703" s="2" t="s">
        <v>22</v>
      </c>
    </row>
    <row r="1704" spans="1:11" x14ac:dyDescent="0.3">
      <c r="A1704" s="2" t="s">
        <v>2090</v>
      </c>
      <c r="B1704" s="2" t="s">
        <v>250</v>
      </c>
      <c r="C1704" s="3">
        <v>45994.818055555559</v>
      </c>
      <c r="D1704" s="2" t="s">
        <v>13</v>
      </c>
      <c r="E1704" s="4">
        <v>250</v>
      </c>
      <c r="F1704" s="2" t="s">
        <v>14</v>
      </c>
      <c r="G1704" s="5">
        <v>29</v>
      </c>
      <c r="H1704" s="2" t="s">
        <v>15</v>
      </c>
      <c r="I1704" s="2" t="s">
        <v>25</v>
      </c>
      <c r="J1704" s="2" t="s">
        <v>17</v>
      </c>
      <c r="K1704" s="2" t="s">
        <v>45</v>
      </c>
    </row>
    <row r="1705" spans="1:11" x14ac:dyDescent="0.3">
      <c r="A1705" s="2" t="s">
        <v>2091</v>
      </c>
      <c r="B1705" s="2" t="s">
        <v>446</v>
      </c>
      <c r="C1705" s="3">
        <v>45822.705555555563</v>
      </c>
      <c r="D1705" s="2" t="s">
        <v>28</v>
      </c>
      <c r="E1705" s="4">
        <v>5129.54</v>
      </c>
      <c r="F1705" s="2" t="s">
        <v>14</v>
      </c>
      <c r="G1705" s="5">
        <v>35</v>
      </c>
      <c r="H1705" s="2" t="s">
        <v>15</v>
      </c>
      <c r="I1705" s="2" t="s">
        <v>16</v>
      </c>
      <c r="J1705" s="2" t="s">
        <v>17</v>
      </c>
      <c r="K1705" s="2" t="s">
        <v>18</v>
      </c>
    </row>
    <row r="1706" spans="1:11" x14ac:dyDescent="0.3">
      <c r="A1706" s="2" t="s">
        <v>2092</v>
      </c>
      <c r="B1706" s="2" t="s">
        <v>99</v>
      </c>
      <c r="C1706" s="3">
        <v>45854.568055555559</v>
      </c>
      <c r="D1706" s="2" t="s">
        <v>28</v>
      </c>
      <c r="E1706" s="4">
        <v>19737.98</v>
      </c>
      <c r="F1706" s="2" t="s">
        <v>14</v>
      </c>
      <c r="G1706" s="5">
        <v>36</v>
      </c>
      <c r="H1706" s="2" t="s">
        <v>15</v>
      </c>
      <c r="I1706" s="2" t="s">
        <v>30</v>
      </c>
      <c r="J1706" s="2" t="s">
        <v>17</v>
      </c>
      <c r="K1706" s="2" t="s">
        <v>18</v>
      </c>
    </row>
    <row r="1707" spans="1:11" x14ac:dyDescent="0.3">
      <c r="A1707" s="2" t="s">
        <v>2093</v>
      </c>
      <c r="B1707" s="2" t="s">
        <v>105</v>
      </c>
      <c r="C1707" s="3">
        <v>46012.303472222222</v>
      </c>
      <c r="D1707" s="2" t="s">
        <v>154</v>
      </c>
      <c r="E1707" s="4">
        <v>5000</v>
      </c>
      <c r="F1707" s="2" t="s">
        <v>14</v>
      </c>
      <c r="G1707" s="5">
        <v>42</v>
      </c>
      <c r="H1707" s="2" t="s">
        <v>15</v>
      </c>
      <c r="I1707" s="2" t="s">
        <v>34</v>
      </c>
      <c r="J1707" s="2" t="s">
        <v>49</v>
      </c>
      <c r="K1707" s="2" t="s">
        <v>35</v>
      </c>
    </row>
    <row r="1708" spans="1:11" x14ac:dyDescent="0.3">
      <c r="A1708" s="2" t="s">
        <v>2094</v>
      </c>
      <c r="B1708" s="2" t="s">
        <v>642</v>
      </c>
      <c r="C1708" s="3">
        <v>45861.429166666669</v>
      </c>
      <c r="D1708" s="2" t="s">
        <v>28</v>
      </c>
      <c r="E1708" s="4">
        <v>3513.86</v>
      </c>
      <c r="F1708" s="2" t="s">
        <v>14</v>
      </c>
      <c r="G1708" s="5">
        <v>23</v>
      </c>
      <c r="H1708" s="2" t="s">
        <v>29</v>
      </c>
      <c r="I1708" s="2" t="s">
        <v>16</v>
      </c>
      <c r="J1708" s="2" t="s">
        <v>44</v>
      </c>
      <c r="K1708" s="2" t="s">
        <v>45</v>
      </c>
    </row>
    <row r="1709" spans="1:11" x14ac:dyDescent="0.3">
      <c r="A1709" s="2" t="s">
        <v>2095</v>
      </c>
      <c r="B1709" s="2" t="s">
        <v>549</v>
      </c>
      <c r="C1709" s="3">
        <v>45889.172222222223</v>
      </c>
      <c r="D1709" s="2" t="s">
        <v>28</v>
      </c>
      <c r="E1709" s="4">
        <v>4615.46</v>
      </c>
      <c r="F1709" s="2" t="s">
        <v>57</v>
      </c>
      <c r="G1709" s="5">
        <v>53</v>
      </c>
      <c r="H1709" s="2" t="s">
        <v>29</v>
      </c>
      <c r="I1709" s="2" t="s">
        <v>21</v>
      </c>
      <c r="J1709" s="2" t="s">
        <v>17</v>
      </c>
      <c r="K1709" s="2" t="s">
        <v>35</v>
      </c>
    </row>
    <row r="1710" spans="1:11" x14ac:dyDescent="0.3">
      <c r="A1710" s="2" t="s">
        <v>2096</v>
      </c>
      <c r="B1710" s="2" t="s">
        <v>311</v>
      </c>
      <c r="C1710" s="3">
        <v>45869.822222222218</v>
      </c>
      <c r="D1710" s="2" t="s">
        <v>28</v>
      </c>
      <c r="E1710" s="4">
        <v>9497.2199999999993</v>
      </c>
      <c r="F1710" s="2" t="s">
        <v>14</v>
      </c>
      <c r="G1710" s="5">
        <v>56</v>
      </c>
      <c r="H1710" s="2" t="s">
        <v>29</v>
      </c>
      <c r="I1710" s="2" t="s">
        <v>60</v>
      </c>
      <c r="J1710" s="2" t="s">
        <v>49</v>
      </c>
      <c r="K1710" s="2" t="s">
        <v>35</v>
      </c>
    </row>
    <row r="1711" spans="1:11" x14ac:dyDescent="0.3">
      <c r="A1711" s="2" t="s">
        <v>2097</v>
      </c>
      <c r="B1711" s="2" t="s">
        <v>228</v>
      </c>
      <c r="C1711" s="3">
        <v>45920.411805555559</v>
      </c>
      <c r="D1711" s="2" t="s">
        <v>28</v>
      </c>
      <c r="E1711" s="4">
        <v>70452.34</v>
      </c>
      <c r="F1711" s="2" t="s">
        <v>14</v>
      </c>
      <c r="G1711" s="5">
        <v>45</v>
      </c>
      <c r="H1711" s="2" t="s">
        <v>15</v>
      </c>
      <c r="I1711" s="2" t="s">
        <v>48</v>
      </c>
      <c r="J1711" s="2" t="s">
        <v>44</v>
      </c>
      <c r="K1711" s="2" t="s">
        <v>22</v>
      </c>
    </row>
    <row r="1712" spans="1:11" x14ac:dyDescent="0.3">
      <c r="A1712" s="2" t="s">
        <v>2098</v>
      </c>
      <c r="B1712" s="2" t="s">
        <v>109</v>
      </c>
      <c r="C1712" s="3">
        <v>46017.746527777781</v>
      </c>
      <c r="D1712" s="2" t="s">
        <v>13</v>
      </c>
      <c r="E1712" s="4">
        <v>1221.3599999999999</v>
      </c>
      <c r="F1712" s="2" t="s">
        <v>14</v>
      </c>
      <c r="G1712" s="5">
        <v>38</v>
      </c>
      <c r="H1712" s="2" t="s">
        <v>15</v>
      </c>
      <c r="I1712" s="2" t="s">
        <v>21</v>
      </c>
      <c r="J1712" s="2" t="s">
        <v>17</v>
      </c>
      <c r="K1712" s="2" t="s">
        <v>18</v>
      </c>
    </row>
    <row r="1713" spans="1:11" x14ac:dyDescent="0.3">
      <c r="A1713" s="2" t="s">
        <v>2099</v>
      </c>
      <c r="B1713" s="2" t="s">
        <v>423</v>
      </c>
      <c r="C1713" s="3">
        <v>45818.949305555558</v>
      </c>
      <c r="D1713" s="2" t="s">
        <v>28</v>
      </c>
      <c r="E1713" s="4">
        <v>3847.66</v>
      </c>
      <c r="F1713" s="2" t="s">
        <v>14</v>
      </c>
      <c r="G1713" s="5">
        <v>28</v>
      </c>
      <c r="H1713" s="2" t="s">
        <v>29</v>
      </c>
      <c r="I1713" s="2" t="s">
        <v>34</v>
      </c>
      <c r="J1713" s="2" t="s">
        <v>44</v>
      </c>
      <c r="K1713" s="2" t="s">
        <v>18</v>
      </c>
    </row>
    <row r="1714" spans="1:11" x14ac:dyDescent="0.3">
      <c r="A1714" s="2" t="s">
        <v>2100</v>
      </c>
      <c r="B1714" s="2" t="s">
        <v>489</v>
      </c>
      <c r="C1714" s="3">
        <v>45941.842361111107</v>
      </c>
      <c r="D1714" s="2" t="s">
        <v>28</v>
      </c>
      <c r="E1714" s="4">
        <v>15962.51</v>
      </c>
      <c r="F1714" s="2" t="s">
        <v>14</v>
      </c>
      <c r="G1714" s="5">
        <v>28</v>
      </c>
      <c r="H1714" s="2" t="s">
        <v>15</v>
      </c>
      <c r="I1714" s="2" t="s">
        <v>30</v>
      </c>
      <c r="J1714" s="2" t="s">
        <v>17</v>
      </c>
      <c r="K1714" s="2" t="s">
        <v>18</v>
      </c>
    </row>
    <row r="1715" spans="1:11" x14ac:dyDescent="0.3">
      <c r="A1715" s="2" t="s">
        <v>2101</v>
      </c>
      <c r="B1715" s="2" t="s">
        <v>1408</v>
      </c>
      <c r="C1715" s="3">
        <v>45760.277083333327</v>
      </c>
      <c r="D1715" s="2" t="s">
        <v>33</v>
      </c>
      <c r="E1715" s="4">
        <v>26497.58</v>
      </c>
      <c r="F1715" s="2" t="s">
        <v>14</v>
      </c>
      <c r="G1715" s="5">
        <v>39</v>
      </c>
      <c r="H1715" s="2" t="s">
        <v>15</v>
      </c>
      <c r="I1715" s="2" t="s">
        <v>25</v>
      </c>
      <c r="J1715" s="2" t="s">
        <v>52</v>
      </c>
      <c r="K1715" s="2" t="s">
        <v>18</v>
      </c>
    </row>
    <row r="1716" spans="1:11" x14ac:dyDescent="0.3">
      <c r="A1716" s="2" t="s">
        <v>2102</v>
      </c>
      <c r="B1716" s="2" t="s">
        <v>816</v>
      </c>
      <c r="C1716" s="3">
        <v>45806.890277777777</v>
      </c>
      <c r="D1716" s="2" t="s">
        <v>13</v>
      </c>
      <c r="E1716" s="4">
        <v>1265.0999999999999</v>
      </c>
      <c r="F1716" s="2" t="s">
        <v>14</v>
      </c>
      <c r="G1716" s="5">
        <v>37</v>
      </c>
      <c r="H1716" s="2" t="s">
        <v>15</v>
      </c>
      <c r="I1716" s="2" t="s">
        <v>60</v>
      </c>
      <c r="J1716" s="2" t="s">
        <v>44</v>
      </c>
      <c r="K1716" s="2" t="s">
        <v>22</v>
      </c>
    </row>
    <row r="1717" spans="1:11" x14ac:dyDescent="0.3">
      <c r="A1717" s="2" t="s">
        <v>2103</v>
      </c>
      <c r="B1717" s="2" t="s">
        <v>260</v>
      </c>
      <c r="C1717" s="3">
        <v>46002.197916666657</v>
      </c>
      <c r="D1717" s="2" t="s">
        <v>33</v>
      </c>
      <c r="E1717" s="4">
        <v>8782.09</v>
      </c>
      <c r="F1717" s="2" t="s">
        <v>14</v>
      </c>
      <c r="G1717" s="5">
        <v>39</v>
      </c>
      <c r="H1717" s="2" t="s">
        <v>15</v>
      </c>
      <c r="I1717" s="2" t="s">
        <v>21</v>
      </c>
      <c r="J1717" s="2" t="s">
        <v>17</v>
      </c>
      <c r="K1717" s="2" t="s">
        <v>45</v>
      </c>
    </row>
    <row r="1718" spans="1:11" x14ac:dyDescent="0.3">
      <c r="A1718" s="2" t="s">
        <v>2104</v>
      </c>
      <c r="B1718" s="2" t="s">
        <v>260</v>
      </c>
      <c r="C1718" s="3">
        <v>45990.230555555558</v>
      </c>
      <c r="D1718" s="2" t="s">
        <v>28</v>
      </c>
      <c r="E1718" s="4">
        <v>31233.67</v>
      </c>
      <c r="F1718" s="2" t="s">
        <v>14</v>
      </c>
      <c r="G1718" s="5">
        <v>39</v>
      </c>
      <c r="H1718" s="2" t="s">
        <v>15</v>
      </c>
      <c r="I1718" s="2" t="s">
        <v>21</v>
      </c>
      <c r="J1718" s="2" t="s">
        <v>17</v>
      </c>
      <c r="K1718" s="2" t="s">
        <v>35</v>
      </c>
    </row>
    <row r="1719" spans="1:11" x14ac:dyDescent="0.3">
      <c r="A1719" s="2" t="s">
        <v>2105</v>
      </c>
      <c r="B1719" s="2" t="s">
        <v>1201</v>
      </c>
      <c r="C1719" s="3">
        <v>45935.944444444453</v>
      </c>
      <c r="D1719" s="2" t="s">
        <v>28</v>
      </c>
      <c r="E1719" s="4">
        <v>67432.09</v>
      </c>
      <c r="F1719" s="2" t="s">
        <v>14</v>
      </c>
      <c r="G1719" s="5">
        <v>44</v>
      </c>
      <c r="H1719" s="2" t="s">
        <v>15</v>
      </c>
      <c r="I1719" s="2" t="s">
        <v>25</v>
      </c>
      <c r="J1719" s="2" t="s">
        <v>44</v>
      </c>
      <c r="K1719" s="2" t="s">
        <v>18</v>
      </c>
    </row>
    <row r="1720" spans="1:11" x14ac:dyDescent="0.3">
      <c r="A1720" s="2" t="s">
        <v>2106</v>
      </c>
      <c r="B1720" s="2" t="s">
        <v>1118</v>
      </c>
      <c r="C1720" s="3">
        <v>45823.921527777777</v>
      </c>
      <c r="D1720" s="2" t="s">
        <v>33</v>
      </c>
      <c r="E1720" s="4">
        <v>1318.36</v>
      </c>
      <c r="F1720" s="2" t="s">
        <v>14</v>
      </c>
      <c r="G1720" s="5">
        <v>33</v>
      </c>
      <c r="H1720" s="2" t="s">
        <v>29</v>
      </c>
      <c r="I1720" s="2" t="s">
        <v>34</v>
      </c>
      <c r="J1720" s="2" t="s">
        <v>52</v>
      </c>
      <c r="K1720" s="2" t="s">
        <v>45</v>
      </c>
    </row>
    <row r="1721" spans="1:11" x14ac:dyDescent="0.3">
      <c r="A1721" s="2" t="s">
        <v>2107</v>
      </c>
      <c r="B1721" s="2" t="s">
        <v>364</v>
      </c>
      <c r="C1721" s="3">
        <v>45838.729166666657</v>
      </c>
      <c r="D1721" s="2" t="s">
        <v>28</v>
      </c>
      <c r="E1721" s="4">
        <v>1396.5</v>
      </c>
      <c r="F1721" s="2" t="s">
        <v>14</v>
      </c>
      <c r="G1721" s="5">
        <v>32</v>
      </c>
      <c r="H1721" s="2" t="s">
        <v>15</v>
      </c>
      <c r="I1721" s="2" t="s">
        <v>34</v>
      </c>
      <c r="J1721" s="2" t="s">
        <v>17</v>
      </c>
      <c r="K1721" s="2" t="s">
        <v>35</v>
      </c>
    </row>
    <row r="1722" spans="1:11" x14ac:dyDescent="0.3">
      <c r="A1722" s="2" t="s">
        <v>2108</v>
      </c>
      <c r="B1722" s="2" t="s">
        <v>798</v>
      </c>
      <c r="C1722" s="3">
        <v>45956.779166666667</v>
      </c>
      <c r="D1722" s="2" t="s">
        <v>28</v>
      </c>
      <c r="E1722" s="4">
        <v>20095.78</v>
      </c>
      <c r="F1722" s="2" t="s">
        <v>14</v>
      </c>
      <c r="G1722" s="5">
        <v>22</v>
      </c>
      <c r="H1722" s="2" t="s">
        <v>29</v>
      </c>
      <c r="I1722" s="2" t="s">
        <v>25</v>
      </c>
      <c r="J1722" s="2" t="s">
        <v>49</v>
      </c>
      <c r="K1722" s="2" t="s">
        <v>35</v>
      </c>
    </row>
    <row r="1723" spans="1:11" x14ac:dyDescent="0.3">
      <c r="A1723" s="2" t="s">
        <v>2109</v>
      </c>
      <c r="B1723" s="2" t="s">
        <v>756</v>
      </c>
      <c r="C1723" s="3">
        <v>46021.571527777778</v>
      </c>
      <c r="D1723" s="2" t="s">
        <v>28</v>
      </c>
      <c r="E1723" s="4">
        <v>1131.78</v>
      </c>
      <c r="F1723" s="2" t="s">
        <v>14</v>
      </c>
      <c r="G1723" s="5">
        <v>40</v>
      </c>
      <c r="H1723" s="2" t="s">
        <v>15</v>
      </c>
      <c r="I1723" s="2" t="s">
        <v>16</v>
      </c>
      <c r="J1723" s="2" t="s">
        <v>17</v>
      </c>
      <c r="K1723" s="2" t="s">
        <v>45</v>
      </c>
    </row>
    <row r="1724" spans="1:11" x14ac:dyDescent="0.3">
      <c r="A1724" s="2" t="s">
        <v>2110</v>
      </c>
      <c r="B1724" s="2" t="s">
        <v>517</v>
      </c>
      <c r="C1724" s="3">
        <v>45931.413888888892</v>
      </c>
      <c r="D1724" s="2" t="s">
        <v>154</v>
      </c>
      <c r="E1724" s="4">
        <v>2000</v>
      </c>
      <c r="F1724" s="2" t="s">
        <v>14</v>
      </c>
      <c r="G1724" s="5">
        <v>34</v>
      </c>
      <c r="H1724" s="2" t="s">
        <v>15</v>
      </c>
      <c r="I1724" s="2" t="s">
        <v>48</v>
      </c>
      <c r="J1724" s="2" t="s">
        <v>17</v>
      </c>
      <c r="K1724" s="2" t="s">
        <v>22</v>
      </c>
    </row>
    <row r="1725" spans="1:11" x14ac:dyDescent="0.3">
      <c r="A1725" s="2" t="s">
        <v>2111</v>
      </c>
      <c r="B1725" s="2" t="s">
        <v>388</v>
      </c>
      <c r="C1725" s="3">
        <v>45874.022916666669</v>
      </c>
      <c r="D1725" s="2" t="s">
        <v>28</v>
      </c>
      <c r="E1725" s="4">
        <v>20826.45</v>
      </c>
      <c r="F1725" s="2" t="s">
        <v>14</v>
      </c>
      <c r="G1725" s="5">
        <v>31</v>
      </c>
      <c r="H1725" s="2" t="s">
        <v>15</v>
      </c>
      <c r="I1725" s="2" t="s">
        <v>34</v>
      </c>
      <c r="J1725" s="2" t="s">
        <v>17</v>
      </c>
      <c r="K1725" s="2" t="s">
        <v>35</v>
      </c>
    </row>
    <row r="1726" spans="1:11" x14ac:dyDescent="0.3">
      <c r="A1726" s="2" t="s">
        <v>2112</v>
      </c>
      <c r="B1726" s="2" t="s">
        <v>289</v>
      </c>
      <c r="C1726" s="3">
        <v>45712.01666666667</v>
      </c>
      <c r="D1726" s="2" t="s">
        <v>28</v>
      </c>
      <c r="E1726" s="4">
        <v>1896.45</v>
      </c>
      <c r="F1726" s="2" t="s">
        <v>14</v>
      </c>
      <c r="G1726" s="5">
        <v>32</v>
      </c>
      <c r="H1726" s="2" t="s">
        <v>29</v>
      </c>
      <c r="I1726" s="2" t="s">
        <v>48</v>
      </c>
      <c r="J1726" s="2" t="s">
        <v>17</v>
      </c>
      <c r="K1726" s="2" t="s">
        <v>18</v>
      </c>
    </row>
    <row r="1727" spans="1:11" x14ac:dyDescent="0.3">
      <c r="A1727" s="2" t="s">
        <v>2113</v>
      </c>
      <c r="B1727" s="2" t="s">
        <v>399</v>
      </c>
      <c r="C1727" s="3">
        <v>45732.070833333331</v>
      </c>
      <c r="D1727" s="2" t="s">
        <v>13</v>
      </c>
      <c r="E1727" s="4">
        <v>393.9</v>
      </c>
      <c r="F1727" s="2" t="s">
        <v>57</v>
      </c>
      <c r="G1727" s="5">
        <v>53</v>
      </c>
      <c r="H1727" s="2" t="s">
        <v>29</v>
      </c>
      <c r="I1727" s="2" t="s">
        <v>34</v>
      </c>
      <c r="J1727" s="2" t="s">
        <v>17</v>
      </c>
      <c r="K1727" s="2" t="s">
        <v>18</v>
      </c>
    </row>
    <row r="1728" spans="1:11" x14ac:dyDescent="0.3">
      <c r="A1728" s="2" t="s">
        <v>2114</v>
      </c>
      <c r="B1728" s="2" t="s">
        <v>250</v>
      </c>
      <c r="C1728" s="3">
        <v>45686.261805555558</v>
      </c>
      <c r="D1728" s="2" t="s">
        <v>28</v>
      </c>
      <c r="E1728" s="4">
        <v>29750.09</v>
      </c>
      <c r="F1728" s="2" t="s">
        <v>14</v>
      </c>
      <c r="G1728" s="5">
        <v>29</v>
      </c>
      <c r="H1728" s="2" t="s">
        <v>15</v>
      </c>
      <c r="I1728" s="2" t="s">
        <v>25</v>
      </c>
      <c r="J1728" s="2" t="s">
        <v>17</v>
      </c>
      <c r="K1728" s="2" t="s">
        <v>45</v>
      </c>
    </row>
    <row r="1729" spans="1:11" x14ac:dyDescent="0.3">
      <c r="A1729" s="2" t="s">
        <v>2115</v>
      </c>
      <c r="B1729" s="2" t="s">
        <v>562</v>
      </c>
      <c r="C1729" s="3">
        <v>45740.404861111107</v>
      </c>
      <c r="D1729" s="2" t="s">
        <v>28</v>
      </c>
      <c r="E1729" s="4">
        <v>2145.77</v>
      </c>
      <c r="F1729" s="2" t="s">
        <v>14</v>
      </c>
      <c r="G1729" s="5">
        <v>47</v>
      </c>
      <c r="H1729" s="2" t="s">
        <v>15</v>
      </c>
      <c r="I1729" s="2" t="s">
        <v>34</v>
      </c>
      <c r="J1729" s="2" t="s">
        <v>17</v>
      </c>
      <c r="K1729" s="2" t="s">
        <v>18</v>
      </c>
    </row>
    <row r="1730" spans="1:11" x14ac:dyDescent="0.3">
      <c r="A1730" s="2" t="s">
        <v>2116</v>
      </c>
      <c r="B1730" s="2" t="s">
        <v>734</v>
      </c>
      <c r="C1730" s="3">
        <v>45786.203472222223</v>
      </c>
      <c r="D1730" s="2" t="s">
        <v>28</v>
      </c>
      <c r="E1730" s="4">
        <v>27734.48</v>
      </c>
      <c r="F1730" s="2" t="s">
        <v>14</v>
      </c>
      <c r="G1730" s="5">
        <v>45</v>
      </c>
      <c r="H1730" s="2" t="s">
        <v>15</v>
      </c>
      <c r="I1730" s="2" t="s">
        <v>95</v>
      </c>
      <c r="J1730" s="2" t="s">
        <v>44</v>
      </c>
      <c r="K1730" s="2" t="s">
        <v>22</v>
      </c>
    </row>
    <row r="1731" spans="1:11" x14ac:dyDescent="0.3">
      <c r="A1731" s="2" t="s">
        <v>2117</v>
      </c>
      <c r="B1731" s="2" t="s">
        <v>435</v>
      </c>
      <c r="C1731" s="3">
        <v>45689.951388888891</v>
      </c>
      <c r="D1731" s="2" t="s">
        <v>13</v>
      </c>
      <c r="E1731" s="4">
        <v>308.63</v>
      </c>
      <c r="F1731" s="2" t="s">
        <v>14</v>
      </c>
      <c r="G1731" s="5">
        <v>30</v>
      </c>
      <c r="H1731" s="2" t="s">
        <v>15</v>
      </c>
      <c r="I1731" s="2" t="s">
        <v>48</v>
      </c>
      <c r="J1731" s="2" t="s">
        <v>44</v>
      </c>
      <c r="K1731" s="2" t="s">
        <v>18</v>
      </c>
    </row>
    <row r="1732" spans="1:11" x14ac:dyDescent="0.3">
      <c r="A1732" s="2" t="s">
        <v>2118</v>
      </c>
      <c r="B1732" s="2" t="s">
        <v>1086</v>
      </c>
      <c r="C1732" s="3">
        <v>45809.283333333333</v>
      </c>
      <c r="D1732" s="2" t="s">
        <v>13</v>
      </c>
      <c r="E1732" s="4">
        <v>2313.35</v>
      </c>
      <c r="F1732" s="2" t="s">
        <v>14</v>
      </c>
      <c r="G1732" s="5">
        <v>60</v>
      </c>
      <c r="H1732" s="2" t="s">
        <v>15</v>
      </c>
      <c r="I1732" s="2" t="s">
        <v>34</v>
      </c>
      <c r="J1732" s="2" t="s">
        <v>44</v>
      </c>
      <c r="K1732" s="2" t="s">
        <v>45</v>
      </c>
    </row>
    <row r="1733" spans="1:11" x14ac:dyDescent="0.3">
      <c r="A1733" s="2" t="s">
        <v>2119</v>
      </c>
      <c r="B1733" s="2" t="s">
        <v>1205</v>
      </c>
      <c r="C1733" s="3">
        <v>45935.056944444441</v>
      </c>
      <c r="D1733" s="2" t="s">
        <v>28</v>
      </c>
      <c r="E1733" s="4">
        <v>41392.74</v>
      </c>
      <c r="F1733" s="2" t="s">
        <v>14</v>
      </c>
      <c r="G1733" s="5">
        <v>42</v>
      </c>
      <c r="H1733" s="2" t="s">
        <v>29</v>
      </c>
      <c r="I1733" s="2" t="s">
        <v>21</v>
      </c>
      <c r="J1733" s="2" t="s">
        <v>17</v>
      </c>
      <c r="K1733" s="2" t="s">
        <v>45</v>
      </c>
    </row>
    <row r="1734" spans="1:11" x14ac:dyDescent="0.3">
      <c r="A1734" s="2" t="s">
        <v>2120</v>
      </c>
      <c r="B1734" s="2" t="s">
        <v>1478</v>
      </c>
      <c r="C1734" s="3">
        <v>45889.152083333327</v>
      </c>
      <c r="D1734" s="2" t="s">
        <v>13</v>
      </c>
      <c r="E1734" s="4">
        <v>500.16</v>
      </c>
      <c r="F1734" s="2" t="s">
        <v>14</v>
      </c>
      <c r="G1734" s="5">
        <v>28</v>
      </c>
      <c r="H1734" s="2" t="s">
        <v>15</v>
      </c>
      <c r="I1734" s="2" t="s">
        <v>48</v>
      </c>
      <c r="J1734" s="2" t="s">
        <v>17</v>
      </c>
      <c r="K1734" s="2" t="s">
        <v>18</v>
      </c>
    </row>
    <row r="1735" spans="1:11" x14ac:dyDescent="0.3">
      <c r="A1735" s="2" t="s">
        <v>2121</v>
      </c>
      <c r="B1735" s="2" t="s">
        <v>173</v>
      </c>
      <c r="C1735" s="3">
        <v>46003.982638888891</v>
      </c>
      <c r="D1735" s="2" t="s">
        <v>28</v>
      </c>
      <c r="E1735" s="4">
        <v>39077.699999999997</v>
      </c>
      <c r="F1735" s="2" t="s">
        <v>57</v>
      </c>
      <c r="G1735" s="5">
        <v>24</v>
      </c>
      <c r="H1735" s="2" t="s">
        <v>15</v>
      </c>
      <c r="I1735" s="2" t="s">
        <v>30</v>
      </c>
      <c r="J1735" s="2" t="s">
        <v>49</v>
      </c>
      <c r="K1735" s="2" t="s">
        <v>45</v>
      </c>
    </row>
    <row r="1736" spans="1:11" x14ac:dyDescent="0.3">
      <c r="A1736" s="2" t="s">
        <v>2122</v>
      </c>
      <c r="B1736" s="2" t="s">
        <v>228</v>
      </c>
      <c r="C1736" s="3">
        <v>45772.986805555563</v>
      </c>
      <c r="D1736" s="2" t="s">
        <v>13</v>
      </c>
      <c r="E1736" s="4">
        <v>635.27</v>
      </c>
      <c r="F1736" s="2" t="s">
        <v>14</v>
      </c>
      <c r="G1736" s="5">
        <v>45</v>
      </c>
      <c r="H1736" s="2" t="s">
        <v>15</v>
      </c>
      <c r="I1736" s="2" t="s">
        <v>48</v>
      </c>
      <c r="J1736" s="2" t="s">
        <v>44</v>
      </c>
      <c r="K1736" s="2" t="s">
        <v>18</v>
      </c>
    </row>
    <row r="1737" spans="1:11" x14ac:dyDescent="0.3">
      <c r="A1737" s="2" t="s">
        <v>2123</v>
      </c>
      <c r="B1737" s="2" t="s">
        <v>296</v>
      </c>
      <c r="C1737" s="3">
        <v>45945.510416666657</v>
      </c>
      <c r="D1737" s="2" t="s">
        <v>28</v>
      </c>
      <c r="E1737" s="4">
        <v>6152.85</v>
      </c>
      <c r="F1737" s="2" t="s">
        <v>14</v>
      </c>
      <c r="G1737" s="5">
        <v>31</v>
      </c>
      <c r="H1737" s="2" t="s">
        <v>15</v>
      </c>
      <c r="I1737" s="2" t="s">
        <v>34</v>
      </c>
      <c r="J1737" s="2" t="s">
        <v>52</v>
      </c>
      <c r="K1737" s="2" t="s">
        <v>18</v>
      </c>
    </row>
    <row r="1738" spans="1:11" x14ac:dyDescent="0.3">
      <c r="A1738" s="2" t="s">
        <v>2124</v>
      </c>
      <c r="B1738" s="2" t="s">
        <v>562</v>
      </c>
      <c r="C1738" s="3">
        <v>45919.929166666669</v>
      </c>
      <c r="D1738" s="2" t="s">
        <v>13</v>
      </c>
      <c r="E1738" s="4">
        <v>3132.97</v>
      </c>
      <c r="F1738" s="2" t="s">
        <v>14</v>
      </c>
      <c r="G1738" s="5">
        <v>47</v>
      </c>
      <c r="H1738" s="2" t="s">
        <v>15</v>
      </c>
      <c r="I1738" s="2" t="s">
        <v>34</v>
      </c>
      <c r="J1738" s="2" t="s">
        <v>17</v>
      </c>
      <c r="K1738" s="2" t="s">
        <v>45</v>
      </c>
    </row>
    <row r="1739" spans="1:11" x14ac:dyDescent="0.3">
      <c r="A1739" s="2" t="s">
        <v>2125</v>
      </c>
      <c r="B1739" s="2" t="s">
        <v>217</v>
      </c>
      <c r="C1739" s="3">
        <v>46012.877083333333</v>
      </c>
      <c r="D1739" s="2" t="s">
        <v>28</v>
      </c>
      <c r="E1739" s="4">
        <v>14398.96</v>
      </c>
      <c r="F1739" s="2" t="s">
        <v>14</v>
      </c>
      <c r="G1739" s="5">
        <v>57</v>
      </c>
      <c r="H1739" s="2" t="s">
        <v>15</v>
      </c>
      <c r="I1739" s="2" t="s">
        <v>34</v>
      </c>
      <c r="J1739" s="2" t="s">
        <v>44</v>
      </c>
      <c r="K1739" s="2" t="s">
        <v>35</v>
      </c>
    </row>
    <row r="1740" spans="1:11" x14ac:dyDescent="0.3">
      <c r="A1740" s="2" t="s">
        <v>2126</v>
      </c>
      <c r="B1740" s="2" t="s">
        <v>497</v>
      </c>
      <c r="C1740" s="3">
        <v>45853.518055555563</v>
      </c>
      <c r="D1740" s="2" t="s">
        <v>13</v>
      </c>
      <c r="E1740" s="4">
        <v>919.58</v>
      </c>
      <c r="F1740" s="2" t="s">
        <v>14</v>
      </c>
      <c r="G1740" s="5">
        <v>34</v>
      </c>
      <c r="H1740" s="2" t="s">
        <v>15</v>
      </c>
      <c r="I1740" s="2" t="s">
        <v>21</v>
      </c>
      <c r="J1740" s="2" t="s">
        <v>17</v>
      </c>
      <c r="K1740" s="2" t="s">
        <v>18</v>
      </c>
    </row>
    <row r="1741" spans="1:11" x14ac:dyDescent="0.3">
      <c r="A1741" s="2" t="s">
        <v>2127</v>
      </c>
      <c r="B1741" s="2" t="s">
        <v>543</v>
      </c>
      <c r="C1741" s="3">
        <v>46008.440972222219</v>
      </c>
      <c r="D1741" s="2" t="s">
        <v>13</v>
      </c>
      <c r="E1741" s="4">
        <v>692.53</v>
      </c>
      <c r="F1741" s="2" t="s">
        <v>14</v>
      </c>
      <c r="G1741" s="5">
        <v>41</v>
      </c>
      <c r="H1741" s="2" t="s">
        <v>15</v>
      </c>
      <c r="I1741" s="2" t="s">
        <v>34</v>
      </c>
      <c r="J1741" s="2" t="s">
        <v>44</v>
      </c>
      <c r="K1741" s="2" t="s">
        <v>35</v>
      </c>
    </row>
    <row r="1742" spans="1:11" x14ac:dyDescent="0.3">
      <c r="A1742" s="2" t="s">
        <v>2128</v>
      </c>
      <c r="B1742" s="2" t="s">
        <v>384</v>
      </c>
      <c r="C1742" s="3">
        <v>45685.032638888893</v>
      </c>
      <c r="D1742" s="2" t="s">
        <v>28</v>
      </c>
      <c r="E1742" s="4">
        <v>9436.8799999999992</v>
      </c>
      <c r="F1742" s="2" t="s">
        <v>14</v>
      </c>
      <c r="G1742" s="5">
        <v>32</v>
      </c>
      <c r="H1742" s="2" t="s">
        <v>15</v>
      </c>
      <c r="I1742" s="2" t="s">
        <v>25</v>
      </c>
      <c r="J1742" s="2" t="s">
        <v>17</v>
      </c>
      <c r="K1742" s="2" t="s">
        <v>18</v>
      </c>
    </row>
    <row r="1743" spans="1:11" x14ac:dyDescent="0.3">
      <c r="A1743" s="2" t="s">
        <v>2129</v>
      </c>
      <c r="B1743" s="2" t="s">
        <v>564</v>
      </c>
      <c r="C1743" s="3">
        <v>45786.277083333327</v>
      </c>
      <c r="D1743" s="2" t="s">
        <v>28</v>
      </c>
      <c r="E1743" s="4">
        <v>12024.97</v>
      </c>
      <c r="F1743" s="2" t="s">
        <v>14</v>
      </c>
      <c r="G1743" s="5">
        <v>46</v>
      </c>
      <c r="H1743" s="2" t="s">
        <v>15</v>
      </c>
      <c r="I1743" s="2" t="s">
        <v>25</v>
      </c>
      <c r="J1743" s="2" t="s">
        <v>44</v>
      </c>
      <c r="K1743" s="2" t="s">
        <v>18</v>
      </c>
    </row>
    <row r="1744" spans="1:11" x14ac:dyDescent="0.3">
      <c r="A1744" s="2" t="s">
        <v>2130</v>
      </c>
      <c r="B1744" s="2" t="s">
        <v>393</v>
      </c>
      <c r="C1744" s="3">
        <v>45884.331944444442</v>
      </c>
      <c r="D1744" s="2" t="s">
        <v>33</v>
      </c>
      <c r="E1744" s="4">
        <v>1275.21</v>
      </c>
      <c r="F1744" s="2" t="s">
        <v>14</v>
      </c>
      <c r="G1744" s="5">
        <v>52</v>
      </c>
      <c r="H1744" s="2" t="s">
        <v>29</v>
      </c>
      <c r="I1744" s="2" t="s">
        <v>48</v>
      </c>
      <c r="J1744" s="2" t="s">
        <v>49</v>
      </c>
      <c r="K1744" s="2" t="s">
        <v>45</v>
      </c>
    </row>
    <row r="1745" spans="1:11" x14ac:dyDescent="0.3">
      <c r="A1745" s="2" t="s">
        <v>2131</v>
      </c>
      <c r="B1745" s="2" t="s">
        <v>1408</v>
      </c>
      <c r="C1745" s="3">
        <v>45982.947916666657</v>
      </c>
      <c r="D1745" s="2" t="s">
        <v>38</v>
      </c>
      <c r="E1745" s="4">
        <v>9750.43</v>
      </c>
      <c r="F1745" s="2" t="s">
        <v>14</v>
      </c>
      <c r="G1745" s="5">
        <v>39</v>
      </c>
      <c r="H1745" s="2" t="s">
        <v>15</v>
      </c>
      <c r="I1745" s="2" t="s">
        <v>25</v>
      </c>
      <c r="J1745" s="2" t="s">
        <v>52</v>
      </c>
      <c r="K1745" s="2" t="s">
        <v>18</v>
      </c>
    </row>
    <row r="1746" spans="1:11" x14ac:dyDescent="0.3">
      <c r="A1746" s="2" t="s">
        <v>2132</v>
      </c>
      <c r="B1746" s="2" t="s">
        <v>372</v>
      </c>
      <c r="C1746" s="3">
        <v>45989.491666666669</v>
      </c>
      <c r="D1746" s="2" t="s">
        <v>154</v>
      </c>
      <c r="E1746" s="4">
        <v>20000</v>
      </c>
      <c r="F1746" s="2" t="s">
        <v>14</v>
      </c>
      <c r="G1746" s="5">
        <v>28</v>
      </c>
      <c r="H1746" s="2" t="s">
        <v>29</v>
      </c>
      <c r="I1746" s="2" t="s">
        <v>25</v>
      </c>
      <c r="J1746" s="2" t="s">
        <v>17</v>
      </c>
      <c r="K1746" s="2" t="s">
        <v>45</v>
      </c>
    </row>
    <row r="1747" spans="1:11" x14ac:dyDescent="0.3">
      <c r="A1747" s="2" t="s">
        <v>2133</v>
      </c>
      <c r="B1747" s="2" t="s">
        <v>988</v>
      </c>
      <c r="C1747" s="3">
        <v>45959.740972222222</v>
      </c>
      <c r="D1747" s="2" t="s">
        <v>28</v>
      </c>
      <c r="E1747" s="4">
        <v>21550.38</v>
      </c>
      <c r="F1747" s="2" t="s">
        <v>14</v>
      </c>
      <c r="G1747" s="5">
        <v>35</v>
      </c>
      <c r="H1747" s="2" t="s">
        <v>29</v>
      </c>
      <c r="I1747" s="2" t="s">
        <v>34</v>
      </c>
      <c r="J1747" s="2" t="s">
        <v>49</v>
      </c>
      <c r="K1747" s="2" t="s">
        <v>22</v>
      </c>
    </row>
    <row r="1748" spans="1:11" x14ac:dyDescent="0.3">
      <c r="A1748" s="2" t="s">
        <v>2134</v>
      </c>
      <c r="B1748" s="2" t="s">
        <v>403</v>
      </c>
      <c r="C1748" s="3">
        <v>45966.28402777778</v>
      </c>
      <c r="D1748" s="2" t="s">
        <v>13</v>
      </c>
      <c r="E1748" s="4">
        <v>1758.3</v>
      </c>
      <c r="F1748" s="2" t="s">
        <v>14</v>
      </c>
      <c r="G1748" s="5">
        <v>31</v>
      </c>
      <c r="H1748" s="2" t="s">
        <v>15</v>
      </c>
      <c r="I1748" s="2" t="s">
        <v>34</v>
      </c>
      <c r="J1748" s="2" t="s">
        <v>52</v>
      </c>
      <c r="K1748" s="2" t="s">
        <v>35</v>
      </c>
    </row>
    <row r="1749" spans="1:11" x14ac:dyDescent="0.3">
      <c r="A1749" s="2" t="s">
        <v>2135</v>
      </c>
      <c r="B1749" s="2" t="s">
        <v>12</v>
      </c>
      <c r="C1749" s="3">
        <v>45757.394444444442</v>
      </c>
      <c r="D1749" s="2" t="s">
        <v>13</v>
      </c>
      <c r="E1749" s="4">
        <v>1928.39</v>
      </c>
      <c r="F1749" s="2" t="s">
        <v>14</v>
      </c>
      <c r="G1749" s="5">
        <v>47</v>
      </c>
      <c r="H1749" s="2" t="s">
        <v>15</v>
      </c>
      <c r="I1749" s="2" t="s">
        <v>16</v>
      </c>
      <c r="J1749" s="2" t="s">
        <v>17</v>
      </c>
      <c r="K1749" s="2" t="s">
        <v>18</v>
      </c>
    </row>
    <row r="1750" spans="1:11" x14ac:dyDescent="0.3">
      <c r="A1750" s="2" t="s">
        <v>2136</v>
      </c>
      <c r="B1750" s="2" t="s">
        <v>581</v>
      </c>
      <c r="C1750" s="3">
        <v>45748.87777777778</v>
      </c>
      <c r="D1750" s="2" t="s">
        <v>13</v>
      </c>
      <c r="E1750" s="4">
        <v>986.8</v>
      </c>
      <c r="F1750" s="2" t="s">
        <v>57</v>
      </c>
      <c r="G1750" s="5">
        <v>42</v>
      </c>
      <c r="H1750" s="2" t="s">
        <v>15</v>
      </c>
      <c r="I1750" s="2" t="s">
        <v>21</v>
      </c>
      <c r="J1750" s="2" t="s">
        <v>17</v>
      </c>
      <c r="K1750" s="2" t="s">
        <v>45</v>
      </c>
    </row>
    <row r="1751" spans="1:11" x14ac:dyDescent="0.3">
      <c r="A1751" s="2" t="s">
        <v>2137</v>
      </c>
      <c r="B1751" s="2" t="s">
        <v>767</v>
      </c>
      <c r="C1751" s="3">
        <v>45753.240972222222</v>
      </c>
      <c r="D1751" s="2" t="s">
        <v>33</v>
      </c>
      <c r="E1751" s="4">
        <v>8799.85</v>
      </c>
      <c r="F1751" s="2" t="s">
        <v>14</v>
      </c>
      <c r="G1751" s="5">
        <v>33</v>
      </c>
      <c r="H1751" s="2" t="s">
        <v>29</v>
      </c>
      <c r="I1751" s="2" t="s">
        <v>21</v>
      </c>
      <c r="J1751" s="2" t="s">
        <v>17</v>
      </c>
      <c r="K1751" s="2" t="s">
        <v>45</v>
      </c>
    </row>
    <row r="1752" spans="1:11" x14ac:dyDescent="0.3">
      <c r="A1752" s="2" t="s">
        <v>2138</v>
      </c>
      <c r="B1752" s="2" t="s">
        <v>740</v>
      </c>
      <c r="C1752" s="3">
        <v>45921.14166666667</v>
      </c>
      <c r="D1752" s="2" t="s">
        <v>28</v>
      </c>
      <c r="E1752" s="4">
        <v>64389.82</v>
      </c>
      <c r="F1752" s="2" t="s">
        <v>57</v>
      </c>
      <c r="G1752" s="5">
        <v>44</v>
      </c>
      <c r="H1752" s="2" t="s">
        <v>29</v>
      </c>
      <c r="I1752" s="2" t="s">
        <v>95</v>
      </c>
      <c r="J1752" s="2" t="s">
        <v>44</v>
      </c>
      <c r="K1752" s="2" t="s">
        <v>18</v>
      </c>
    </row>
    <row r="1753" spans="1:11" x14ac:dyDescent="0.3">
      <c r="A1753" s="2" t="s">
        <v>2139</v>
      </c>
      <c r="B1753" s="2" t="s">
        <v>939</v>
      </c>
      <c r="C1753" s="3">
        <v>45678.553472222222</v>
      </c>
      <c r="D1753" s="2" t="s">
        <v>28</v>
      </c>
      <c r="E1753" s="4">
        <v>9289.4699999999993</v>
      </c>
      <c r="F1753" s="2" t="s">
        <v>14</v>
      </c>
      <c r="G1753" s="5">
        <v>29</v>
      </c>
      <c r="H1753" s="2" t="s">
        <v>15</v>
      </c>
      <c r="I1753" s="2" t="s">
        <v>21</v>
      </c>
      <c r="J1753" s="2" t="s">
        <v>17</v>
      </c>
      <c r="K1753" s="2" t="s">
        <v>18</v>
      </c>
    </row>
    <row r="1754" spans="1:11" x14ac:dyDescent="0.3">
      <c r="A1754" s="2" t="s">
        <v>2140</v>
      </c>
      <c r="B1754" s="2" t="s">
        <v>198</v>
      </c>
      <c r="C1754" s="3">
        <v>45942.338888888888</v>
      </c>
      <c r="D1754" s="2" t="s">
        <v>13</v>
      </c>
      <c r="E1754" s="4">
        <v>701.66</v>
      </c>
      <c r="F1754" s="2" t="s">
        <v>14</v>
      </c>
      <c r="G1754" s="5">
        <v>40</v>
      </c>
      <c r="H1754" s="2" t="s">
        <v>29</v>
      </c>
      <c r="I1754" s="2" t="s">
        <v>34</v>
      </c>
      <c r="J1754" s="2" t="s">
        <v>49</v>
      </c>
      <c r="K1754" s="2" t="s">
        <v>45</v>
      </c>
    </row>
    <row r="1755" spans="1:11" x14ac:dyDescent="0.3">
      <c r="A1755" s="2" t="s">
        <v>2141</v>
      </c>
      <c r="B1755" s="2" t="s">
        <v>868</v>
      </c>
      <c r="C1755" s="3">
        <v>45740.787499999999</v>
      </c>
      <c r="D1755" s="2" t="s">
        <v>33</v>
      </c>
      <c r="E1755" s="4">
        <v>16020.36</v>
      </c>
      <c r="F1755" s="2" t="s">
        <v>14</v>
      </c>
      <c r="G1755" s="5">
        <v>32</v>
      </c>
      <c r="H1755" s="2" t="s">
        <v>15</v>
      </c>
      <c r="I1755" s="2" t="s">
        <v>34</v>
      </c>
      <c r="J1755" s="2" t="s">
        <v>17</v>
      </c>
      <c r="K1755" s="2" t="s">
        <v>35</v>
      </c>
    </row>
    <row r="1756" spans="1:11" x14ac:dyDescent="0.3">
      <c r="A1756" s="2" t="s">
        <v>2142</v>
      </c>
      <c r="B1756" s="2" t="s">
        <v>631</v>
      </c>
      <c r="C1756" s="3">
        <v>45788.01458333333</v>
      </c>
      <c r="D1756" s="2" t="s">
        <v>28</v>
      </c>
      <c r="E1756" s="4">
        <v>27811.88</v>
      </c>
      <c r="F1756" s="2" t="s">
        <v>14</v>
      </c>
      <c r="G1756" s="5">
        <v>27</v>
      </c>
      <c r="H1756" s="2" t="s">
        <v>29</v>
      </c>
      <c r="I1756" s="2" t="s">
        <v>34</v>
      </c>
      <c r="J1756" s="2" t="s">
        <v>17</v>
      </c>
      <c r="K1756" s="2" t="s">
        <v>18</v>
      </c>
    </row>
    <row r="1757" spans="1:11" x14ac:dyDescent="0.3">
      <c r="A1757" s="2" t="s">
        <v>2143</v>
      </c>
      <c r="B1757" s="2" t="s">
        <v>115</v>
      </c>
      <c r="C1757" s="3">
        <v>45896.957638888889</v>
      </c>
      <c r="D1757" s="2" t="s">
        <v>13</v>
      </c>
      <c r="E1757" s="4">
        <v>2501.4699999999998</v>
      </c>
      <c r="F1757" s="2" t="s">
        <v>14</v>
      </c>
      <c r="G1757" s="5">
        <v>42</v>
      </c>
      <c r="H1757" s="2" t="s">
        <v>29</v>
      </c>
      <c r="I1757" s="2" t="s">
        <v>34</v>
      </c>
      <c r="J1757" s="2" t="s">
        <v>44</v>
      </c>
      <c r="K1757" s="2" t="s">
        <v>18</v>
      </c>
    </row>
    <row r="1758" spans="1:11" x14ac:dyDescent="0.3">
      <c r="A1758" s="2" t="s">
        <v>2144</v>
      </c>
      <c r="B1758" s="2" t="s">
        <v>538</v>
      </c>
      <c r="C1758" s="3">
        <v>45737.04791666667</v>
      </c>
      <c r="D1758" s="2" t="s">
        <v>38</v>
      </c>
      <c r="E1758" s="4">
        <v>8818.1200000000008</v>
      </c>
      <c r="F1758" s="2" t="s">
        <v>14</v>
      </c>
      <c r="G1758" s="5">
        <v>46</v>
      </c>
      <c r="H1758" s="2" t="s">
        <v>15</v>
      </c>
      <c r="I1758" s="2" t="s">
        <v>43</v>
      </c>
      <c r="J1758" s="2" t="s">
        <v>17</v>
      </c>
      <c r="K1758" s="2" t="s">
        <v>18</v>
      </c>
    </row>
    <row r="1759" spans="1:11" x14ac:dyDescent="0.3">
      <c r="A1759" s="2" t="s">
        <v>2145</v>
      </c>
      <c r="B1759" s="2" t="s">
        <v>1424</v>
      </c>
      <c r="C1759" s="3">
        <v>45823.793749999997</v>
      </c>
      <c r="D1759" s="2" t="s">
        <v>28</v>
      </c>
      <c r="E1759" s="4">
        <v>15352.59</v>
      </c>
      <c r="F1759" s="2" t="s">
        <v>14</v>
      </c>
      <c r="G1759" s="5">
        <v>37</v>
      </c>
      <c r="H1759" s="2" t="s">
        <v>29</v>
      </c>
      <c r="I1759" s="2" t="s">
        <v>95</v>
      </c>
      <c r="J1759" s="2" t="s">
        <v>49</v>
      </c>
      <c r="K1759" s="2" t="s">
        <v>18</v>
      </c>
    </row>
    <row r="1760" spans="1:11" x14ac:dyDescent="0.3">
      <c r="A1760" s="2" t="s">
        <v>2146</v>
      </c>
      <c r="B1760" s="2" t="s">
        <v>1118</v>
      </c>
      <c r="C1760" s="3">
        <v>45978.828472222223</v>
      </c>
      <c r="D1760" s="2" t="s">
        <v>28</v>
      </c>
      <c r="E1760" s="4">
        <v>114862.51</v>
      </c>
      <c r="F1760" s="2" t="s">
        <v>14</v>
      </c>
      <c r="G1760" s="5">
        <v>33</v>
      </c>
      <c r="H1760" s="2" t="s">
        <v>29</v>
      </c>
      <c r="I1760" s="2" t="s">
        <v>34</v>
      </c>
      <c r="J1760" s="2" t="s">
        <v>52</v>
      </c>
      <c r="K1760" s="2" t="s">
        <v>18</v>
      </c>
    </row>
    <row r="1761" spans="1:11" x14ac:dyDescent="0.3">
      <c r="A1761" s="2" t="s">
        <v>2147</v>
      </c>
      <c r="B1761" s="2" t="s">
        <v>631</v>
      </c>
      <c r="C1761" s="3">
        <v>45996.396527777782</v>
      </c>
      <c r="D1761" s="2" t="s">
        <v>38</v>
      </c>
      <c r="E1761" s="4">
        <v>38185.410000000003</v>
      </c>
      <c r="F1761" s="2" t="s">
        <v>14</v>
      </c>
      <c r="G1761" s="5">
        <v>27</v>
      </c>
      <c r="H1761" s="2" t="s">
        <v>29</v>
      </c>
      <c r="I1761" s="2" t="s">
        <v>34</v>
      </c>
      <c r="J1761" s="2" t="s">
        <v>17</v>
      </c>
      <c r="K1761" s="2" t="s">
        <v>45</v>
      </c>
    </row>
    <row r="1762" spans="1:11" x14ac:dyDescent="0.3">
      <c r="A1762" s="2" t="s">
        <v>2148</v>
      </c>
      <c r="B1762" s="2" t="s">
        <v>323</v>
      </c>
      <c r="C1762" s="3">
        <v>45951.723611111112</v>
      </c>
      <c r="D1762" s="2" t="s">
        <v>28</v>
      </c>
      <c r="E1762" s="4">
        <v>18225</v>
      </c>
      <c r="F1762" s="2" t="s">
        <v>57</v>
      </c>
      <c r="G1762" s="5">
        <v>27</v>
      </c>
      <c r="H1762" s="2" t="s">
        <v>29</v>
      </c>
      <c r="I1762" s="2" t="s">
        <v>43</v>
      </c>
      <c r="J1762" s="2" t="s">
        <v>17</v>
      </c>
      <c r="K1762" s="2" t="s">
        <v>18</v>
      </c>
    </row>
    <row r="1763" spans="1:11" x14ac:dyDescent="0.3">
      <c r="A1763" s="2" t="s">
        <v>2149</v>
      </c>
      <c r="B1763" s="2" t="s">
        <v>415</v>
      </c>
      <c r="C1763" s="3">
        <v>45695.930555555547</v>
      </c>
      <c r="D1763" s="2" t="s">
        <v>13</v>
      </c>
      <c r="E1763" s="4">
        <v>2776.51</v>
      </c>
      <c r="F1763" s="2" t="s">
        <v>14</v>
      </c>
      <c r="G1763" s="5">
        <v>30</v>
      </c>
      <c r="H1763" s="2" t="s">
        <v>29</v>
      </c>
      <c r="I1763" s="2" t="s">
        <v>21</v>
      </c>
      <c r="J1763" s="2" t="s">
        <v>49</v>
      </c>
      <c r="K1763" s="2" t="s">
        <v>45</v>
      </c>
    </row>
    <row r="1764" spans="1:11" x14ac:dyDescent="0.3">
      <c r="A1764" s="2" t="s">
        <v>2150</v>
      </c>
      <c r="B1764" s="2" t="s">
        <v>718</v>
      </c>
      <c r="C1764" s="3">
        <v>45927.299305555563</v>
      </c>
      <c r="D1764" s="2" t="s">
        <v>28</v>
      </c>
      <c r="E1764" s="4">
        <v>34647.129999999997</v>
      </c>
      <c r="F1764" s="2" t="s">
        <v>14</v>
      </c>
      <c r="G1764" s="5">
        <v>23</v>
      </c>
      <c r="H1764" s="2" t="s">
        <v>29</v>
      </c>
      <c r="I1764" s="2" t="s">
        <v>34</v>
      </c>
      <c r="J1764" s="2" t="s">
        <v>17</v>
      </c>
      <c r="K1764" s="2" t="s">
        <v>18</v>
      </c>
    </row>
    <row r="1765" spans="1:11" x14ac:dyDescent="0.3">
      <c r="A1765" s="2" t="s">
        <v>2151</v>
      </c>
      <c r="B1765" s="2" t="s">
        <v>221</v>
      </c>
      <c r="C1765" s="3">
        <v>45924.118055555547</v>
      </c>
      <c r="D1765" s="2" t="s">
        <v>28</v>
      </c>
      <c r="E1765" s="4">
        <v>12682.92</v>
      </c>
      <c r="F1765" s="2" t="s">
        <v>14</v>
      </c>
      <c r="G1765" s="5">
        <v>43</v>
      </c>
      <c r="H1765" s="2" t="s">
        <v>15</v>
      </c>
      <c r="I1765" s="2" t="s">
        <v>60</v>
      </c>
      <c r="J1765" s="2" t="s">
        <v>49</v>
      </c>
      <c r="K1765" s="2" t="s">
        <v>45</v>
      </c>
    </row>
    <row r="1766" spans="1:11" x14ac:dyDescent="0.3">
      <c r="A1766" s="2" t="s">
        <v>2152</v>
      </c>
      <c r="B1766" s="2" t="s">
        <v>192</v>
      </c>
      <c r="C1766" s="3">
        <v>45916.226388888892</v>
      </c>
      <c r="D1766" s="2" t="s">
        <v>28</v>
      </c>
      <c r="E1766" s="4">
        <v>41601.32</v>
      </c>
      <c r="F1766" s="2" t="s">
        <v>14</v>
      </c>
      <c r="G1766" s="5">
        <v>48</v>
      </c>
      <c r="H1766" s="2" t="s">
        <v>29</v>
      </c>
      <c r="I1766" s="2" t="s">
        <v>60</v>
      </c>
      <c r="J1766" s="2" t="s">
        <v>49</v>
      </c>
      <c r="K1766" s="2" t="s">
        <v>22</v>
      </c>
    </row>
    <row r="1767" spans="1:11" x14ac:dyDescent="0.3">
      <c r="A1767" s="2" t="s">
        <v>2153</v>
      </c>
      <c r="B1767" s="2" t="s">
        <v>1337</v>
      </c>
      <c r="C1767" s="3">
        <v>45936.725694444453</v>
      </c>
      <c r="D1767" s="2" t="s">
        <v>28</v>
      </c>
      <c r="E1767" s="4">
        <v>14327.8</v>
      </c>
      <c r="F1767" s="2" t="s">
        <v>57</v>
      </c>
      <c r="G1767" s="5">
        <v>38</v>
      </c>
      <c r="H1767" s="2" t="s">
        <v>15</v>
      </c>
      <c r="I1767" s="2" t="s">
        <v>21</v>
      </c>
      <c r="J1767" s="2" t="s">
        <v>17</v>
      </c>
      <c r="K1767" s="2" t="s">
        <v>45</v>
      </c>
    </row>
    <row r="1768" spans="1:11" x14ac:dyDescent="0.3">
      <c r="A1768" s="2" t="s">
        <v>2154</v>
      </c>
      <c r="B1768" s="2" t="s">
        <v>223</v>
      </c>
      <c r="C1768" s="3">
        <v>45705.468055555553</v>
      </c>
      <c r="D1768" s="2" t="s">
        <v>33</v>
      </c>
      <c r="E1768" s="4">
        <v>7550.07</v>
      </c>
      <c r="F1768" s="2" t="s">
        <v>14</v>
      </c>
      <c r="G1768" s="5">
        <v>40</v>
      </c>
      <c r="H1768" s="2" t="s">
        <v>15</v>
      </c>
      <c r="I1768" s="2" t="s">
        <v>34</v>
      </c>
      <c r="J1768" s="2" t="s">
        <v>49</v>
      </c>
      <c r="K1768" s="2" t="s">
        <v>22</v>
      </c>
    </row>
    <row r="1769" spans="1:11" x14ac:dyDescent="0.3">
      <c r="A1769" s="2" t="s">
        <v>2155</v>
      </c>
      <c r="B1769" s="2" t="s">
        <v>144</v>
      </c>
      <c r="C1769" s="3">
        <v>45767.88958333333</v>
      </c>
      <c r="D1769" s="2" t="s">
        <v>13</v>
      </c>
      <c r="E1769" s="4">
        <v>344.03</v>
      </c>
      <c r="F1769" s="2" t="s">
        <v>14</v>
      </c>
      <c r="G1769" s="5">
        <v>49</v>
      </c>
      <c r="H1769" s="2" t="s">
        <v>15</v>
      </c>
      <c r="I1769" s="2" t="s">
        <v>60</v>
      </c>
      <c r="J1769" s="2" t="s">
        <v>17</v>
      </c>
      <c r="K1769" s="2" t="s">
        <v>45</v>
      </c>
    </row>
    <row r="1770" spans="1:11" x14ac:dyDescent="0.3">
      <c r="A1770" s="2" t="s">
        <v>2156</v>
      </c>
      <c r="B1770" s="2" t="s">
        <v>529</v>
      </c>
      <c r="C1770" s="3">
        <v>45827.470833333333</v>
      </c>
      <c r="D1770" s="2" t="s">
        <v>28</v>
      </c>
      <c r="E1770" s="4">
        <v>26738.55</v>
      </c>
      <c r="F1770" s="2" t="s">
        <v>14</v>
      </c>
      <c r="G1770" s="5">
        <v>28</v>
      </c>
      <c r="H1770" s="2" t="s">
        <v>29</v>
      </c>
      <c r="I1770" s="2" t="s">
        <v>34</v>
      </c>
      <c r="J1770" s="2" t="s">
        <v>17</v>
      </c>
      <c r="K1770" s="2" t="s">
        <v>18</v>
      </c>
    </row>
    <row r="1771" spans="1:11" x14ac:dyDescent="0.3">
      <c r="A1771" s="2" t="s">
        <v>2157</v>
      </c>
      <c r="B1771" s="2" t="s">
        <v>165</v>
      </c>
      <c r="C1771" s="3">
        <v>45769.814583333333</v>
      </c>
      <c r="D1771" s="2" t="s">
        <v>28</v>
      </c>
      <c r="E1771" s="4">
        <v>8832.98</v>
      </c>
      <c r="F1771" s="2" t="s">
        <v>14</v>
      </c>
      <c r="G1771" s="5">
        <v>31</v>
      </c>
      <c r="H1771" s="2" t="s">
        <v>29</v>
      </c>
      <c r="I1771" s="2" t="s">
        <v>30</v>
      </c>
      <c r="J1771" s="2" t="s">
        <v>52</v>
      </c>
      <c r="K1771" s="2" t="s">
        <v>22</v>
      </c>
    </row>
    <row r="1772" spans="1:11" x14ac:dyDescent="0.3">
      <c r="A1772" s="2" t="s">
        <v>2158</v>
      </c>
      <c r="B1772" s="2" t="s">
        <v>435</v>
      </c>
      <c r="C1772" s="3">
        <v>45901.744444444441</v>
      </c>
      <c r="D1772" s="2" t="s">
        <v>28</v>
      </c>
      <c r="E1772" s="4">
        <v>23003.919999999998</v>
      </c>
      <c r="F1772" s="2" t="s">
        <v>14</v>
      </c>
      <c r="G1772" s="5">
        <v>30</v>
      </c>
      <c r="H1772" s="2" t="s">
        <v>15</v>
      </c>
      <c r="I1772" s="2" t="s">
        <v>48</v>
      </c>
      <c r="J1772" s="2" t="s">
        <v>44</v>
      </c>
      <c r="K1772" s="2" t="s">
        <v>45</v>
      </c>
    </row>
    <row r="1773" spans="1:11" x14ac:dyDescent="0.3">
      <c r="A1773" s="2" t="s">
        <v>2159</v>
      </c>
      <c r="B1773" s="2" t="s">
        <v>113</v>
      </c>
      <c r="C1773" s="3">
        <v>45990.004861111112</v>
      </c>
      <c r="D1773" s="2" t="s">
        <v>33</v>
      </c>
      <c r="E1773" s="4">
        <v>811.86</v>
      </c>
      <c r="F1773" s="2" t="s">
        <v>14</v>
      </c>
      <c r="G1773" s="5">
        <v>60</v>
      </c>
      <c r="H1773" s="2" t="s">
        <v>29</v>
      </c>
      <c r="I1773" s="2" t="s">
        <v>78</v>
      </c>
      <c r="J1773" s="2" t="s">
        <v>17</v>
      </c>
      <c r="K1773" s="2" t="s">
        <v>18</v>
      </c>
    </row>
    <row r="1774" spans="1:11" x14ac:dyDescent="0.3">
      <c r="A1774" s="2" t="s">
        <v>2160</v>
      </c>
      <c r="B1774" s="2" t="s">
        <v>32</v>
      </c>
      <c r="C1774" s="3">
        <v>46000.477777777778</v>
      </c>
      <c r="D1774" s="2" t="s">
        <v>28</v>
      </c>
      <c r="E1774" s="4">
        <v>2396.35</v>
      </c>
      <c r="F1774" s="2" t="s">
        <v>14</v>
      </c>
      <c r="G1774" s="5">
        <v>53</v>
      </c>
      <c r="H1774" s="2" t="s">
        <v>15</v>
      </c>
      <c r="I1774" s="2" t="s">
        <v>34</v>
      </c>
      <c r="J1774" s="2" t="s">
        <v>17</v>
      </c>
      <c r="K1774" s="2" t="s">
        <v>18</v>
      </c>
    </row>
    <row r="1775" spans="1:11" x14ac:dyDescent="0.3">
      <c r="A1775" s="2" t="s">
        <v>2161</v>
      </c>
      <c r="B1775" s="2" t="s">
        <v>642</v>
      </c>
      <c r="C1775" s="3">
        <v>45781.86041666667</v>
      </c>
      <c r="D1775" s="2" t="s">
        <v>13</v>
      </c>
      <c r="E1775" s="4">
        <v>1513.74</v>
      </c>
      <c r="F1775" s="2" t="s">
        <v>14</v>
      </c>
      <c r="G1775" s="5">
        <v>23</v>
      </c>
      <c r="H1775" s="2" t="s">
        <v>29</v>
      </c>
      <c r="I1775" s="2" t="s">
        <v>16</v>
      </c>
      <c r="J1775" s="2" t="s">
        <v>44</v>
      </c>
      <c r="K1775" s="2" t="s">
        <v>18</v>
      </c>
    </row>
    <row r="1776" spans="1:11" x14ac:dyDescent="0.3">
      <c r="A1776" s="2" t="s">
        <v>2162</v>
      </c>
      <c r="B1776" s="2" t="s">
        <v>943</v>
      </c>
      <c r="C1776" s="3">
        <v>45976.293055555558</v>
      </c>
      <c r="D1776" s="2" t="s">
        <v>28</v>
      </c>
      <c r="E1776" s="4">
        <v>8411.4500000000007</v>
      </c>
      <c r="F1776" s="2" t="s">
        <v>14</v>
      </c>
      <c r="G1776" s="5">
        <v>32</v>
      </c>
      <c r="H1776" s="2" t="s">
        <v>15</v>
      </c>
      <c r="I1776" s="2" t="s">
        <v>95</v>
      </c>
      <c r="J1776" s="2" t="s">
        <v>44</v>
      </c>
      <c r="K1776" s="2" t="s">
        <v>18</v>
      </c>
    </row>
    <row r="1777" spans="1:11" x14ac:dyDescent="0.3">
      <c r="A1777" s="2" t="s">
        <v>2163</v>
      </c>
      <c r="B1777" s="2" t="s">
        <v>517</v>
      </c>
      <c r="C1777" s="3">
        <v>46007.433333333327</v>
      </c>
      <c r="D1777" s="2" t="s">
        <v>33</v>
      </c>
      <c r="E1777" s="4">
        <v>13353.53</v>
      </c>
      <c r="F1777" s="2" t="s">
        <v>14</v>
      </c>
      <c r="G1777" s="5">
        <v>34</v>
      </c>
      <c r="H1777" s="2" t="s">
        <v>15</v>
      </c>
      <c r="I1777" s="2" t="s">
        <v>48</v>
      </c>
      <c r="J1777" s="2" t="s">
        <v>17</v>
      </c>
      <c r="K1777" s="2" t="s">
        <v>45</v>
      </c>
    </row>
    <row r="1778" spans="1:11" x14ac:dyDescent="0.3">
      <c r="A1778" s="2" t="s">
        <v>2164</v>
      </c>
      <c r="B1778" s="2" t="s">
        <v>223</v>
      </c>
      <c r="C1778" s="3">
        <v>45716.511111111111</v>
      </c>
      <c r="D1778" s="2" t="s">
        <v>28</v>
      </c>
      <c r="E1778" s="4">
        <v>16867.150000000001</v>
      </c>
      <c r="F1778" s="2" t="s">
        <v>14</v>
      </c>
      <c r="G1778" s="5">
        <v>40</v>
      </c>
      <c r="H1778" s="2" t="s">
        <v>15</v>
      </c>
      <c r="I1778" s="2" t="s">
        <v>34</v>
      </c>
      <c r="J1778" s="2" t="s">
        <v>49</v>
      </c>
      <c r="K1778" s="2" t="s">
        <v>35</v>
      </c>
    </row>
    <row r="1779" spans="1:11" x14ac:dyDescent="0.3">
      <c r="A1779" s="2" t="s">
        <v>2165</v>
      </c>
      <c r="B1779" s="2" t="s">
        <v>585</v>
      </c>
      <c r="C1779" s="3">
        <v>45934.970833333333</v>
      </c>
      <c r="D1779" s="2" t="s">
        <v>33</v>
      </c>
      <c r="E1779" s="4">
        <v>10747.07</v>
      </c>
      <c r="F1779" s="2" t="s">
        <v>14</v>
      </c>
      <c r="G1779" s="5">
        <v>25</v>
      </c>
      <c r="H1779" s="2" t="s">
        <v>15</v>
      </c>
      <c r="I1779" s="2" t="s">
        <v>95</v>
      </c>
      <c r="J1779" s="2" t="s">
        <v>49</v>
      </c>
      <c r="K1779" s="2" t="s">
        <v>45</v>
      </c>
    </row>
    <row r="1780" spans="1:11" x14ac:dyDescent="0.3">
      <c r="A1780" s="2" t="s">
        <v>2166</v>
      </c>
      <c r="B1780" s="2" t="s">
        <v>270</v>
      </c>
      <c r="C1780" s="3">
        <v>45670.702777777777</v>
      </c>
      <c r="D1780" s="2" t="s">
        <v>28</v>
      </c>
      <c r="E1780" s="4">
        <v>6561.64</v>
      </c>
      <c r="F1780" s="2" t="s">
        <v>14</v>
      </c>
      <c r="G1780" s="5">
        <v>50</v>
      </c>
      <c r="H1780" s="2" t="s">
        <v>29</v>
      </c>
      <c r="I1780" s="2" t="s">
        <v>95</v>
      </c>
      <c r="J1780" s="2" t="s">
        <v>49</v>
      </c>
      <c r="K1780" s="2" t="s">
        <v>18</v>
      </c>
    </row>
    <row r="1781" spans="1:11" x14ac:dyDescent="0.3">
      <c r="A1781" s="2" t="s">
        <v>2167</v>
      </c>
      <c r="B1781" s="2" t="s">
        <v>1194</v>
      </c>
      <c r="C1781" s="3">
        <v>45849.70208333333</v>
      </c>
      <c r="D1781" s="2" t="s">
        <v>28</v>
      </c>
      <c r="E1781" s="4">
        <v>40446.120000000003</v>
      </c>
      <c r="F1781" s="2" t="s">
        <v>14</v>
      </c>
      <c r="G1781" s="5">
        <v>57</v>
      </c>
      <c r="H1781" s="2" t="s">
        <v>29</v>
      </c>
      <c r="I1781" s="2" t="s">
        <v>16</v>
      </c>
      <c r="J1781" s="2" t="s">
        <v>44</v>
      </c>
      <c r="K1781" s="2" t="s">
        <v>35</v>
      </c>
    </row>
    <row r="1782" spans="1:11" x14ac:dyDescent="0.3">
      <c r="A1782" s="2" t="s">
        <v>2168</v>
      </c>
      <c r="B1782" s="2" t="s">
        <v>132</v>
      </c>
      <c r="C1782" s="3">
        <v>45918.604861111111</v>
      </c>
      <c r="D1782" s="2" t="s">
        <v>28</v>
      </c>
      <c r="E1782" s="4">
        <v>5497.05</v>
      </c>
      <c r="F1782" s="2" t="s">
        <v>14</v>
      </c>
      <c r="G1782" s="5">
        <v>20</v>
      </c>
      <c r="H1782" s="2" t="s">
        <v>15</v>
      </c>
      <c r="I1782" s="2" t="s">
        <v>43</v>
      </c>
      <c r="J1782" s="2" t="s">
        <v>17</v>
      </c>
      <c r="K1782" s="2" t="s">
        <v>18</v>
      </c>
    </row>
    <row r="1783" spans="1:11" x14ac:dyDescent="0.3">
      <c r="A1783" s="2" t="s">
        <v>2169</v>
      </c>
      <c r="B1783" s="2" t="s">
        <v>156</v>
      </c>
      <c r="C1783" s="3">
        <v>45680.414583333331</v>
      </c>
      <c r="D1783" s="2" t="s">
        <v>13</v>
      </c>
      <c r="E1783" s="4">
        <v>6517.15</v>
      </c>
      <c r="F1783" s="2" t="s">
        <v>14</v>
      </c>
      <c r="G1783" s="5">
        <v>22</v>
      </c>
      <c r="H1783" s="2" t="s">
        <v>29</v>
      </c>
      <c r="I1783" s="2" t="s">
        <v>34</v>
      </c>
      <c r="J1783" s="2" t="s">
        <v>52</v>
      </c>
      <c r="K1783" s="2" t="s">
        <v>18</v>
      </c>
    </row>
    <row r="1784" spans="1:11" x14ac:dyDescent="0.3">
      <c r="A1784" s="2" t="s">
        <v>2170</v>
      </c>
      <c r="B1784" s="2" t="s">
        <v>286</v>
      </c>
      <c r="C1784" s="3">
        <v>45991.263888888891</v>
      </c>
      <c r="D1784" s="2" t="s">
        <v>28</v>
      </c>
      <c r="E1784" s="4">
        <v>2601.06</v>
      </c>
      <c r="F1784" s="2" t="s">
        <v>57</v>
      </c>
      <c r="G1784" s="5">
        <v>60</v>
      </c>
      <c r="H1784" s="2" t="s">
        <v>29</v>
      </c>
      <c r="I1784" s="2" t="s">
        <v>21</v>
      </c>
      <c r="J1784" s="2" t="s">
        <v>17</v>
      </c>
      <c r="K1784" s="2" t="s">
        <v>45</v>
      </c>
    </row>
    <row r="1785" spans="1:11" x14ac:dyDescent="0.3">
      <c r="A1785" s="2" t="s">
        <v>2171</v>
      </c>
      <c r="B1785" s="2" t="s">
        <v>311</v>
      </c>
      <c r="C1785" s="3">
        <v>45921.087500000001</v>
      </c>
      <c r="D1785" s="2" t="s">
        <v>13</v>
      </c>
      <c r="E1785" s="4">
        <v>1790.21</v>
      </c>
      <c r="F1785" s="2" t="s">
        <v>14</v>
      </c>
      <c r="G1785" s="5">
        <v>56</v>
      </c>
      <c r="H1785" s="2" t="s">
        <v>29</v>
      </c>
      <c r="I1785" s="2" t="s">
        <v>60</v>
      </c>
      <c r="J1785" s="2" t="s">
        <v>49</v>
      </c>
      <c r="K1785" s="2" t="s">
        <v>45</v>
      </c>
    </row>
    <row r="1786" spans="1:11" x14ac:dyDescent="0.3">
      <c r="A1786" s="2" t="s">
        <v>2172</v>
      </c>
      <c r="B1786" s="2" t="s">
        <v>51</v>
      </c>
      <c r="C1786" s="3">
        <v>45743.731944444437</v>
      </c>
      <c r="D1786" s="2" t="s">
        <v>13</v>
      </c>
      <c r="E1786" s="4">
        <v>229.22</v>
      </c>
      <c r="F1786" s="2" t="s">
        <v>14</v>
      </c>
      <c r="G1786" s="5">
        <v>30</v>
      </c>
      <c r="H1786" s="2" t="s">
        <v>29</v>
      </c>
      <c r="I1786" s="2" t="s">
        <v>48</v>
      </c>
      <c r="J1786" s="2" t="s">
        <v>52</v>
      </c>
      <c r="K1786" s="2" t="s">
        <v>18</v>
      </c>
    </row>
    <row r="1787" spans="1:11" x14ac:dyDescent="0.3">
      <c r="A1787" s="2" t="s">
        <v>2173</v>
      </c>
      <c r="B1787" s="2" t="s">
        <v>930</v>
      </c>
      <c r="C1787" s="3">
        <v>45661.836111111108</v>
      </c>
      <c r="D1787" s="2" t="s">
        <v>33</v>
      </c>
      <c r="E1787" s="4">
        <v>9104.1299999999992</v>
      </c>
      <c r="F1787" s="2" t="s">
        <v>14</v>
      </c>
      <c r="G1787" s="5">
        <v>27</v>
      </c>
      <c r="H1787" s="2" t="s">
        <v>29</v>
      </c>
      <c r="I1787" s="2" t="s">
        <v>16</v>
      </c>
      <c r="J1787" s="2" t="s">
        <v>52</v>
      </c>
      <c r="K1787" s="2" t="s">
        <v>22</v>
      </c>
    </row>
    <row r="1788" spans="1:11" x14ac:dyDescent="0.3">
      <c r="A1788" s="2" t="s">
        <v>2174</v>
      </c>
      <c r="B1788" s="2" t="s">
        <v>792</v>
      </c>
      <c r="C1788" s="3">
        <v>45765.902777777781</v>
      </c>
      <c r="D1788" s="2" t="s">
        <v>28</v>
      </c>
      <c r="E1788" s="4">
        <v>4895.49</v>
      </c>
      <c r="F1788" s="2" t="s">
        <v>57</v>
      </c>
      <c r="G1788" s="5">
        <v>28</v>
      </c>
      <c r="H1788" s="2" t="s">
        <v>29</v>
      </c>
      <c r="I1788" s="2" t="s">
        <v>34</v>
      </c>
      <c r="J1788" s="2" t="s">
        <v>17</v>
      </c>
      <c r="K1788" s="2" t="s">
        <v>35</v>
      </c>
    </row>
    <row r="1789" spans="1:11" x14ac:dyDescent="0.3">
      <c r="A1789" s="2" t="s">
        <v>2175</v>
      </c>
      <c r="B1789" s="2" t="s">
        <v>73</v>
      </c>
      <c r="C1789" s="3">
        <v>45767.893750000003</v>
      </c>
      <c r="D1789" s="2" t="s">
        <v>33</v>
      </c>
      <c r="E1789" s="4">
        <v>1056.99</v>
      </c>
      <c r="F1789" s="2" t="s">
        <v>14</v>
      </c>
      <c r="G1789" s="5">
        <v>33</v>
      </c>
      <c r="H1789" s="2" t="s">
        <v>15</v>
      </c>
      <c r="I1789" s="2" t="s">
        <v>21</v>
      </c>
      <c r="J1789" s="2" t="s">
        <v>49</v>
      </c>
      <c r="K1789" s="2" t="s">
        <v>18</v>
      </c>
    </row>
    <row r="1790" spans="1:11" x14ac:dyDescent="0.3">
      <c r="A1790" s="2" t="s">
        <v>2176</v>
      </c>
      <c r="B1790" s="2" t="s">
        <v>1171</v>
      </c>
      <c r="C1790" s="3">
        <v>45711.273611111108</v>
      </c>
      <c r="D1790" s="2" t="s">
        <v>28</v>
      </c>
      <c r="E1790" s="4">
        <v>21262.15</v>
      </c>
      <c r="F1790" s="2" t="s">
        <v>14</v>
      </c>
      <c r="G1790" s="5">
        <v>32</v>
      </c>
      <c r="H1790" s="2" t="s">
        <v>29</v>
      </c>
      <c r="I1790" s="2" t="s">
        <v>34</v>
      </c>
      <c r="J1790" s="2" t="s">
        <v>17</v>
      </c>
      <c r="K1790" s="2" t="s">
        <v>18</v>
      </c>
    </row>
    <row r="1791" spans="1:11" x14ac:dyDescent="0.3">
      <c r="A1791" s="2" t="s">
        <v>2177</v>
      </c>
      <c r="B1791" s="2" t="s">
        <v>784</v>
      </c>
      <c r="C1791" s="3">
        <v>46017.992361111108</v>
      </c>
      <c r="D1791" s="2" t="s">
        <v>13</v>
      </c>
      <c r="E1791" s="4">
        <v>2454.0100000000002</v>
      </c>
      <c r="F1791" s="2" t="s">
        <v>14</v>
      </c>
      <c r="G1791" s="5">
        <v>24</v>
      </c>
      <c r="H1791" s="2" t="s">
        <v>15</v>
      </c>
      <c r="I1791" s="2" t="s">
        <v>34</v>
      </c>
      <c r="J1791" s="2" t="s">
        <v>17</v>
      </c>
      <c r="K1791" s="2" t="s">
        <v>18</v>
      </c>
    </row>
    <row r="1792" spans="1:11" x14ac:dyDescent="0.3">
      <c r="A1792" s="2" t="s">
        <v>2178</v>
      </c>
      <c r="B1792" s="2" t="s">
        <v>829</v>
      </c>
      <c r="C1792" s="3">
        <v>45880.869444444441</v>
      </c>
      <c r="D1792" s="2" t="s">
        <v>38</v>
      </c>
      <c r="E1792" s="4">
        <v>888.64</v>
      </c>
      <c r="F1792" s="2" t="s">
        <v>14</v>
      </c>
      <c r="G1792" s="5">
        <v>43</v>
      </c>
      <c r="H1792" s="2" t="s">
        <v>15</v>
      </c>
      <c r="I1792" s="2" t="s">
        <v>25</v>
      </c>
      <c r="J1792" s="2" t="s">
        <v>52</v>
      </c>
      <c r="K1792" s="2" t="s">
        <v>22</v>
      </c>
    </row>
    <row r="1793" spans="1:11" x14ac:dyDescent="0.3">
      <c r="A1793" s="2" t="s">
        <v>2179</v>
      </c>
      <c r="B1793" s="2" t="s">
        <v>64</v>
      </c>
      <c r="C1793" s="3">
        <v>45694.988194444442</v>
      </c>
      <c r="D1793" s="2" t="s">
        <v>154</v>
      </c>
      <c r="E1793" s="4">
        <v>20000</v>
      </c>
      <c r="F1793" s="2" t="s">
        <v>14</v>
      </c>
      <c r="G1793" s="5">
        <v>51</v>
      </c>
      <c r="H1793" s="2" t="s">
        <v>29</v>
      </c>
      <c r="I1793" s="2" t="s">
        <v>25</v>
      </c>
      <c r="J1793" s="2" t="s">
        <v>44</v>
      </c>
      <c r="K1793" s="2" t="s">
        <v>18</v>
      </c>
    </row>
    <row r="1794" spans="1:11" x14ac:dyDescent="0.3">
      <c r="A1794" s="2" t="s">
        <v>2180</v>
      </c>
      <c r="B1794" s="2" t="s">
        <v>250</v>
      </c>
      <c r="C1794" s="3">
        <v>45736.020138888889</v>
      </c>
      <c r="D1794" s="2" t="s">
        <v>28</v>
      </c>
      <c r="E1794" s="4">
        <v>11402.17</v>
      </c>
      <c r="F1794" s="2" t="s">
        <v>14</v>
      </c>
      <c r="G1794" s="5">
        <v>29</v>
      </c>
      <c r="H1794" s="2" t="s">
        <v>15</v>
      </c>
      <c r="I1794" s="2" t="s">
        <v>25</v>
      </c>
      <c r="J1794" s="2" t="s">
        <v>17</v>
      </c>
      <c r="K1794" s="2" t="s">
        <v>45</v>
      </c>
    </row>
    <row r="1795" spans="1:11" x14ac:dyDescent="0.3">
      <c r="A1795" s="2" t="s">
        <v>2181</v>
      </c>
      <c r="B1795" s="2" t="s">
        <v>338</v>
      </c>
      <c r="C1795" s="3">
        <v>45827.045138888891</v>
      </c>
      <c r="D1795" s="2" t="s">
        <v>13</v>
      </c>
      <c r="E1795" s="4">
        <v>613.76</v>
      </c>
      <c r="F1795" s="2" t="s">
        <v>14</v>
      </c>
      <c r="G1795" s="5">
        <v>31</v>
      </c>
      <c r="H1795" s="2" t="s">
        <v>15</v>
      </c>
      <c r="I1795" s="2" t="s">
        <v>30</v>
      </c>
      <c r="J1795" s="2" t="s">
        <v>49</v>
      </c>
      <c r="K1795" s="2" t="s">
        <v>18</v>
      </c>
    </row>
    <row r="1796" spans="1:11" x14ac:dyDescent="0.3">
      <c r="A1796" s="2" t="s">
        <v>2182</v>
      </c>
      <c r="B1796" s="2" t="s">
        <v>370</v>
      </c>
      <c r="C1796" s="3">
        <v>45695.049305555563</v>
      </c>
      <c r="D1796" s="2" t="s">
        <v>38</v>
      </c>
      <c r="E1796" s="4">
        <v>1147.3800000000001</v>
      </c>
      <c r="F1796" s="2" t="s">
        <v>14</v>
      </c>
      <c r="G1796" s="5">
        <v>35</v>
      </c>
      <c r="H1796" s="2" t="s">
        <v>15</v>
      </c>
      <c r="I1796" s="2" t="s">
        <v>34</v>
      </c>
      <c r="J1796" s="2" t="s">
        <v>49</v>
      </c>
      <c r="K1796" s="2" t="s">
        <v>45</v>
      </c>
    </row>
    <row r="1797" spans="1:11" x14ac:dyDescent="0.3">
      <c r="A1797" s="2" t="s">
        <v>2183</v>
      </c>
      <c r="B1797" s="2" t="s">
        <v>603</v>
      </c>
      <c r="C1797" s="3">
        <v>45786.711111111108</v>
      </c>
      <c r="D1797" s="2" t="s">
        <v>28</v>
      </c>
      <c r="E1797" s="4">
        <v>14083.03</v>
      </c>
      <c r="F1797" s="2" t="s">
        <v>57</v>
      </c>
      <c r="G1797" s="5">
        <v>49</v>
      </c>
      <c r="H1797" s="2" t="s">
        <v>15</v>
      </c>
      <c r="I1797" s="2" t="s">
        <v>34</v>
      </c>
      <c r="J1797" s="2" t="s">
        <v>17</v>
      </c>
      <c r="K1797" s="2" t="s">
        <v>18</v>
      </c>
    </row>
    <row r="1798" spans="1:11" x14ac:dyDescent="0.3">
      <c r="A1798" s="2" t="s">
        <v>2184</v>
      </c>
      <c r="B1798" s="2" t="s">
        <v>343</v>
      </c>
      <c r="C1798" s="3">
        <v>45952.331944444442</v>
      </c>
      <c r="D1798" s="2" t="s">
        <v>28</v>
      </c>
      <c r="E1798" s="4">
        <v>6209.6</v>
      </c>
      <c r="F1798" s="2" t="s">
        <v>14</v>
      </c>
      <c r="G1798" s="5">
        <v>38</v>
      </c>
      <c r="H1798" s="2" t="s">
        <v>15</v>
      </c>
      <c r="I1798" s="2" t="s">
        <v>34</v>
      </c>
      <c r="J1798" s="2" t="s">
        <v>17</v>
      </c>
      <c r="K1798" s="2" t="s">
        <v>18</v>
      </c>
    </row>
    <row r="1799" spans="1:11" x14ac:dyDescent="0.3">
      <c r="A1799" s="2" t="s">
        <v>2185</v>
      </c>
      <c r="B1799" s="2" t="s">
        <v>593</v>
      </c>
      <c r="C1799" s="3">
        <v>45790.558333333327</v>
      </c>
      <c r="D1799" s="2" t="s">
        <v>28</v>
      </c>
      <c r="E1799" s="4">
        <v>14492.63</v>
      </c>
      <c r="F1799" s="2" t="s">
        <v>57</v>
      </c>
      <c r="G1799" s="5">
        <v>33</v>
      </c>
      <c r="H1799" s="2" t="s">
        <v>15</v>
      </c>
      <c r="I1799" s="2" t="s">
        <v>43</v>
      </c>
      <c r="J1799" s="2" t="s">
        <v>17</v>
      </c>
      <c r="K1799" s="2" t="s">
        <v>18</v>
      </c>
    </row>
    <row r="1800" spans="1:11" x14ac:dyDescent="0.3">
      <c r="A1800" s="2" t="s">
        <v>2186</v>
      </c>
      <c r="B1800" s="2" t="s">
        <v>364</v>
      </c>
      <c r="C1800" s="3">
        <v>45888.850694444453</v>
      </c>
      <c r="D1800" s="2" t="s">
        <v>38</v>
      </c>
      <c r="E1800" s="4">
        <v>28450.91</v>
      </c>
      <c r="F1800" s="2" t="s">
        <v>14</v>
      </c>
      <c r="G1800" s="5">
        <v>32</v>
      </c>
      <c r="H1800" s="2" t="s">
        <v>15</v>
      </c>
      <c r="I1800" s="2" t="s">
        <v>34</v>
      </c>
      <c r="J1800" s="2" t="s">
        <v>17</v>
      </c>
      <c r="K1800" s="2" t="s">
        <v>18</v>
      </c>
    </row>
    <row r="1801" spans="1:11" x14ac:dyDescent="0.3">
      <c r="A1801" s="2" t="s">
        <v>2187</v>
      </c>
      <c r="B1801" s="2" t="s">
        <v>211</v>
      </c>
      <c r="C1801" s="3">
        <v>45879.417361111111</v>
      </c>
      <c r="D1801" s="2" t="s">
        <v>28</v>
      </c>
      <c r="E1801" s="4">
        <v>41913.919999999998</v>
      </c>
      <c r="F1801" s="2" t="s">
        <v>14</v>
      </c>
      <c r="G1801" s="5">
        <v>30</v>
      </c>
      <c r="H1801" s="2" t="s">
        <v>15</v>
      </c>
      <c r="I1801" s="2" t="s">
        <v>16</v>
      </c>
      <c r="J1801" s="2" t="s">
        <v>17</v>
      </c>
      <c r="K1801" s="2" t="s">
        <v>18</v>
      </c>
    </row>
    <row r="1802" spans="1:11" x14ac:dyDescent="0.3">
      <c r="A1802" s="2" t="s">
        <v>2188</v>
      </c>
      <c r="B1802" s="2" t="s">
        <v>51</v>
      </c>
      <c r="C1802" s="3">
        <v>45857.879861111112</v>
      </c>
      <c r="D1802" s="2" t="s">
        <v>13</v>
      </c>
      <c r="E1802" s="4">
        <v>335.33</v>
      </c>
      <c r="F1802" s="2" t="s">
        <v>14</v>
      </c>
      <c r="G1802" s="5">
        <v>30</v>
      </c>
      <c r="H1802" s="2" t="s">
        <v>29</v>
      </c>
      <c r="I1802" s="2" t="s">
        <v>48</v>
      </c>
      <c r="J1802" s="2" t="s">
        <v>52</v>
      </c>
      <c r="K1802" s="2" t="s">
        <v>45</v>
      </c>
    </row>
    <row r="1803" spans="1:11" x14ac:dyDescent="0.3">
      <c r="A1803" s="2" t="s">
        <v>2189</v>
      </c>
      <c r="B1803" s="2" t="s">
        <v>64</v>
      </c>
      <c r="C1803" s="3">
        <v>45931.02847222222</v>
      </c>
      <c r="D1803" s="2" t="s">
        <v>28</v>
      </c>
      <c r="E1803" s="4">
        <v>14509.79</v>
      </c>
      <c r="F1803" s="2" t="s">
        <v>14</v>
      </c>
      <c r="G1803" s="5">
        <v>51</v>
      </c>
      <c r="H1803" s="2" t="s">
        <v>29</v>
      </c>
      <c r="I1803" s="2" t="s">
        <v>25</v>
      </c>
      <c r="J1803" s="2" t="s">
        <v>44</v>
      </c>
      <c r="K1803" s="2" t="s">
        <v>22</v>
      </c>
    </row>
    <row r="1804" spans="1:11" x14ac:dyDescent="0.3">
      <c r="A1804" s="2" t="s">
        <v>2190</v>
      </c>
      <c r="B1804" s="2" t="s">
        <v>732</v>
      </c>
      <c r="C1804" s="3">
        <v>45974.116666666669</v>
      </c>
      <c r="D1804" s="2" t="s">
        <v>28</v>
      </c>
      <c r="E1804" s="4">
        <v>35534.58</v>
      </c>
      <c r="F1804" s="2" t="s">
        <v>14</v>
      </c>
      <c r="G1804" s="5">
        <v>36</v>
      </c>
      <c r="H1804" s="2" t="s">
        <v>29</v>
      </c>
      <c r="I1804" s="2" t="s">
        <v>43</v>
      </c>
      <c r="J1804" s="2" t="s">
        <v>49</v>
      </c>
      <c r="K1804" s="2" t="s">
        <v>18</v>
      </c>
    </row>
    <row r="1805" spans="1:11" x14ac:dyDescent="0.3">
      <c r="A1805" s="2" t="s">
        <v>2191</v>
      </c>
      <c r="B1805" s="2" t="s">
        <v>377</v>
      </c>
      <c r="C1805" s="3">
        <v>45957.072222222218</v>
      </c>
      <c r="D1805" s="2" t="s">
        <v>13</v>
      </c>
      <c r="E1805" s="4">
        <v>4326.09</v>
      </c>
      <c r="F1805" s="2" t="s">
        <v>57</v>
      </c>
      <c r="G1805" s="5">
        <v>39</v>
      </c>
      <c r="H1805" s="2" t="s">
        <v>15</v>
      </c>
      <c r="I1805" s="2" t="s">
        <v>43</v>
      </c>
      <c r="J1805" s="2" t="s">
        <v>17</v>
      </c>
      <c r="K1805" s="2" t="s">
        <v>18</v>
      </c>
    </row>
    <row r="1806" spans="1:11" x14ac:dyDescent="0.3">
      <c r="A1806" s="2" t="s">
        <v>2192</v>
      </c>
      <c r="B1806" s="2" t="s">
        <v>746</v>
      </c>
      <c r="C1806" s="3">
        <v>45695.499305555553</v>
      </c>
      <c r="D1806" s="2" t="s">
        <v>33</v>
      </c>
      <c r="E1806" s="4">
        <v>2069.0700000000002</v>
      </c>
      <c r="F1806" s="2" t="s">
        <v>14</v>
      </c>
      <c r="G1806" s="5">
        <v>44</v>
      </c>
      <c r="H1806" s="2" t="s">
        <v>15</v>
      </c>
      <c r="I1806" s="2" t="s">
        <v>21</v>
      </c>
      <c r="J1806" s="2" t="s">
        <v>17</v>
      </c>
      <c r="K1806" s="2" t="s">
        <v>45</v>
      </c>
    </row>
    <row r="1807" spans="1:11" x14ac:dyDescent="0.3">
      <c r="A1807" s="2" t="s">
        <v>2193</v>
      </c>
      <c r="B1807" s="2" t="s">
        <v>1306</v>
      </c>
      <c r="C1807" s="3">
        <v>45915.137499999997</v>
      </c>
      <c r="D1807" s="2" t="s">
        <v>38</v>
      </c>
      <c r="E1807" s="4">
        <v>1093.6099999999999</v>
      </c>
      <c r="F1807" s="2" t="s">
        <v>14</v>
      </c>
      <c r="G1807" s="5">
        <v>40</v>
      </c>
      <c r="H1807" s="2" t="s">
        <v>29</v>
      </c>
      <c r="I1807" s="2" t="s">
        <v>48</v>
      </c>
      <c r="J1807" s="2" t="s">
        <v>17</v>
      </c>
      <c r="K1807" s="2" t="s">
        <v>45</v>
      </c>
    </row>
    <row r="1808" spans="1:11" x14ac:dyDescent="0.3">
      <c r="A1808" s="2" t="s">
        <v>2194</v>
      </c>
      <c r="B1808" s="2" t="s">
        <v>113</v>
      </c>
      <c r="C1808" s="3">
        <v>46009.401388888888</v>
      </c>
      <c r="D1808" s="2" t="s">
        <v>13</v>
      </c>
      <c r="E1808" s="4">
        <v>264.92</v>
      </c>
      <c r="F1808" s="2" t="s">
        <v>14</v>
      </c>
      <c r="G1808" s="5">
        <v>60</v>
      </c>
      <c r="H1808" s="2" t="s">
        <v>29</v>
      </c>
      <c r="I1808" s="2" t="s">
        <v>78</v>
      </c>
      <c r="J1808" s="2" t="s">
        <v>17</v>
      </c>
      <c r="K1808" s="2" t="s">
        <v>35</v>
      </c>
    </row>
    <row r="1809" spans="1:11" x14ac:dyDescent="0.3">
      <c r="A1809" s="2" t="s">
        <v>2195</v>
      </c>
      <c r="B1809" s="2" t="s">
        <v>1214</v>
      </c>
      <c r="C1809" s="3">
        <v>45702.408333333333</v>
      </c>
      <c r="D1809" s="2" t="s">
        <v>13</v>
      </c>
      <c r="E1809" s="4">
        <v>1474.83</v>
      </c>
      <c r="F1809" s="2" t="s">
        <v>14</v>
      </c>
      <c r="G1809" s="5">
        <v>54</v>
      </c>
      <c r="H1809" s="2" t="s">
        <v>29</v>
      </c>
      <c r="I1809" s="2" t="s">
        <v>95</v>
      </c>
      <c r="J1809" s="2" t="s">
        <v>52</v>
      </c>
      <c r="K1809" s="2" t="s">
        <v>18</v>
      </c>
    </row>
    <row r="1810" spans="1:11" x14ac:dyDescent="0.3">
      <c r="A1810" s="2" t="s">
        <v>2196</v>
      </c>
      <c r="B1810" s="2" t="s">
        <v>468</v>
      </c>
      <c r="C1810" s="3">
        <v>45882.517361111109</v>
      </c>
      <c r="D1810" s="2" t="s">
        <v>28</v>
      </c>
      <c r="E1810" s="4">
        <v>1182.81</v>
      </c>
      <c r="F1810" s="2" t="s">
        <v>14</v>
      </c>
      <c r="G1810" s="5">
        <v>50</v>
      </c>
      <c r="H1810" s="2" t="s">
        <v>29</v>
      </c>
      <c r="I1810" s="2" t="s">
        <v>25</v>
      </c>
      <c r="J1810" s="2" t="s">
        <v>17</v>
      </c>
      <c r="K1810" s="2" t="s">
        <v>18</v>
      </c>
    </row>
    <row r="1811" spans="1:11" x14ac:dyDescent="0.3">
      <c r="A1811" s="2" t="s">
        <v>2197</v>
      </c>
      <c r="B1811" s="2" t="s">
        <v>567</v>
      </c>
      <c r="C1811" s="3">
        <v>45996.020833333343</v>
      </c>
      <c r="D1811" s="2" t="s">
        <v>33</v>
      </c>
      <c r="E1811" s="4">
        <v>5385.63</v>
      </c>
      <c r="F1811" s="2" t="s">
        <v>57</v>
      </c>
      <c r="G1811" s="5">
        <v>39</v>
      </c>
      <c r="H1811" s="2" t="s">
        <v>15</v>
      </c>
      <c r="I1811" s="2" t="s">
        <v>48</v>
      </c>
      <c r="J1811" s="2" t="s">
        <v>17</v>
      </c>
      <c r="K1811" s="2" t="s">
        <v>18</v>
      </c>
    </row>
    <row r="1812" spans="1:11" x14ac:dyDescent="0.3">
      <c r="A1812" s="2" t="s">
        <v>2198</v>
      </c>
      <c r="B1812" s="2" t="s">
        <v>585</v>
      </c>
      <c r="C1812" s="3">
        <v>45738.718055555553</v>
      </c>
      <c r="D1812" s="2" t="s">
        <v>28</v>
      </c>
      <c r="E1812" s="4">
        <v>20043.990000000002</v>
      </c>
      <c r="F1812" s="2" t="s">
        <v>14</v>
      </c>
      <c r="G1812" s="5">
        <v>25</v>
      </c>
      <c r="H1812" s="2" t="s">
        <v>15</v>
      </c>
      <c r="I1812" s="2" t="s">
        <v>95</v>
      </c>
      <c r="J1812" s="2" t="s">
        <v>49</v>
      </c>
      <c r="K1812" s="2" t="s">
        <v>35</v>
      </c>
    </row>
    <row r="1813" spans="1:11" x14ac:dyDescent="0.3">
      <c r="A1813" s="2" t="s">
        <v>2199</v>
      </c>
      <c r="B1813" s="2" t="s">
        <v>1962</v>
      </c>
      <c r="C1813" s="3">
        <v>45727.975694444453</v>
      </c>
      <c r="D1813" s="2" t="s">
        <v>33</v>
      </c>
      <c r="E1813" s="4">
        <v>40586.07</v>
      </c>
      <c r="F1813" s="2" t="s">
        <v>14</v>
      </c>
      <c r="G1813" s="5">
        <v>41</v>
      </c>
      <c r="H1813" s="2" t="s">
        <v>15</v>
      </c>
      <c r="I1813" s="2" t="s">
        <v>34</v>
      </c>
      <c r="J1813" s="2" t="s">
        <v>52</v>
      </c>
      <c r="K1813" s="2" t="s">
        <v>18</v>
      </c>
    </row>
    <row r="1814" spans="1:11" x14ac:dyDescent="0.3">
      <c r="A1814" s="2" t="s">
        <v>2200</v>
      </c>
      <c r="B1814" s="2" t="s">
        <v>893</v>
      </c>
      <c r="C1814" s="3">
        <v>45937.402777777781</v>
      </c>
      <c r="D1814" s="2" t="s">
        <v>28</v>
      </c>
      <c r="E1814" s="4">
        <v>3841.79</v>
      </c>
      <c r="F1814" s="2" t="s">
        <v>57</v>
      </c>
      <c r="G1814" s="5">
        <v>26</v>
      </c>
      <c r="H1814" s="2" t="s">
        <v>15</v>
      </c>
      <c r="I1814" s="2" t="s">
        <v>34</v>
      </c>
      <c r="J1814" s="2" t="s">
        <v>17</v>
      </c>
      <c r="K1814" s="2" t="s">
        <v>18</v>
      </c>
    </row>
    <row r="1815" spans="1:11" x14ac:dyDescent="0.3">
      <c r="A1815" s="2" t="s">
        <v>2201</v>
      </c>
      <c r="B1815" s="2" t="s">
        <v>1130</v>
      </c>
      <c r="C1815" s="3">
        <v>45731.404861111107</v>
      </c>
      <c r="D1815" s="2" t="s">
        <v>33</v>
      </c>
      <c r="E1815" s="4">
        <v>4358.62</v>
      </c>
      <c r="F1815" s="2" t="s">
        <v>14</v>
      </c>
      <c r="G1815" s="5">
        <v>36</v>
      </c>
      <c r="H1815" s="2" t="s">
        <v>29</v>
      </c>
      <c r="I1815" s="2" t="s">
        <v>34</v>
      </c>
      <c r="J1815" s="2" t="s">
        <v>52</v>
      </c>
      <c r="K1815" s="2" t="s">
        <v>18</v>
      </c>
    </row>
    <row r="1816" spans="1:11" x14ac:dyDescent="0.3">
      <c r="A1816" s="2" t="s">
        <v>2202</v>
      </c>
      <c r="B1816" s="2" t="s">
        <v>134</v>
      </c>
      <c r="C1816" s="3">
        <v>45989.458333333343</v>
      </c>
      <c r="D1816" s="2" t="s">
        <v>28</v>
      </c>
      <c r="E1816" s="4">
        <v>7775.01</v>
      </c>
      <c r="F1816" s="2" t="s">
        <v>14</v>
      </c>
      <c r="G1816" s="5">
        <v>26</v>
      </c>
      <c r="H1816" s="2" t="s">
        <v>15</v>
      </c>
      <c r="I1816" s="2" t="s">
        <v>25</v>
      </c>
      <c r="J1816" s="2" t="s">
        <v>49</v>
      </c>
      <c r="K1816" s="2" t="s">
        <v>35</v>
      </c>
    </row>
    <row r="1817" spans="1:11" x14ac:dyDescent="0.3">
      <c r="A1817" s="2" t="s">
        <v>2203</v>
      </c>
      <c r="B1817" s="2" t="s">
        <v>403</v>
      </c>
      <c r="C1817" s="3">
        <v>45941.714583333327</v>
      </c>
      <c r="D1817" s="2" t="s">
        <v>13</v>
      </c>
      <c r="E1817" s="4">
        <v>2939.38</v>
      </c>
      <c r="F1817" s="2" t="s">
        <v>14</v>
      </c>
      <c r="G1817" s="5">
        <v>31</v>
      </c>
      <c r="H1817" s="2" t="s">
        <v>15</v>
      </c>
      <c r="I1817" s="2" t="s">
        <v>34</v>
      </c>
      <c r="J1817" s="2" t="s">
        <v>52</v>
      </c>
      <c r="K1817" s="2" t="s">
        <v>22</v>
      </c>
    </row>
    <row r="1818" spans="1:11" x14ac:dyDescent="0.3">
      <c r="A1818" s="2" t="s">
        <v>2204</v>
      </c>
      <c r="B1818" s="2" t="s">
        <v>146</v>
      </c>
      <c r="C1818" s="3">
        <v>45721.041666666657</v>
      </c>
      <c r="D1818" s="2" t="s">
        <v>28</v>
      </c>
      <c r="E1818" s="4">
        <v>25977.08</v>
      </c>
      <c r="F1818" s="2" t="s">
        <v>14</v>
      </c>
      <c r="G1818" s="5">
        <v>24</v>
      </c>
      <c r="H1818" s="2" t="s">
        <v>15</v>
      </c>
      <c r="I1818" s="2" t="s">
        <v>60</v>
      </c>
      <c r="J1818" s="2" t="s">
        <v>17</v>
      </c>
      <c r="K1818" s="2" t="s">
        <v>45</v>
      </c>
    </row>
    <row r="1819" spans="1:11" x14ac:dyDescent="0.3">
      <c r="A1819" s="2" t="s">
        <v>2205</v>
      </c>
      <c r="B1819" s="2" t="s">
        <v>284</v>
      </c>
      <c r="C1819" s="3">
        <v>45951.809027777781</v>
      </c>
      <c r="D1819" s="2" t="s">
        <v>13</v>
      </c>
      <c r="E1819" s="4">
        <v>525.45000000000005</v>
      </c>
      <c r="F1819" s="2" t="s">
        <v>14</v>
      </c>
      <c r="G1819" s="5">
        <v>59</v>
      </c>
      <c r="H1819" s="2" t="s">
        <v>15</v>
      </c>
      <c r="I1819" s="2" t="s">
        <v>34</v>
      </c>
      <c r="J1819" s="2" t="s">
        <v>17</v>
      </c>
      <c r="K1819" s="2" t="s">
        <v>22</v>
      </c>
    </row>
    <row r="1820" spans="1:11" x14ac:dyDescent="0.3">
      <c r="A1820" s="2" t="s">
        <v>2206</v>
      </c>
      <c r="B1820" s="2" t="s">
        <v>393</v>
      </c>
      <c r="C1820" s="3">
        <v>45933.711805555547</v>
      </c>
      <c r="D1820" s="2" t="s">
        <v>13</v>
      </c>
      <c r="E1820" s="4">
        <v>2591.38</v>
      </c>
      <c r="F1820" s="2" t="s">
        <v>14</v>
      </c>
      <c r="G1820" s="5">
        <v>52</v>
      </c>
      <c r="H1820" s="2" t="s">
        <v>29</v>
      </c>
      <c r="I1820" s="2" t="s">
        <v>48</v>
      </c>
      <c r="J1820" s="2" t="s">
        <v>49</v>
      </c>
      <c r="K1820" s="2" t="s">
        <v>18</v>
      </c>
    </row>
    <row r="1821" spans="1:11" x14ac:dyDescent="0.3">
      <c r="A1821" s="2" t="s">
        <v>2207</v>
      </c>
      <c r="B1821" s="2" t="s">
        <v>158</v>
      </c>
      <c r="C1821" s="3">
        <v>45814.282638888893</v>
      </c>
      <c r="D1821" s="2" t="s">
        <v>28</v>
      </c>
      <c r="E1821" s="4">
        <v>55402.69</v>
      </c>
      <c r="F1821" s="2" t="s">
        <v>14</v>
      </c>
      <c r="G1821" s="5">
        <v>30</v>
      </c>
      <c r="H1821" s="2" t="s">
        <v>29</v>
      </c>
      <c r="I1821" s="2" t="s">
        <v>34</v>
      </c>
      <c r="J1821" s="2" t="s">
        <v>44</v>
      </c>
      <c r="K1821" s="2" t="s">
        <v>22</v>
      </c>
    </row>
    <row r="1822" spans="1:11" x14ac:dyDescent="0.3">
      <c r="A1822" s="2" t="s">
        <v>2208</v>
      </c>
      <c r="B1822" s="2" t="s">
        <v>244</v>
      </c>
      <c r="C1822" s="3">
        <v>45834.268055555563</v>
      </c>
      <c r="D1822" s="2" t="s">
        <v>13</v>
      </c>
      <c r="E1822" s="4">
        <v>6674.38</v>
      </c>
      <c r="F1822" s="2" t="s">
        <v>14</v>
      </c>
      <c r="G1822" s="5">
        <v>49</v>
      </c>
      <c r="H1822" s="2" t="s">
        <v>29</v>
      </c>
      <c r="I1822" s="2" t="s">
        <v>16</v>
      </c>
      <c r="J1822" s="2" t="s">
        <v>17</v>
      </c>
      <c r="K1822" s="2" t="s">
        <v>18</v>
      </c>
    </row>
    <row r="1823" spans="1:11" x14ac:dyDescent="0.3">
      <c r="A1823" s="2" t="s">
        <v>2209</v>
      </c>
      <c r="B1823" s="2" t="s">
        <v>238</v>
      </c>
      <c r="C1823" s="3">
        <v>45988.67291666667</v>
      </c>
      <c r="D1823" s="2" t="s">
        <v>38</v>
      </c>
      <c r="E1823" s="4">
        <v>10737.57</v>
      </c>
      <c r="F1823" s="2" t="s">
        <v>14</v>
      </c>
      <c r="G1823" s="5">
        <v>25</v>
      </c>
      <c r="H1823" s="2" t="s">
        <v>15</v>
      </c>
      <c r="I1823" s="2" t="s">
        <v>34</v>
      </c>
      <c r="J1823" s="2" t="s">
        <v>52</v>
      </c>
      <c r="K1823" s="2" t="s">
        <v>18</v>
      </c>
    </row>
    <row r="1824" spans="1:11" x14ac:dyDescent="0.3">
      <c r="A1824" s="2" t="s">
        <v>2210</v>
      </c>
      <c r="B1824" s="2" t="s">
        <v>317</v>
      </c>
      <c r="C1824" s="3">
        <v>45740.218055555553</v>
      </c>
      <c r="D1824" s="2" t="s">
        <v>13</v>
      </c>
      <c r="E1824" s="4">
        <v>316.27999999999997</v>
      </c>
      <c r="F1824" s="2" t="s">
        <v>14</v>
      </c>
      <c r="G1824" s="5">
        <v>55</v>
      </c>
      <c r="H1824" s="2" t="s">
        <v>15</v>
      </c>
      <c r="I1824" s="2" t="s">
        <v>34</v>
      </c>
      <c r="J1824" s="2" t="s">
        <v>49</v>
      </c>
      <c r="K1824" s="2" t="s">
        <v>18</v>
      </c>
    </row>
    <row r="1825" spans="1:11" x14ac:dyDescent="0.3">
      <c r="A1825" s="2" t="s">
        <v>2211</v>
      </c>
      <c r="B1825" s="2" t="s">
        <v>1387</v>
      </c>
      <c r="C1825" s="3">
        <v>45973.341666666667</v>
      </c>
      <c r="D1825" s="2" t="s">
        <v>13</v>
      </c>
      <c r="E1825" s="4">
        <v>1470.74</v>
      </c>
      <c r="F1825" s="2" t="s">
        <v>14</v>
      </c>
      <c r="G1825" s="5">
        <v>29</v>
      </c>
      <c r="H1825" s="2" t="s">
        <v>29</v>
      </c>
      <c r="I1825" s="2" t="s">
        <v>25</v>
      </c>
      <c r="J1825" s="2" t="s">
        <v>17</v>
      </c>
      <c r="K1825" s="2" t="s">
        <v>45</v>
      </c>
    </row>
    <row r="1826" spans="1:11" x14ac:dyDescent="0.3">
      <c r="A1826" s="2" t="s">
        <v>2212</v>
      </c>
      <c r="B1826" s="2" t="s">
        <v>51</v>
      </c>
      <c r="C1826" s="3">
        <v>45716.237500000003</v>
      </c>
      <c r="D1826" s="2" t="s">
        <v>38</v>
      </c>
      <c r="E1826" s="4">
        <v>25943.93</v>
      </c>
      <c r="F1826" s="2" t="s">
        <v>14</v>
      </c>
      <c r="G1826" s="5">
        <v>30</v>
      </c>
      <c r="H1826" s="2" t="s">
        <v>29</v>
      </c>
      <c r="I1826" s="2" t="s">
        <v>48</v>
      </c>
      <c r="J1826" s="2" t="s">
        <v>52</v>
      </c>
      <c r="K1826" s="2" t="s">
        <v>18</v>
      </c>
    </row>
    <row r="1827" spans="1:11" x14ac:dyDescent="0.3">
      <c r="A1827" s="2" t="s">
        <v>2213</v>
      </c>
      <c r="B1827" s="2" t="s">
        <v>1401</v>
      </c>
      <c r="C1827" s="3">
        <v>45948.07916666667</v>
      </c>
      <c r="D1827" s="2" t="s">
        <v>28</v>
      </c>
      <c r="E1827" s="4">
        <v>20800.29</v>
      </c>
      <c r="F1827" s="2" t="s">
        <v>14</v>
      </c>
      <c r="G1827" s="5">
        <v>60</v>
      </c>
      <c r="H1827" s="2" t="s">
        <v>29</v>
      </c>
      <c r="I1827" s="2" t="s">
        <v>95</v>
      </c>
      <c r="J1827" s="2" t="s">
        <v>17</v>
      </c>
      <c r="K1827" s="2" t="s">
        <v>18</v>
      </c>
    </row>
    <row r="1828" spans="1:11" x14ac:dyDescent="0.3">
      <c r="A1828" s="2" t="s">
        <v>2214</v>
      </c>
      <c r="B1828" s="2" t="s">
        <v>654</v>
      </c>
      <c r="C1828" s="3">
        <v>45939.611805555563</v>
      </c>
      <c r="D1828" s="2" t="s">
        <v>38</v>
      </c>
      <c r="E1828" s="4">
        <v>23136.49</v>
      </c>
      <c r="F1828" s="2" t="s">
        <v>14</v>
      </c>
      <c r="G1828" s="5">
        <v>55</v>
      </c>
      <c r="H1828" s="2" t="s">
        <v>15</v>
      </c>
      <c r="I1828" s="2" t="s">
        <v>30</v>
      </c>
      <c r="J1828" s="2" t="s">
        <v>44</v>
      </c>
      <c r="K1828" s="2" t="s">
        <v>18</v>
      </c>
    </row>
    <row r="1829" spans="1:11" x14ac:dyDescent="0.3">
      <c r="A1829" s="2" t="s">
        <v>2215</v>
      </c>
      <c r="B1829" s="2" t="s">
        <v>260</v>
      </c>
      <c r="C1829" s="3">
        <v>45939.095833333333</v>
      </c>
      <c r="D1829" s="2" t="s">
        <v>28</v>
      </c>
      <c r="E1829" s="4">
        <v>33057.919999999998</v>
      </c>
      <c r="F1829" s="2" t="s">
        <v>14</v>
      </c>
      <c r="G1829" s="5">
        <v>39</v>
      </c>
      <c r="H1829" s="2" t="s">
        <v>15</v>
      </c>
      <c r="I1829" s="2" t="s">
        <v>21</v>
      </c>
      <c r="J1829" s="2" t="s">
        <v>17</v>
      </c>
      <c r="K1829" s="2" t="s">
        <v>35</v>
      </c>
    </row>
    <row r="1830" spans="1:11" x14ac:dyDescent="0.3">
      <c r="A1830" s="2" t="s">
        <v>2216</v>
      </c>
      <c r="B1830" s="2" t="s">
        <v>406</v>
      </c>
      <c r="C1830" s="3">
        <v>46001.094444444447</v>
      </c>
      <c r="D1830" s="2" t="s">
        <v>33</v>
      </c>
      <c r="E1830" s="4">
        <v>1681.11</v>
      </c>
      <c r="F1830" s="2" t="s">
        <v>14</v>
      </c>
      <c r="G1830" s="5">
        <v>28</v>
      </c>
      <c r="H1830" s="2" t="s">
        <v>15</v>
      </c>
      <c r="I1830" s="2" t="s">
        <v>60</v>
      </c>
      <c r="J1830" s="2" t="s">
        <v>44</v>
      </c>
      <c r="K1830" s="2" t="s">
        <v>45</v>
      </c>
    </row>
    <row r="1831" spans="1:11" x14ac:dyDescent="0.3">
      <c r="A1831" s="2" t="s">
        <v>2217</v>
      </c>
      <c r="B1831" s="2" t="s">
        <v>1403</v>
      </c>
      <c r="C1831" s="3">
        <v>45708.281944444447</v>
      </c>
      <c r="D1831" s="2" t="s">
        <v>28</v>
      </c>
      <c r="E1831" s="4">
        <v>3967.47</v>
      </c>
      <c r="F1831" s="2" t="s">
        <v>57</v>
      </c>
      <c r="G1831" s="5">
        <v>37</v>
      </c>
      <c r="H1831" s="2" t="s">
        <v>15</v>
      </c>
      <c r="I1831" s="2" t="s">
        <v>30</v>
      </c>
      <c r="J1831" s="2" t="s">
        <v>49</v>
      </c>
      <c r="K1831" s="2" t="s">
        <v>18</v>
      </c>
    </row>
    <row r="1832" spans="1:11" x14ac:dyDescent="0.3">
      <c r="A1832" s="2" t="s">
        <v>2218</v>
      </c>
      <c r="B1832" s="2" t="s">
        <v>847</v>
      </c>
      <c r="C1832" s="3">
        <v>45955.63958333333</v>
      </c>
      <c r="D1832" s="2" t="s">
        <v>13</v>
      </c>
      <c r="E1832" s="4">
        <v>1038.23</v>
      </c>
      <c r="F1832" s="2" t="s">
        <v>14</v>
      </c>
      <c r="G1832" s="5">
        <v>39</v>
      </c>
      <c r="H1832" s="2" t="s">
        <v>15</v>
      </c>
      <c r="I1832" s="2" t="s">
        <v>60</v>
      </c>
      <c r="J1832" s="2" t="s">
        <v>17</v>
      </c>
      <c r="K1832" s="2" t="s">
        <v>18</v>
      </c>
    </row>
    <row r="1833" spans="1:11" x14ac:dyDescent="0.3">
      <c r="A1833" s="2" t="s">
        <v>2219</v>
      </c>
      <c r="B1833" s="2" t="s">
        <v>930</v>
      </c>
      <c r="C1833" s="3">
        <v>45840.195833333331</v>
      </c>
      <c r="D1833" s="2" t="s">
        <v>13</v>
      </c>
      <c r="E1833" s="4">
        <v>3903.86</v>
      </c>
      <c r="F1833" s="2" t="s">
        <v>14</v>
      </c>
      <c r="G1833" s="5">
        <v>27</v>
      </c>
      <c r="H1833" s="2" t="s">
        <v>29</v>
      </c>
      <c r="I1833" s="2" t="s">
        <v>16</v>
      </c>
      <c r="J1833" s="2" t="s">
        <v>52</v>
      </c>
      <c r="K1833" s="2" t="s">
        <v>22</v>
      </c>
    </row>
    <row r="1834" spans="1:11" x14ac:dyDescent="0.3">
      <c r="A1834" s="2" t="s">
        <v>2220</v>
      </c>
      <c r="B1834" s="2" t="s">
        <v>896</v>
      </c>
      <c r="C1834" s="3">
        <v>45993.29583333333</v>
      </c>
      <c r="D1834" s="2" t="s">
        <v>13</v>
      </c>
      <c r="E1834" s="4">
        <v>336.14</v>
      </c>
      <c r="F1834" s="2" t="s">
        <v>14</v>
      </c>
      <c r="G1834" s="5">
        <v>50</v>
      </c>
      <c r="H1834" s="2" t="s">
        <v>15</v>
      </c>
      <c r="I1834" s="2" t="s">
        <v>78</v>
      </c>
      <c r="J1834" s="2" t="s">
        <v>49</v>
      </c>
      <c r="K1834" s="2" t="s">
        <v>18</v>
      </c>
    </row>
    <row r="1835" spans="1:11" x14ac:dyDescent="0.3">
      <c r="A1835" s="2" t="s">
        <v>2221</v>
      </c>
      <c r="B1835" s="2" t="s">
        <v>268</v>
      </c>
      <c r="C1835" s="3">
        <v>45803.794444444437</v>
      </c>
      <c r="D1835" s="2" t="s">
        <v>33</v>
      </c>
      <c r="E1835" s="4">
        <v>15599.27</v>
      </c>
      <c r="F1835" s="2" t="s">
        <v>14</v>
      </c>
      <c r="G1835" s="5">
        <v>36</v>
      </c>
      <c r="H1835" s="2" t="s">
        <v>29</v>
      </c>
      <c r="I1835" s="2" t="s">
        <v>25</v>
      </c>
      <c r="J1835" s="2" t="s">
        <v>17</v>
      </c>
      <c r="K1835" s="2" t="s">
        <v>45</v>
      </c>
    </row>
    <row r="1836" spans="1:11" x14ac:dyDescent="0.3">
      <c r="A1836" s="2" t="s">
        <v>2222</v>
      </c>
      <c r="B1836" s="2" t="s">
        <v>963</v>
      </c>
      <c r="C1836" s="3">
        <v>45757.438194444447</v>
      </c>
      <c r="D1836" s="2" t="s">
        <v>13</v>
      </c>
      <c r="E1836" s="4">
        <v>940.58</v>
      </c>
      <c r="F1836" s="2" t="s">
        <v>14</v>
      </c>
      <c r="G1836" s="5">
        <v>51</v>
      </c>
      <c r="H1836" s="2" t="s">
        <v>29</v>
      </c>
      <c r="I1836" s="2" t="s">
        <v>48</v>
      </c>
      <c r="J1836" s="2" t="s">
        <v>49</v>
      </c>
      <c r="K1836" s="2" t="s">
        <v>18</v>
      </c>
    </row>
    <row r="1837" spans="1:11" x14ac:dyDescent="0.3">
      <c r="A1837" s="2" t="s">
        <v>2223</v>
      </c>
      <c r="B1837" s="2" t="s">
        <v>560</v>
      </c>
      <c r="C1837" s="3">
        <v>45888.443749999999</v>
      </c>
      <c r="D1837" s="2" t="s">
        <v>33</v>
      </c>
      <c r="E1837" s="4">
        <v>1698.59</v>
      </c>
      <c r="F1837" s="2" t="s">
        <v>14</v>
      </c>
      <c r="G1837" s="5">
        <v>23</v>
      </c>
      <c r="H1837" s="2" t="s">
        <v>15</v>
      </c>
      <c r="I1837" s="2" t="s">
        <v>25</v>
      </c>
      <c r="J1837" s="2" t="s">
        <v>17</v>
      </c>
      <c r="K1837" s="2" t="s">
        <v>45</v>
      </c>
    </row>
    <row r="1838" spans="1:11" x14ac:dyDescent="0.3">
      <c r="A1838" s="2" t="s">
        <v>2224</v>
      </c>
      <c r="B1838" s="2" t="s">
        <v>40</v>
      </c>
      <c r="C1838" s="3">
        <v>45995.405555555553</v>
      </c>
      <c r="D1838" s="2" t="s">
        <v>13</v>
      </c>
      <c r="E1838" s="4">
        <v>995.3</v>
      </c>
      <c r="F1838" s="2" t="s">
        <v>14</v>
      </c>
      <c r="G1838" s="5">
        <v>36</v>
      </c>
      <c r="H1838" s="2" t="s">
        <v>29</v>
      </c>
      <c r="I1838" s="2" t="s">
        <v>34</v>
      </c>
      <c r="J1838" s="2" t="s">
        <v>17</v>
      </c>
      <c r="K1838" s="2" t="s">
        <v>45</v>
      </c>
    </row>
    <row r="1839" spans="1:11" x14ac:dyDescent="0.3">
      <c r="A1839" s="2" t="s">
        <v>2225</v>
      </c>
      <c r="B1839" s="2" t="s">
        <v>834</v>
      </c>
      <c r="C1839" s="3">
        <v>45957.191666666673</v>
      </c>
      <c r="D1839" s="2" t="s">
        <v>28</v>
      </c>
      <c r="E1839" s="4">
        <v>14000.56</v>
      </c>
      <c r="F1839" s="2" t="s">
        <v>14</v>
      </c>
      <c r="G1839" s="5">
        <v>28</v>
      </c>
      <c r="H1839" s="2" t="s">
        <v>29</v>
      </c>
      <c r="I1839" s="2" t="s">
        <v>34</v>
      </c>
      <c r="J1839" s="2" t="s">
        <v>17</v>
      </c>
      <c r="K1839" s="2" t="s">
        <v>18</v>
      </c>
    </row>
    <row r="1840" spans="1:11" x14ac:dyDescent="0.3">
      <c r="A1840" s="2" t="s">
        <v>2226</v>
      </c>
      <c r="B1840" s="2" t="s">
        <v>740</v>
      </c>
      <c r="C1840" s="3">
        <v>45948.493750000001</v>
      </c>
      <c r="D1840" s="2" t="s">
        <v>33</v>
      </c>
      <c r="E1840" s="4">
        <v>7014.72</v>
      </c>
      <c r="F1840" s="2" t="s">
        <v>14</v>
      </c>
      <c r="G1840" s="5">
        <v>44</v>
      </c>
      <c r="H1840" s="2" t="s">
        <v>29</v>
      </c>
      <c r="I1840" s="2" t="s">
        <v>95</v>
      </c>
      <c r="J1840" s="2" t="s">
        <v>44</v>
      </c>
      <c r="K1840" s="2" t="s">
        <v>35</v>
      </c>
    </row>
    <row r="1841" spans="1:11" x14ac:dyDescent="0.3">
      <c r="A1841" s="2" t="s">
        <v>2227</v>
      </c>
      <c r="B1841" s="2" t="s">
        <v>77</v>
      </c>
      <c r="C1841" s="3">
        <v>45819.548611111109</v>
      </c>
      <c r="D1841" s="2" t="s">
        <v>13</v>
      </c>
      <c r="E1841" s="4">
        <v>1535.91</v>
      </c>
      <c r="F1841" s="2" t="s">
        <v>14</v>
      </c>
      <c r="G1841" s="5">
        <v>34</v>
      </c>
      <c r="H1841" s="2" t="s">
        <v>29</v>
      </c>
      <c r="I1841" s="2" t="s">
        <v>78</v>
      </c>
      <c r="J1841" s="2" t="s">
        <v>17</v>
      </c>
      <c r="K1841" s="2" t="s">
        <v>18</v>
      </c>
    </row>
    <row r="1842" spans="1:11" x14ac:dyDescent="0.3">
      <c r="A1842" s="2" t="s">
        <v>2228</v>
      </c>
      <c r="B1842" s="2" t="s">
        <v>107</v>
      </c>
      <c r="C1842" s="3">
        <v>45660.427083333343</v>
      </c>
      <c r="D1842" s="2" t="s">
        <v>28</v>
      </c>
      <c r="E1842" s="4">
        <v>5846.1</v>
      </c>
      <c r="F1842" s="2" t="s">
        <v>14</v>
      </c>
      <c r="G1842" s="5">
        <v>43</v>
      </c>
      <c r="H1842" s="2" t="s">
        <v>29</v>
      </c>
      <c r="I1842" s="2" t="s">
        <v>21</v>
      </c>
      <c r="J1842" s="2" t="s">
        <v>49</v>
      </c>
      <c r="K1842" s="2" t="s">
        <v>22</v>
      </c>
    </row>
    <row r="1843" spans="1:11" x14ac:dyDescent="0.3">
      <c r="A1843" s="2" t="s">
        <v>2229</v>
      </c>
      <c r="B1843" s="2" t="s">
        <v>1118</v>
      </c>
      <c r="C1843" s="3">
        <v>45771.949305555558</v>
      </c>
      <c r="D1843" s="2" t="s">
        <v>33</v>
      </c>
      <c r="E1843" s="4">
        <v>5290.86</v>
      </c>
      <c r="F1843" s="2" t="s">
        <v>14</v>
      </c>
      <c r="G1843" s="5">
        <v>33</v>
      </c>
      <c r="H1843" s="2" t="s">
        <v>29</v>
      </c>
      <c r="I1843" s="2" t="s">
        <v>34</v>
      </c>
      <c r="J1843" s="2" t="s">
        <v>52</v>
      </c>
      <c r="K1843" s="2" t="s">
        <v>18</v>
      </c>
    </row>
    <row r="1844" spans="1:11" x14ac:dyDescent="0.3">
      <c r="A1844" s="2" t="s">
        <v>2230</v>
      </c>
      <c r="B1844" s="2" t="s">
        <v>786</v>
      </c>
      <c r="C1844" s="3">
        <v>45986.553472222222</v>
      </c>
      <c r="D1844" s="2" t="s">
        <v>28</v>
      </c>
      <c r="E1844" s="4">
        <v>8050.05</v>
      </c>
      <c r="F1844" s="2" t="s">
        <v>14</v>
      </c>
      <c r="G1844" s="5">
        <v>33</v>
      </c>
      <c r="H1844" s="2" t="s">
        <v>15</v>
      </c>
      <c r="I1844" s="2" t="s">
        <v>34</v>
      </c>
      <c r="J1844" s="2" t="s">
        <v>44</v>
      </c>
      <c r="K1844" s="2" t="s">
        <v>18</v>
      </c>
    </row>
    <row r="1845" spans="1:11" x14ac:dyDescent="0.3">
      <c r="A1845" s="2" t="s">
        <v>2231</v>
      </c>
      <c r="B1845" s="2" t="s">
        <v>82</v>
      </c>
      <c r="C1845" s="3">
        <v>45842.196527777778</v>
      </c>
      <c r="D1845" s="2" t="s">
        <v>13</v>
      </c>
      <c r="E1845" s="4">
        <v>3242.02</v>
      </c>
      <c r="F1845" s="2" t="s">
        <v>14</v>
      </c>
      <c r="G1845" s="5">
        <v>20</v>
      </c>
      <c r="H1845" s="2" t="s">
        <v>29</v>
      </c>
      <c r="I1845" s="2" t="s">
        <v>21</v>
      </c>
      <c r="J1845" s="2" t="s">
        <v>17</v>
      </c>
      <c r="K1845" s="2" t="s">
        <v>18</v>
      </c>
    </row>
    <row r="1846" spans="1:11" x14ac:dyDescent="0.3">
      <c r="A1846" s="2" t="s">
        <v>2232</v>
      </c>
      <c r="B1846" s="2" t="s">
        <v>293</v>
      </c>
      <c r="C1846" s="3">
        <v>45827.645138888889</v>
      </c>
      <c r="D1846" s="2" t="s">
        <v>38</v>
      </c>
      <c r="E1846" s="4">
        <v>31407.93</v>
      </c>
      <c r="F1846" s="2" t="s">
        <v>14</v>
      </c>
      <c r="G1846" s="5">
        <v>36</v>
      </c>
      <c r="H1846" s="2" t="s">
        <v>15</v>
      </c>
      <c r="I1846" s="2" t="s">
        <v>34</v>
      </c>
      <c r="J1846" s="2" t="s">
        <v>17</v>
      </c>
      <c r="K1846" s="2" t="s">
        <v>18</v>
      </c>
    </row>
    <row r="1847" spans="1:11" x14ac:dyDescent="0.3">
      <c r="A1847" s="2" t="s">
        <v>2233</v>
      </c>
      <c r="B1847" s="2" t="s">
        <v>40</v>
      </c>
      <c r="C1847" s="3">
        <v>45886.492361111108</v>
      </c>
      <c r="D1847" s="2" t="s">
        <v>13</v>
      </c>
      <c r="E1847" s="4">
        <v>2453.87</v>
      </c>
      <c r="F1847" s="2" t="s">
        <v>57</v>
      </c>
      <c r="G1847" s="5">
        <v>36</v>
      </c>
      <c r="H1847" s="2" t="s">
        <v>29</v>
      </c>
      <c r="I1847" s="2" t="s">
        <v>34</v>
      </c>
      <c r="J1847" s="2" t="s">
        <v>17</v>
      </c>
      <c r="K1847" s="2" t="s">
        <v>18</v>
      </c>
    </row>
    <row r="1848" spans="1:11" x14ac:dyDescent="0.3">
      <c r="A1848" s="2" t="s">
        <v>2234</v>
      </c>
      <c r="B1848" s="2" t="s">
        <v>1191</v>
      </c>
      <c r="C1848" s="3">
        <v>45814.649305555547</v>
      </c>
      <c r="D1848" s="2" t="s">
        <v>28</v>
      </c>
      <c r="E1848" s="4">
        <v>31193.59</v>
      </c>
      <c r="F1848" s="2" t="s">
        <v>14</v>
      </c>
      <c r="G1848" s="5">
        <v>25</v>
      </c>
      <c r="H1848" s="2" t="s">
        <v>29</v>
      </c>
      <c r="I1848" s="2" t="s">
        <v>34</v>
      </c>
      <c r="J1848" s="2" t="s">
        <v>17</v>
      </c>
      <c r="K1848" s="2" t="s">
        <v>45</v>
      </c>
    </row>
    <row r="1849" spans="1:11" x14ac:dyDescent="0.3">
      <c r="A1849" s="2" t="s">
        <v>2235</v>
      </c>
      <c r="B1849" s="2" t="s">
        <v>847</v>
      </c>
      <c r="C1849" s="3">
        <v>45713.236805555563</v>
      </c>
      <c r="D1849" s="2" t="s">
        <v>28</v>
      </c>
      <c r="E1849" s="4">
        <v>30201.279999999999</v>
      </c>
      <c r="F1849" s="2" t="s">
        <v>122</v>
      </c>
      <c r="G1849" s="5">
        <v>39</v>
      </c>
      <c r="H1849" s="2" t="s">
        <v>15</v>
      </c>
      <c r="I1849" s="2" t="s">
        <v>60</v>
      </c>
      <c r="J1849" s="2" t="s">
        <v>17</v>
      </c>
      <c r="K1849" s="2" t="s">
        <v>18</v>
      </c>
    </row>
    <row r="1850" spans="1:11" x14ac:dyDescent="0.3">
      <c r="A1850" s="2" t="s">
        <v>2236</v>
      </c>
      <c r="B1850" s="2" t="s">
        <v>390</v>
      </c>
      <c r="C1850" s="3">
        <v>45968.120138888888</v>
      </c>
      <c r="D1850" s="2" t="s">
        <v>38</v>
      </c>
      <c r="E1850" s="4">
        <v>10086.92</v>
      </c>
      <c r="F1850" s="2" t="s">
        <v>14</v>
      </c>
      <c r="G1850" s="5">
        <v>35</v>
      </c>
      <c r="H1850" s="2" t="s">
        <v>15</v>
      </c>
      <c r="I1850" s="2" t="s">
        <v>25</v>
      </c>
      <c r="J1850" s="2" t="s">
        <v>17</v>
      </c>
      <c r="K1850" s="2" t="s">
        <v>45</v>
      </c>
    </row>
    <row r="1851" spans="1:11" x14ac:dyDescent="0.3">
      <c r="A1851" s="2" t="s">
        <v>2237</v>
      </c>
      <c r="B1851" s="2" t="s">
        <v>144</v>
      </c>
      <c r="C1851" s="3">
        <v>45801.206250000003</v>
      </c>
      <c r="D1851" s="2" t="s">
        <v>13</v>
      </c>
      <c r="E1851" s="4">
        <v>379.5</v>
      </c>
      <c r="F1851" s="2" t="s">
        <v>57</v>
      </c>
      <c r="G1851" s="5">
        <v>49</v>
      </c>
      <c r="H1851" s="2" t="s">
        <v>15</v>
      </c>
      <c r="I1851" s="2" t="s">
        <v>60</v>
      </c>
      <c r="J1851" s="2" t="s">
        <v>17</v>
      </c>
      <c r="K1851" s="2" t="s">
        <v>35</v>
      </c>
    </row>
    <row r="1852" spans="1:11" x14ac:dyDescent="0.3">
      <c r="A1852" s="2" t="s">
        <v>2238</v>
      </c>
      <c r="B1852" s="2" t="s">
        <v>511</v>
      </c>
      <c r="C1852" s="3">
        <v>45933.261111111111</v>
      </c>
      <c r="D1852" s="2" t="s">
        <v>28</v>
      </c>
      <c r="E1852" s="4">
        <v>13707.21</v>
      </c>
      <c r="F1852" s="2" t="s">
        <v>14</v>
      </c>
      <c r="G1852" s="5">
        <v>23</v>
      </c>
      <c r="H1852" s="2" t="s">
        <v>29</v>
      </c>
      <c r="I1852" s="2" t="s">
        <v>16</v>
      </c>
      <c r="J1852" s="2" t="s">
        <v>49</v>
      </c>
      <c r="K1852" s="2" t="s">
        <v>18</v>
      </c>
    </row>
    <row r="1853" spans="1:11" x14ac:dyDescent="0.3">
      <c r="A1853" s="2" t="s">
        <v>2239</v>
      </c>
      <c r="B1853" s="2" t="s">
        <v>642</v>
      </c>
      <c r="C1853" s="3">
        <v>45978.115277777782</v>
      </c>
      <c r="D1853" s="2" t="s">
        <v>28</v>
      </c>
      <c r="E1853" s="4">
        <v>3006.19</v>
      </c>
      <c r="F1853" s="2" t="s">
        <v>14</v>
      </c>
      <c r="G1853" s="5">
        <v>23</v>
      </c>
      <c r="H1853" s="2" t="s">
        <v>29</v>
      </c>
      <c r="I1853" s="2" t="s">
        <v>16</v>
      </c>
      <c r="J1853" s="2" t="s">
        <v>44</v>
      </c>
      <c r="K1853" s="2" t="s">
        <v>18</v>
      </c>
    </row>
    <row r="1854" spans="1:11" x14ac:dyDescent="0.3">
      <c r="A1854" s="2" t="s">
        <v>2240</v>
      </c>
      <c r="B1854" s="2" t="s">
        <v>121</v>
      </c>
      <c r="C1854" s="3">
        <v>45696.037499999999</v>
      </c>
      <c r="D1854" s="2" t="s">
        <v>28</v>
      </c>
      <c r="E1854" s="4">
        <v>15551.84</v>
      </c>
      <c r="F1854" s="2" t="s">
        <v>57</v>
      </c>
      <c r="G1854" s="5">
        <v>21</v>
      </c>
      <c r="H1854" s="2" t="s">
        <v>29</v>
      </c>
      <c r="I1854" s="2" t="s">
        <v>16</v>
      </c>
      <c r="J1854" s="2" t="s">
        <v>17</v>
      </c>
      <c r="K1854" s="2" t="s">
        <v>35</v>
      </c>
    </row>
    <row r="1855" spans="1:11" x14ac:dyDescent="0.3">
      <c r="A1855" s="2" t="s">
        <v>2241</v>
      </c>
      <c r="B1855" s="2" t="s">
        <v>272</v>
      </c>
      <c r="C1855" s="3">
        <v>45917.834027777782</v>
      </c>
      <c r="D1855" s="2" t="s">
        <v>13</v>
      </c>
      <c r="E1855" s="4">
        <v>1866.05</v>
      </c>
      <c r="F1855" s="2" t="s">
        <v>14</v>
      </c>
      <c r="G1855" s="5">
        <v>42</v>
      </c>
      <c r="H1855" s="2" t="s">
        <v>29</v>
      </c>
      <c r="I1855" s="2" t="s">
        <v>60</v>
      </c>
      <c r="J1855" s="2" t="s">
        <v>17</v>
      </c>
      <c r="K1855" s="2" t="s">
        <v>45</v>
      </c>
    </row>
    <row r="1856" spans="1:11" x14ac:dyDescent="0.3">
      <c r="A1856" s="2" t="s">
        <v>2242</v>
      </c>
      <c r="B1856" s="2" t="s">
        <v>24</v>
      </c>
      <c r="C1856" s="3">
        <v>45955.767361111109</v>
      </c>
      <c r="D1856" s="2" t="s">
        <v>13</v>
      </c>
      <c r="E1856" s="4">
        <v>3603.21</v>
      </c>
      <c r="F1856" s="2" t="s">
        <v>14</v>
      </c>
      <c r="G1856" s="5">
        <v>35</v>
      </c>
      <c r="H1856" s="2" t="s">
        <v>15</v>
      </c>
      <c r="I1856" s="2" t="s">
        <v>25</v>
      </c>
      <c r="J1856" s="2" t="s">
        <v>17</v>
      </c>
      <c r="K1856" s="2" t="s">
        <v>35</v>
      </c>
    </row>
    <row r="1857" spans="1:11" x14ac:dyDescent="0.3">
      <c r="A1857" s="2" t="s">
        <v>2243</v>
      </c>
      <c r="B1857" s="2" t="s">
        <v>399</v>
      </c>
      <c r="C1857" s="3">
        <v>45960.290277777778</v>
      </c>
      <c r="D1857" s="2" t="s">
        <v>28</v>
      </c>
      <c r="E1857" s="4">
        <v>10558.39</v>
      </c>
      <c r="F1857" s="2" t="s">
        <v>14</v>
      </c>
      <c r="G1857" s="5">
        <v>53</v>
      </c>
      <c r="H1857" s="2" t="s">
        <v>29</v>
      </c>
      <c r="I1857" s="2" t="s">
        <v>34</v>
      </c>
      <c r="J1857" s="2" t="s">
        <v>17</v>
      </c>
      <c r="K1857" s="2" t="s">
        <v>18</v>
      </c>
    </row>
    <row r="1858" spans="1:11" x14ac:dyDescent="0.3">
      <c r="A1858" s="2" t="s">
        <v>2244</v>
      </c>
      <c r="B1858" s="2" t="s">
        <v>346</v>
      </c>
      <c r="C1858" s="3">
        <v>45676.719444444447</v>
      </c>
      <c r="D1858" s="2" t="s">
        <v>154</v>
      </c>
      <c r="E1858" s="4">
        <v>2000</v>
      </c>
      <c r="F1858" s="2" t="s">
        <v>14</v>
      </c>
      <c r="G1858" s="5">
        <v>55</v>
      </c>
      <c r="H1858" s="2" t="s">
        <v>29</v>
      </c>
      <c r="I1858" s="2" t="s">
        <v>95</v>
      </c>
      <c r="J1858" s="2" t="s">
        <v>49</v>
      </c>
      <c r="K1858" s="2" t="s">
        <v>35</v>
      </c>
    </row>
    <row r="1859" spans="1:11" x14ac:dyDescent="0.3">
      <c r="A1859" s="2" t="s">
        <v>2245</v>
      </c>
      <c r="B1859" s="2" t="s">
        <v>623</v>
      </c>
      <c r="C1859" s="3">
        <v>45936.729166666657</v>
      </c>
      <c r="D1859" s="2" t="s">
        <v>13</v>
      </c>
      <c r="E1859" s="4">
        <v>3476.08</v>
      </c>
      <c r="F1859" s="2" t="s">
        <v>14</v>
      </c>
      <c r="G1859" s="5">
        <v>47</v>
      </c>
      <c r="H1859" s="2" t="s">
        <v>15</v>
      </c>
      <c r="I1859" s="2" t="s">
        <v>48</v>
      </c>
      <c r="J1859" s="2" t="s">
        <v>49</v>
      </c>
      <c r="K1859" s="2" t="s">
        <v>18</v>
      </c>
    </row>
    <row r="1860" spans="1:11" x14ac:dyDescent="0.3">
      <c r="A1860" s="2" t="s">
        <v>2246</v>
      </c>
      <c r="B1860" s="2" t="s">
        <v>113</v>
      </c>
      <c r="C1860" s="3">
        <v>45992.182638888888</v>
      </c>
      <c r="D1860" s="2" t="s">
        <v>33</v>
      </c>
      <c r="E1860" s="4">
        <v>6837.39</v>
      </c>
      <c r="F1860" s="2" t="s">
        <v>14</v>
      </c>
      <c r="G1860" s="5">
        <v>60</v>
      </c>
      <c r="H1860" s="2" t="s">
        <v>29</v>
      </c>
      <c r="I1860" s="2" t="s">
        <v>78</v>
      </c>
      <c r="J1860" s="2" t="s">
        <v>17</v>
      </c>
      <c r="K1860" s="2" t="s">
        <v>45</v>
      </c>
    </row>
    <row r="1861" spans="1:11" x14ac:dyDescent="0.3">
      <c r="A1861" s="2" t="s">
        <v>2247</v>
      </c>
      <c r="B1861" s="2" t="s">
        <v>291</v>
      </c>
      <c r="C1861" s="3">
        <v>45858.331250000003</v>
      </c>
      <c r="D1861" s="2" t="s">
        <v>33</v>
      </c>
      <c r="E1861" s="4">
        <v>908.78</v>
      </c>
      <c r="F1861" s="2" t="s">
        <v>14</v>
      </c>
      <c r="G1861" s="5">
        <v>39</v>
      </c>
      <c r="H1861" s="2" t="s">
        <v>15</v>
      </c>
      <c r="I1861" s="2" t="s">
        <v>25</v>
      </c>
      <c r="J1861" s="2" t="s">
        <v>17</v>
      </c>
      <c r="K1861" s="2" t="s">
        <v>35</v>
      </c>
    </row>
    <row r="1862" spans="1:11" x14ac:dyDescent="0.3">
      <c r="A1862" s="2" t="s">
        <v>2248</v>
      </c>
      <c r="B1862" s="2" t="s">
        <v>360</v>
      </c>
      <c r="C1862" s="3">
        <v>45959.995833333327</v>
      </c>
      <c r="D1862" s="2" t="s">
        <v>28</v>
      </c>
      <c r="E1862" s="4">
        <v>8839.68</v>
      </c>
      <c r="F1862" s="2" t="s">
        <v>14</v>
      </c>
      <c r="G1862" s="5">
        <v>40</v>
      </c>
      <c r="H1862" s="2" t="s">
        <v>15</v>
      </c>
      <c r="I1862" s="2" t="s">
        <v>34</v>
      </c>
      <c r="J1862" s="2" t="s">
        <v>17</v>
      </c>
      <c r="K1862" s="2" t="s">
        <v>18</v>
      </c>
    </row>
    <row r="1863" spans="1:11" x14ac:dyDescent="0.3">
      <c r="A1863" s="2" t="s">
        <v>2249</v>
      </c>
      <c r="B1863" s="2" t="s">
        <v>301</v>
      </c>
      <c r="C1863" s="3">
        <v>45806.186805555553</v>
      </c>
      <c r="D1863" s="2" t="s">
        <v>33</v>
      </c>
      <c r="E1863" s="4">
        <v>3291.08</v>
      </c>
      <c r="F1863" s="2" t="s">
        <v>14</v>
      </c>
      <c r="G1863" s="5">
        <v>49</v>
      </c>
      <c r="H1863" s="2" t="s">
        <v>15</v>
      </c>
      <c r="I1863" s="2" t="s">
        <v>60</v>
      </c>
      <c r="J1863" s="2" t="s">
        <v>17</v>
      </c>
      <c r="K1863" s="2" t="s">
        <v>45</v>
      </c>
    </row>
    <row r="1864" spans="1:11" x14ac:dyDescent="0.3">
      <c r="A1864" s="2" t="s">
        <v>2250</v>
      </c>
      <c r="B1864" s="2" t="s">
        <v>837</v>
      </c>
      <c r="C1864" s="3">
        <v>45914.670138888891</v>
      </c>
      <c r="D1864" s="2" t="s">
        <v>13</v>
      </c>
      <c r="E1864" s="4">
        <v>1260.1199999999999</v>
      </c>
      <c r="F1864" s="2" t="s">
        <v>14</v>
      </c>
      <c r="G1864" s="5">
        <v>37</v>
      </c>
      <c r="H1864" s="2" t="s">
        <v>15</v>
      </c>
      <c r="I1864" s="2" t="s">
        <v>78</v>
      </c>
      <c r="J1864" s="2" t="s">
        <v>17</v>
      </c>
      <c r="K1864" s="2" t="s">
        <v>45</v>
      </c>
    </row>
    <row r="1865" spans="1:11" x14ac:dyDescent="0.3">
      <c r="A1865" s="2" t="s">
        <v>2251</v>
      </c>
      <c r="B1865" s="2" t="s">
        <v>293</v>
      </c>
      <c r="C1865" s="3">
        <v>45861.480555555558</v>
      </c>
      <c r="D1865" s="2" t="s">
        <v>33</v>
      </c>
      <c r="E1865" s="4">
        <v>7902.06</v>
      </c>
      <c r="F1865" s="2" t="s">
        <v>14</v>
      </c>
      <c r="G1865" s="5">
        <v>36</v>
      </c>
      <c r="H1865" s="2" t="s">
        <v>15</v>
      </c>
      <c r="I1865" s="2" t="s">
        <v>34</v>
      </c>
      <c r="J1865" s="2" t="s">
        <v>17</v>
      </c>
      <c r="K1865" s="2" t="s">
        <v>18</v>
      </c>
    </row>
    <row r="1866" spans="1:11" x14ac:dyDescent="0.3">
      <c r="A1866" s="2" t="s">
        <v>2252</v>
      </c>
      <c r="B1866" s="2" t="s">
        <v>69</v>
      </c>
      <c r="C1866" s="3">
        <v>45663.885416666657</v>
      </c>
      <c r="D1866" s="2" t="s">
        <v>28</v>
      </c>
      <c r="E1866" s="4">
        <v>145483.07</v>
      </c>
      <c r="F1866" s="2" t="s">
        <v>14</v>
      </c>
      <c r="G1866" s="5">
        <v>42</v>
      </c>
      <c r="H1866" s="2" t="s">
        <v>15</v>
      </c>
      <c r="I1866" s="2" t="s">
        <v>34</v>
      </c>
      <c r="J1866" s="2" t="s">
        <v>44</v>
      </c>
      <c r="K1866" s="2" t="s">
        <v>22</v>
      </c>
    </row>
    <row r="1867" spans="1:11" x14ac:dyDescent="0.3">
      <c r="A1867" s="2" t="s">
        <v>2253</v>
      </c>
      <c r="B1867" s="2" t="s">
        <v>158</v>
      </c>
      <c r="C1867" s="3">
        <v>45972.881944444453</v>
      </c>
      <c r="D1867" s="2" t="s">
        <v>13</v>
      </c>
      <c r="E1867" s="4">
        <v>512.38</v>
      </c>
      <c r="F1867" s="2" t="s">
        <v>14</v>
      </c>
      <c r="G1867" s="5">
        <v>30</v>
      </c>
      <c r="H1867" s="2" t="s">
        <v>29</v>
      </c>
      <c r="I1867" s="2" t="s">
        <v>34</v>
      </c>
      <c r="J1867" s="2" t="s">
        <v>44</v>
      </c>
      <c r="K1867" s="2" t="s">
        <v>18</v>
      </c>
    </row>
    <row r="1868" spans="1:11" x14ac:dyDescent="0.3">
      <c r="A1868" s="2" t="s">
        <v>2254</v>
      </c>
      <c r="B1868" s="2" t="s">
        <v>213</v>
      </c>
      <c r="C1868" s="3">
        <v>45921.186111111107</v>
      </c>
      <c r="D1868" s="2" t="s">
        <v>28</v>
      </c>
      <c r="E1868" s="4">
        <v>4895.34</v>
      </c>
      <c r="F1868" s="2" t="s">
        <v>14</v>
      </c>
      <c r="G1868" s="5">
        <v>50</v>
      </c>
      <c r="H1868" s="2" t="s">
        <v>29</v>
      </c>
      <c r="I1868" s="2" t="s">
        <v>25</v>
      </c>
      <c r="J1868" s="2" t="s">
        <v>49</v>
      </c>
      <c r="K1868" s="2" t="s">
        <v>18</v>
      </c>
    </row>
    <row r="1869" spans="1:11" x14ac:dyDescent="0.3">
      <c r="A1869" s="2" t="s">
        <v>2255</v>
      </c>
      <c r="B1869" s="2" t="s">
        <v>309</v>
      </c>
      <c r="C1869" s="3">
        <v>45739.23333333333</v>
      </c>
      <c r="D1869" s="2" t="s">
        <v>33</v>
      </c>
      <c r="E1869" s="4">
        <v>12327.21</v>
      </c>
      <c r="F1869" s="2" t="s">
        <v>14</v>
      </c>
      <c r="G1869" s="5">
        <v>51</v>
      </c>
      <c r="H1869" s="2" t="s">
        <v>29</v>
      </c>
      <c r="I1869" s="2" t="s">
        <v>25</v>
      </c>
      <c r="J1869" s="2" t="s">
        <v>49</v>
      </c>
      <c r="K1869" s="2" t="s">
        <v>18</v>
      </c>
    </row>
    <row r="1870" spans="1:11" x14ac:dyDescent="0.3">
      <c r="A1870" s="2" t="s">
        <v>2256</v>
      </c>
      <c r="B1870" s="2" t="s">
        <v>124</v>
      </c>
      <c r="C1870" s="3">
        <v>45947.913194444453</v>
      </c>
      <c r="D1870" s="2" t="s">
        <v>28</v>
      </c>
      <c r="E1870" s="4">
        <v>20189.96</v>
      </c>
      <c r="F1870" s="2" t="s">
        <v>14</v>
      </c>
      <c r="G1870" s="5">
        <v>39</v>
      </c>
      <c r="H1870" s="2" t="s">
        <v>15</v>
      </c>
      <c r="I1870" s="2" t="s">
        <v>16</v>
      </c>
      <c r="J1870" s="2" t="s">
        <v>52</v>
      </c>
      <c r="K1870" s="2" t="s">
        <v>18</v>
      </c>
    </row>
    <row r="1871" spans="1:11" x14ac:dyDescent="0.3">
      <c r="A1871" s="2" t="s">
        <v>2257</v>
      </c>
      <c r="B1871" s="2" t="s">
        <v>289</v>
      </c>
      <c r="C1871" s="3">
        <v>45732.990277777782</v>
      </c>
      <c r="D1871" s="2" t="s">
        <v>13</v>
      </c>
      <c r="E1871" s="4">
        <v>653.41999999999996</v>
      </c>
      <c r="F1871" s="2" t="s">
        <v>14</v>
      </c>
      <c r="G1871" s="5">
        <v>32</v>
      </c>
      <c r="H1871" s="2" t="s">
        <v>29</v>
      </c>
      <c r="I1871" s="2" t="s">
        <v>48</v>
      </c>
      <c r="J1871" s="2" t="s">
        <v>17</v>
      </c>
      <c r="K1871" s="2" t="s">
        <v>35</v>
      </c>
    </row>
    <row r="1872" spans="1:11" x14ac:dyDescent="0.3">
      <c r="A1872" s="2" t="s">
        <v>2258</v>
      </c>
      <c r="B1872" s="2" t="s">
        <v>67</v>
      </c>
      <c r="C1872" s="3">
        <v>45905.459722222222</v>
      </c>
      <c r="D1872" s="2" t="s">
        <v>13</v>
      </c>
      <c r="E1872" s="4">
        <v>781.39</v>
      </c>
      <c r="F1872" s="2" t="s">
        <v>14</v>
      </c>
      <c r="G1872" s="5">
        <v>29</v>
      </c>
      <c r="H1872" s="2" t="s">
        <v>15</v>
      </c>
      <c r="I1872" s="2" t="s">
        <v>34</v>
      </c>
      <c r="J1872" s="2" t="s">
        <v>44</v>
      </c>
      <c r="K1872" s="2" t="s">
        <v>35</v>
      </c>
    </row>
    <row r="1873" spans="1:11" x14ac:dyDescent="0.3">
      <c r="A1873" s="2" t="s">
        <v>2259</v>
      </c>
      <c r="B1873" s="2" t="s">
        <v>980</v>
      </c>
      <c r="C1873" s="3">
        <v>45770.634722222218</v>
      </c>
      <c r="D1873" s="2" t="s">
        <v>13</v>
      </c>
      <c r="E1873" s="4">
        <v>519.42999999999995</v>
      </c>
      <c r="F1873" s="2" t="s">
        <v>14</v>
      </c>
      <c r="G1873" s="5">
        <v>43</v>
      </c>
      <c r="H1873" s="2" t="s">
        <v>15</v>
      </c>
      <c r="I1873" s="2" t="s">
        <v>78</v>
      </c>
      <c r="J1873" s="2" t="s">
        <v>17</v>
      </c>
      <c r="K1873" s="2" t="s">
        <v>22</v>
      </c>
    </row>
    <row r="1874" spans="1:11" x14ac:dyDescent="0.3">
      <c r="A1874" s="2" t="s">
        <v>2260</v>
      </c>
      <c r="B1874" s="2" t="s">
        <v>266</v>
      </c>
      <c r="C1874" s="3">
        <v>45690.349305555559</v>
      </c>
      <c r="D1874" s="2" t="s">
        <v>13</v>
      </c>
      <c r="E1874" s="4">
        <v>476.63</v>
      </c>
      <c r="F1874" s="2" t="s">
        <v>14</v>
      </c>
      <c r="G1874" s="5">
        <v>47</v>
      </c>
      <c r="H1874" s="2" t="s">
        <v>29</v>
      </c>
      <c r="I1874" s="2" t="s">
        <v>95</v>
      </c>
      <c r="J1874" s="2" t="s">
        <v>44</v>
      </c>
      <c r="K1874" s="2" t="s">
        <v>18</v>
      </c>
    </row>
    <row r="1875" spans="1:11" x14ac:dyDescent="0.3">
      <c r="A1875" s="2" t="s">
        <v>2261</v>
      </c>
      <c r="B1875" s="2" t="s">
        <v>343</v>
      </c>
      <c r="C1875" s="3">
        <v>45777.070833333331</v>
      </c>
      <c r="D1875" s="2" t="s">
        <v>154</v>
      </c>
      <c r="E1875" s="4">
        <v>40000</v>
      </c>
      <c r="F1875" s="2" t="s">
        <v>14</v>
      </c>
      <c r="G1875" s="5">
        <v>38</v>
      </c>
      <c r="H1875" s="2" t="s">
        <v>15</v>
      </c>
      <c r="I1875" s="2" t="s">
        <v>34</v>
      </c>
      <c r="J1875" s="2" t="s">
        <v>17</v>
      </c>
      <c r="K1875" s="2" t="s">
        <v>18</v>
      </c>
    </row>
    <row r="1876" spans="1:11" x14ac:dyDescent="0.3">
      <c r="A1876" s="2" t="s">
        <v>2262</v>
      </c>
      <c r="B1876" s="2" t="s">
        <v>291</v>
      </c>
      <c r="C1876" s="3">
        <v>45763.706944444442</v>
      </c>
      <c r="D1876" s="2" t="s">
        <v>33</v>
      </c>
      <c r="E1876" s="4">
        <v>3107.32</v>
      </c>
      <c r="F1876" s="2" t="s">
        <v>14</v>
      </c>
      <c r="G1876" s="5">
        <v>39</v>
      </c>
      <c r="H1876" s="2" t="s">
        <v>15</v>
      </c>
      <c r="I1876" s="2" t="s">
        <v>25</v>
      </c>
      <c r="J1876" s="2" t="s">
        <v>17</v>
      </c>
      <c r="K1876" s="2" t="s">
        <v>18</v>
      </c>
    </row>
    <row r="1877" spans="1:11" x14ac:dyDescent="0.3">
      <c r="A1877" s="2" t="s">
        <v>2263</v>
      </c>
      <c r="B1877" s="2" t="s">
        <v>198</v>
      </c>
      <c r="C1877" s="3">
        <v>45842.520833333343</v>
      </c>
      <c r="D1877" s="2" t="s">
        <v>28</v>
      </c>
      <c r="E1877" s="4">
        <v>8639.3700000000008</v>
      </c>
      <c r="F1877" s="2" t="s">
        <v>14</v>
      </c>
      <c r="G1877" s="5">
        <v>40</v>
      </c>
      <c r="H1877" s="2" t="s">
        <v>29</v>
      </c>
      <c r="I1877" s="2" t="s">
        <v>34</v>
      </c>
      <c r="J1877" s="2" t="s">
        <v>49</v>
      </c>
      <c r="K1877" s="2" t="s">
        <v>35</v>
      </c>
    </row>
    <row r="1878" spans="1:11" x14ac:dyDescent="0.3">
      <c r="A1878" s="2" t="s">
        <v>2264</v>
      </c>
      <c r="B1878" s="2" t="s">
        <v>1387</v>
      </c>
      <c r="C1878" s="3">
        <v>45890.043055555558</v>
      </c>
      <c r="D1878" s="2" t="s">
        <v>38</v>
      </c>
      <c r="E1878" s="4">
        <v>5819.22</v>
      </c>
      <c r="F1878" s="2" t="s">
        <v>14</v>
      </c>
      <c r="G1878" s="5">
        <v>29</v>
      </c>
      <c r="H1878" s="2" t="s">
        <v>29</v>
      </c>
      <c r="I1878" s="2" t="s">
        <v>25</v>
      </c>
      <c r="J1878" s="2" t="s">
        <v>17</v>
      </c>
      <c r="K1878" s="2" t="s">
        <v>22</v>
      </c>
    </row>
    <row r="1879" spans="1:11" x14ac:dyDescent="0.3">
      <c r="A1879" s="2" t="s">
        <v>2265</v>
      </c>
      <c r="B1879" s="2" t="s">
        <v>299</v>
      </c>
      <c r="C1879" s="3">
        <v>45990.42083333333</v>
      </c>
      <c r="D1879" s="2" t="s">
        <v>33</v>
      </c>
      <c r="E1879" s="4">
        <v>1955.39</v>
      </c>
      <c r="F1879" s="2" t="s">
        <v>57</v>
      </c>
      <c r="G1879" s="5">
        <v>27</v>
      </c>
      <c r="H1879" s="2" t="s">
        <v>15</v>
      </c>
      <c r="I1879" s="2" t="s">
        <v>34</v>
      </c>
      <c r="J1879" s="2" t="s">
        <v>49</v>
      </c>
      <c r="K1879" s="2" t="s">
        <v>35</v>
      </c>
    </row>
    <row r="1880" spans="1:11" x14ac:dyDescent="0.3">
      <c r="A1880" s="2" t="s">
        <v>2266</v>
      </c>
      <c r="B1880" s="2" t="s">
        <v>113</v>
      </c>
      <c r="C1880" s="3">
        <v>46018.694444444453</v>
      </c>
      <c r="D1880" s="2" t="s">
        <v>28</v>
      </c>
      <c r="E1880" s="4">
        <v>18157.349999999999</v>
      </c>
      <c r="F1880" s="2" t="s">
        <v>14</v>
      </c>
      <c r="G1880" s="5">
        <v>60</v>
      </c>
      <c r="H1880" s="2" t="s">
        <v>29</v>
      </c>
      <c r="I1880" s="2" t="s">
        <v>78</v>
      </c>
      <c r="J1880" s="2" t="s">
        <v>17</v>
      </c>
      <c r="K1880" s="2" t="s">
        <v>18</v>
      </c>
    </row>
    <row r="1881" spans="1:11" x14ac:dyDescent="0.3">
      <c r="A1881" s="2" t="s">
        <v>2267</v>
      </c>
      <c r="B1881" s="2" t="s">
        <v>390</v>
      </c>
      <c r="C1881" s="3">
        <v>45798.969444444447</v>
      </c>
      <c r="D1881" s="2" t="s">
        <v>33</v>
      </c>
      <c r="E1881" s="4">
        <v>11098.01</v>
      </c>
      <c r="F1881" s="2" t="s">
        <v>14</v>
      </c>
      <c r="G1881" s="5">
        <v>35</v>
      </c>
      <c r="H1881" s="2" t="s">
        <v>15</v>
      </c>
      <c r="I1881" s="2" t="s">
        <v>25</v>
      </c>
      <c r="J1881" s="2" t="s">
        <v>17</v>
      </c>
      <c r="K1881" s="2" t="s">
        <v>18</v>
      </c>
    </row>
    <row r="1882" spans="1:11" x14ac:dyDescent="0.3">
      <c r="A1882" s="2" t="s">
        <v>2268</v>
      </c>
      <c r="B1882" s="2" t="s">
        <v>1191</v>
      </c>
      <c r="C1882" s="3">
        <v>45954.73333333333</v>
      </c>
      <c r="D1882" s="2" t="s">
        <v>13</v>
      </c>
      <c r="E1882" s="4">
        <v>1938.34</v>
      </c>
      <c r="F1882" s="2" t="s">
        <v>14</v>
      </c>
      <c r="G1882" s="5">
        <v>25</v>
      </c>
      <c r="H1882" s="2" t="s">
        <v>29</v>
      </c>
      <c r="I1882" s="2" t="s">
        <v>34</v>
      </c>
      <c r="J1882" s="2" t="s">
        <v>17</v>
      </c>
      <c r="K1882" s="2" t="s">
        <v>45</v>
      </c>
    </row>
    <row r="1883" spans="1:11" x14ac:dyDescent="0.3">
      <c r="A1883" s="2" t="s">
        <v>2269</v>
      </c>
      <c r="B1883" s="2" t="s">
        <v>230</v>
      </c>
      <c r="C1883" s="3">
        <v>45747.52847222222</v>
      </c>
      <c r="D1883" s="2" t="s">
        <v>28</v>
      </c>
      <c r="E1883" s="4">
        <v>6329.87</v>
      </c>
      <c r="F1883" s="2" t="s">
        <v>14</v>
      </c>
      <c r="G1883" s="5">
        <v>35</v>
      </c>
      <c r="H1883" s="2" t="s">
        <v>15</v>
      </c>
      <c r="I1883" s="2" t="s">
        <v>34</v>
      </c>
      <c r="J1883" s="2" t="s">
        <v>17</v>
      </c>
      <c r="K1883" s="2" t="s">
        <v>18</v>
      </c>
    </row>
    <row r="1884" spans="1:11" x14ac:dyDescent="0.3">
      <c r="A1884" s="2" t="s">
        <v>2270</v>
      </c>
      <c r="B1884" s="2" t="s">
        <v>388</v>
      </c>
      <c r="C1884" s="3">
        <v>45851.484027777777</v>
      </c>
      <c r="D1884" s="2" t="s">
        <v>38</v>
      </c>
      <c r="E1884" s="4">
        <v>3051.5</v>
      </c>
      <c r="F1884" s="2" t="s">
        <v>14</v>
      </c>
      <c r="G1884" s="5">
        <v>31</v>
      </c>
      <c r="H1884" s="2" t="s">
        <v>15</v>
      </c>
      <c r="I1884" s="2" t="s">
        <v>34</v>
      </c>
      <c r="J1884" s="2" t="s">
        <v>17</v>
      </c>
      <c r="K1884" s="2" t="s">
        <v>18</v>
      </c>
    </row>
    <row r="1885" spans="1:11" x14ac:dyDescent="0.3">
      <c r="A1885" s="2" t="s">
        <v>2271</v>
      </c>
      <c r="B1885" s="2" t="s">
        <v>709</v>
      </c>
      <c r="C1885" s="3">
        <v>45992.106249999997</v>
      </c>
      <c r="D1885" s="2" t="s">
        <v>13</v>
      </c>
      <c r="E1885" s="4">
        <v>521.53</v>
      </c>
      <c r="F1885" s="2" t="s">
        <v>14</v>
      </c>
      <c r="G1885" s="5">
        <v>44</v>
      </c>
      <c r="H1885" s="2" t="s">
        <v>15</v>
      </c>
      <c r="I1885" s="2" t="s">
        <v>34</v>
      </c>
      <c r="J1885" s="2" t="s">
        <v>44</v>
      </c>
      <c r="K1885" s="2" t="s">
        <v>18</v>
      </c>
    </row>
    <row r="1886" spans="1:11" x14ac:dyDescent="0.3">
      <c r="A1886" s="2" t="s">
        <v>2272</v>
      </c>
      <c r="B1886" s="2" t="s">
        <v>313</v>
      </c>
      <c r="C1886" s="3">
        <v>45786.540277777778</v>
      </c>
      <c r="D1886" s="2" t="s">
        <v>28</v>
      </c>
      <c r="E1886" s="4">
        <v>17091.2</v>
      </c>
      <c r="F1886" s="2" t="s">
        <v>122</v>
      </c>
      <c r="G1886" s="5">
        <v>24</v>
      </c>
      <c r="H1886" s="2" t="s">
        <v>15</v>
      </c>
      <c r="I1886" s="2" t="s">
        <v>48</v>
      </c>
      <c r="J1886" s="2" t="s">
        <v>17</v>
      </c>
      <c r="K1886" s="2" t="s">
        <v>18</v>
      </c>
    </row>
    <row r="1887" spans="1:11" x14ac:dyDescent="0.3">
      <c r="A1887" s="2" t="s">
        <v>2273</v>
      </c>
      <c r="B1887" s="2" t="s">
        <v>73</v>
      </c>
      <c r="C1887" s="3">
        <v>45772.684027777781</v>
      </c>
      <c r="D1887" s="2" t="s">
        <v>33</v>
      </c>
      <c r="E1887" s="4">
        <v>1649.96</v>
      </c>
      <c r="F1887" s="2" t="s">
        <v>14</v>
      </c>
      <c r="G1887" s="5">
        <v>33</v>
      </c>
      <c r="H1887" s="2" t="s">
        <v>15</v>
      </c>
      <c r="I1887" s="2" t="s">
        <v>21</v>
      </c>
      <c r="J1887" s="2" t="s">
        <v>49</v>
      </c>
      <c r="K1887" s="2" t="s">
        <v>18</v>
      </c>
    </row>
    <row r="1888" spans="1:11" x14ac:dyDescent="0.3">
      <c r="A1888" s="2" t="s">
        <v>2274</v>
      </c>
      <c r="B1888" s="2" t="s">
        <v>209</v>
      </c>
      <c r="C1888" s="3">
        <v>45838.479861111111</v>
      </c>
      <c r="D1888" s="2" t="s">
        <v>28</v>
      </c>
      <c r="E1888" s="4">
        <v>66451.350000000006</v>
      </c>
      <c r="F1888" s="2" t="s">
        <v>14</v>
      </c>
      <c r="G1888" s="5">
        <v>50</v>
      </c>
      <c r="H1888" s="2" t="s">
        <v>15</v>
      </c>
      <c r="I1888" s="2" t="s">
        <v>60</v>
      </c>
      <c r="J1888" s="2" t="s">
        <v>44</v>
      </c>
      <c r="K1888" s="2" t="s">
        <v>22</v>
      </c>
    </row>
    <row r="1889" spans="1:11" x14ac:dyDescent="0.3">
      <c r="A1889" s="2" t="s">
        <v>2275</v>
      </c>
      <c r="B1889" s="2" t="s">
        <v>524</v>
      </c>
      <c r="C1889" s="3">
        <v>45904.791666666657</v>
      </c>
      <c r="D1889" s="2" t="s">
        <v>28</v>
      </c>
      <c r="E1889" s="4">
        <v>53620.32</v>
      </c>
      <c r="F1889" s="2" t="s">
        <v>14</v>
      </c>
      <c r="G1889" s="5">
        <v>42</v>
      </c>
      <c r="H1889" s="2" t="s">
        <v>15</v>
      </c>
      <c r="I1889" s="2" t="s">
        <v>34</v>
      </c>
      <c r="J1889" s="2" t="s">
        <v>52</v>
      </c>
      <c r="K1889" s="2" t="s">
        <v>18</v>
      </c>
    </row>
    <row r="1890" spans="1:11" x14ac:dyDescent="0.3">
      <c r="A1890" s="2" t="s">
        <v>2276</v>
      </c>
      <c r="B1890" s="2" t="s">
        <v>341</v>
      </c>
      <c r="C1890" s="3">
        <v>45914.186111111107</v>
      </c>
      <c r="D1890" s="2" t="s">
        <v>28</v>
      </c>
      <c r="E1890" s="4">
        <v>7916.44</v>
      </c>
      <c r="F1890" s="2" t="s">
        <v>14</v>
      </c>
      <c r="G1890" s="5">
        <v>25</v>
      </c>
      <c r="H1890" s="2" t="s">
        <v>15</v>
      </c>
      <c r="I1890" s="2" t="s">
        <v>60</v>
      </c>
      <c r="J1890" s="2" t="s">
        <v>49</v>
      </c>
      <c r="K1890" s="2" t="s">
        <v>18</v>
      </c>
    </row>
    <row r="1891" spans="1:11" x14ac:dyDescent="0.3">
      <c r="A1891" s="2" t="s">
        <v>2277</v>
      </c>
      <c r="B1891" s="2" t="s">
        <v>1403</v>
      </c>
      <c r="C1891" s="3">
        <v>45742.294444444437</v>
      </c>
      <c r="D1891" s="2" t="s">
        <v>28</v>
      </c>
      <c r="E1891" s="4">
        <v>16955.349999999999</v>
      </c>
      <c r="F1891" s="2" t="s">
        <v>14</v>
      </c>
      <c r="G1891" s="5">
        <v>37</v>
      </c>
      <c r="H1891" s="2" t="s">
        <v>15</v>
      </c>
      <c r="I1891" s="2" t="s">
        <v>30</v>
      </c>
      <c r="J1891" s="2" t="s">
        <v>49</v>
      </c>
      <c r="K1891" s="2" t="s">
        <v>22</v>
      </c>
    </row>
    <row r="1892" spans="1:11" x14ac:dyDescent="0.3">
      <c r="A1892" s="2" t="s">
        <v>2278</v>
      </c>
      <c r="B1892" s="2" t="s">
        <v>1191</v>
      </c>
      <c r="C1892" s="3">
        <v>45921.845138888893</v>
      </c>
      <c r="D1892" s="2" t="s">
        <v>13</v>
      </c>
      <c r="E1892" s="4">
        <v>1127.1199999999999</v>
      </c>
      <c r="F1892" s="2" t="s">
        <v>14</v>
      </c>
      <c r="G1892" s="5">
        <v>25</v>
      </c>
      <c r="H1892" s="2" t="s">
        <v>29</v>
      </c>
      <c r="I1892" s="2" t="s">
        <v>34</v>
      </c>
      <c r="J1892" s="2" t="s">
        <v>17</v>
      </c>
      <c r="K1892" s="2" t="s">
        <v>45</v>
      </c>
    </row>
    <row r="1893" spans="1:11" x14ac:dyDescent="0.3">
      <c r="A1893" s="2" t="s">
        <v>2279</v>
      </c>
      <c r="B1893" s="2" t="s">
        <v>305</v>
      </c>
      <c r="C1893" s="3">
        <v>45766.174305555563</v>
      </c>
      <c r="D1893" s="2" t="s">
        <v>28</v>
      </c>
      <c r="E1893" s="4">
        <v>30657.29</v>
      </c>
      <c r="F1893" s="2" t="s">
        <v>14</v>
      </c>
      <c r="G1893" s="5">
        <v>45</v>
      </c>
      <c r="H1893" s="2" t="s">
        <v>29</v>
      </c>
      <c r="I1893" s="2" t="s">
        <v>48</v>
      </c>
      <c r="J1893" s="2" t="s">
        <v>17</v>
      </c>
      <c r="K1893" s="2" t="s">
        <v>22</v>
      </c>
    </row>
    <row r="1894" spans="1:11" x14ac:dyDescent="0.3">
      <c r="A1894" s="2" t="s">
        <v>2280</v>
      </c>
      <c r="B1894" s="2" t="s">
        <v>173</v>
      </c>
      <c r="C1894" s="3">
        <v>45738.484722222223</v>
      </c>
      <c r="D1894" s="2" t="s">
        <v>13</v>
      </c>
      <c r="E1894" s="4">
        <v>875.17</v>
      </c>
      <c r="F1894" s="2" t="s">
        <v>14</v>
      </c>
      <c r="G1894" s="5">
        <v>24</v>
      </c>
      <c r="H1894" s="2" t="s">
        <v>15</v>
      </c>
      <c r="I1894" s="2" t="s">
        <v>30</v>
      </c>
      <c r="J1894" s="2" t="s">
        <v>49</v>
      </c>
      <c r="K1894" s="2" t="s">
        <v>22</v>
      </c>
    </row>
    <row r="1895" spans="1:11" x14ac:dyDescent="0.3">
      <c r="A1895" s="2" t="s">
        <v>2281</v>
      </c>
      <c r="B1895" s="2" t="s">
        <v>325</v>
      </c>
      <c r="C1895" s="3">
        <v>45718.884722222218</v>
      </c>
      <c r="D1895" s="2" t="s">
        <v>28</v>
      </c>
      <c r="E1895" s="4">
        <v>52553.57</v>
      </c>
      <c r="F1895" s="2" t="s">
        <v>57</v>
      </c>
      <c r="G1895" s="5">
        <v>48</v>
      </c>
      <c r="H1895" s="2" t="s">
        <v>15</v>
      </c>
      <c r="I1895" s="2" t="s">
        <v>34</v>
      </c>
      <c r="J1895" s="2" t="s">
        <v>17</v>
      </c>
      <c r="K1895" s="2" t="s">
        <v>18</v>
      </c>
    </row>
    <row r="1896" spans="1:11" x14ac:dyDescent="0.3">
      <c r="A1896" s="2" t="s">
        <v>2282</v>
      </c>
      <c r="B1896" s="2" t="s">
        <v>408</v>
      </c>
      <c r="C1896" s="3">
        <v>45870.448611111111</v>
      </c>
      <c r="D1896" s="2" t="s">
        <v>154</v>
      </c>
      <c r="E1896" s="4">
        <v>40000</v>
      </c>
      <c r="F1896" s="2" t="s">
        <v>14</v>
      </c>
      <c r="G1896" s="5">
        <v>25</v>
      </c>
      <c r="H1896" s="2" t="s">
        <v>15</v>
      </c>
      <c r="I1896" s="2" t="s">
        <v>48</v>
      </c>
      <c r="J1896" s="2" t="s">
        <v>44</v>
      </c>
      <c r="K1896" s="2" t="s">
        <v>18</v>
      </c>
    </row>
    <row r="1897" spans="1:11" x14ac:dyDescent="0.3">
      <c r="A1897" s="2" t="s">
        <v>2283</v>
      </c>
      <c r="B1897" s="2" t="s">
        <v>619</v>
      </c>
      <c r="C1897" s="3">
        <v>45716.654861111107</v>
      </c>
      <c r="D1897" s="2" t="s">
        <v>28</v>
      </c>
      <c r="E1897" s="4">
        <v>19472.68</v>
      </c>
      <c r="F1897" s="2" t="s">
        <v>57</v>
      </c>
      <c r="G1897" s="5">
        <v>51</v>
      </c>
      <c r="H1897" s="2" t="s">
        <v>15</v>
      </c>
      <c r="I1897" s="2" t="s">
        <v>34</v>
      </c>
      <c r="J1897" s="2" t="s">
        <v>17</v>
      </c>
      <c r="K1897" s="2" t="s">
        <v>35</v>
      </c>
    </row>
    <row r="1898" spans="1:11" x14ac:dyDescent="0.3">
      <c r="A1898" s="2" t="s">
        <v>2284</v>
      </c>
      <c r="B1898" s="2" t="s">
        <v>746</v>
      </c>
      <c r="C1898" s="3">
        <v>45903.634027777778</v>
      </c>
      <c r="D1898" s="2" t="s">
        <v>33</v>
      </c>
      <c r="E1898" s="4">
        <v>2760.5</v>
      </c>
      <c r="F1898" s="2" t="s">
        <v>14</v>
      </c>
      <c r="G1898" s="5">
        <v>44</v>
      </c>
      <c r="H1898" s="2" t="s">
        <v>15</v>
      </c>
      <c r="I1898" s="2" t="s">
        <v>21</v>
      </c>
      <c r="J1898" s="2" t="s">
        <v>17</v>
      </c>
      <c r="K1898" s="2" t="s">
        <v>45</v>
      </c>
    </row>
    <row r="1899" spans="1:11" x14ac:dyDescent="0.3">
      <c r="A1899" s="2" t="s">
        <v>2285</v>
      </c>
      <c r="B1899" s="2" t="s">
        <v>56</v>
      </c>
      <c r="C1899" s="3">
        <v>45960.236805555563</v>
      </c>
      <c r="D1899" s="2" t="s">
        <v>28</v>
      </c>
      <c r="E1899" s="4">
        <v>20529.39</v>
      </c>
      <c r="F1899" s="2" t="s">
        <v>14</v>
      </c>
      <c r="G1899" s="5">
        <v>64</v>
      </c>
      <c r="H1899" s="2" t="s">
        <v>29</v>
      </c>
      <c r="I1899" s="2" t="s">
        <v>30</v>
      </c>
      <c r="J1899" s="2" t="s">
        <v>49</v>
      </c>
      <c r="K1899" s="2" t="s">
        <v>18</v>
      </c>
    </row>
    <row r="1900" spans="1:11" x14ac:dyDescent="0.3">
      <c r="A1900" s="2" t="s">
        <v>2286</v>
      </c>
      <c r="B1900" s="2" t="s">
        <v>792</v>
      </c>
      <c r="C1900" s="3">
        <v>45868.010416666657</v>
      </c>
      <c r="D1900" s="2" t="s">
        <v>28</v>
      </c>
      <c r="E1900" s="4">
        <v>2736.04</v>
      </c>
      <c r="F1900" s="2" t="s">
        <v>14</v>
      </c>
      <c r="G1900" s="5">
        <v>28</v>
      </c>
      <c r="H1900" s="2" t="s">
        <v>29</v>
      </c>
      <c r="I1900" s="2" t="s">
        <v>34</v>
      </c>
      <c r="J1900" s="2" t="s">
        <v>17</v>
      </c>
      <c r="K1900" s="2" t="s">
        <v>18</v>
      </c>
    </row>
    <row r="1901" spans="1:11" x14ac:dyDescent="0.3">
      <c r="A1901" s="2" t="s">
        <v>2287</v>
      </c>
      <c r="B1901" s="2" t="s">
        <v>301</v>
      </c>
      <c r="C1901" s="3">
        <v>45680.191666666673</v>
      </c>
      <c r="D1901" s="2" t="s">
        <v>13</v>
      </c>
      <c r="E1901" s="4">
        <v>2293.4899999999998</v>
      </c>
      <c r="F1901" s="2" t="s">
        <v>14</v>
      </c>
      <c r="G1901" s="5">
        <v>49</v>
      </c>
      <c r="H1901" s="2" t="s">
        <v>15</v>
      </c>
      <c r="I1901" s="2" t="s">
        <v>60</v>
      </c>
      <c r="J1901" s="2" t="s">
        <v>17</v>
      </c>
      <c r="K1901" s="2" t="s">
        <v>18</v>
      </c>
    </row>
    <row r="1902" spans="1:11" x14ac:dyDescent="0.3">
      <c r="A1902" s="2" t="s">
        <v>2288</v>
      </c>
      <c r="B1902" s="2" t="s">
        <v>341</v>
      </c>
      <c r="C1902" s="3">
        <v>45961.213888888888</v>
      </c>
      <c r="D1902" s="2" t="s">
        <v>13</v>
      </c>
      <c r="E1902" s="4">
        <v>865.01</v>
      </c>
      <c r="F1902" s="2" t="s">
        <v>122</v>
      </c>
      <c r="G1902" s="5">
        <v>25</v>
      </c>
      <c r="H1902" s="2" t="s">
        <v>15</v>
      </c>
      <c r="I1902" s="2" t="s">
        <v>60</v>
      </c>
      <c r="J1902" s="2" t="s">
        <v>49</v>
      </c>
      <c r="K1902" s="2" t="s">
        <v>18</v>
      </c>
    </row>
    <row r="1903" spans="1:11" x14ac:dyDescent="0.3">
      <c r="A1903" s="2" t="s">
        <v>2289</v>
      </c>
      <c r="B1903" s="2" t="s">
        <v>740</v>
      </c>
      <c r="C1903" s="3">
        <v>45980.668055555558</v>
      </c>
      <c r="D1903" s="2" t="s">
        <v>28</v>
      </c>
      <c r="E1903" s="4">
        <v>72149.83</v>
      </c>
      <c r="F1903" s="2" t="s">
        <v>14</v>
      </c>
      <c r="G1903" s="5">
        <v>44</v>
      </c>
      <c r="H1903" s="2" t="s">
        <v>29</v>
      </c>
      <c r="I1903" s="2" t="s">
        <v>95</v>
      </c>
      <c r="J1903" s="2" t="s">
        <v>44</v>
      </c>
      <c r="K1903" s="2" t="s">
        <v>18</v>
      </c>
    </row>
    <row r="1904" spans="1:11" x14ac:dyDescent="0.3">
      <c r="A1904" s="2" t="s">
        <v>2290</v>
      </c>
      <c r="B1904" s="2" t="s">
        <v>654</v>
      </c>
      <c r="C1904" s="3">
        <v>45951.168749999997</v>
      </c>
      <c r="D1904" s="2" t="s">
        <v>28</v>
      </c>
      <c r="E1904" s="4">
        <v>19895.2</v>
      </c>
      <c r="F1904" s="2" t="s">
        <v>14</v>
      </c>
      <c r="G1904" s="5">
        <v>55</v>
      </c>
      <c r="H1904" s="2" t="s">
        <v>15</v>
      </c>
      <c r="I1904" s="2" t="s">
        <v>30</v>
      </c>
      <c r="J1904" s="2" t="s">
        <v>44</v>
      </c>
      <c r="K1904" s="2" t="s">
        <v>18</v>
      </c>
    </row>
    <row r="1905" spans="1:11" x14ac:dyDescent="0.3">
      <c r="A1905" s="2" t="s">
        <v>2291</v>
      </c>
      <c r="B1905" s="2" t="s">
        <v>101</v>
      </c>
      <c r="C1905" s="3">
        <v>45743.374305555553</v>
      </c>
      <c r="D1905" s="2" t="s">
        <v>28</v>
      </c>
      <c r="E1905" s="4">
        <v>3974.25</v>
      </c>
      <c r="F1905" s="2" t="s">
        <v>14</v>
      </c>
      <c r="G1905" s="5">
        <v>45</v>
      </c>
      <c r="H1905" s="2" t="s">
        <v>29</v>
      </c>
      <c r="I1905" s="2" t="s">
        <v>34</v>
      </c>
      <c r="J1905" s="2" t="s">
        <v>17</v>
      </c>
      <c r="K1905" s="2" t="s">
        <v>35</v>
      </c>
    </row>
    <row r="1906" spans="1:11" x14ac:dyDescent="0.3">
      <c r="A1906" s="2" t="s">
        <v>2292</v>
      </c>
      <c r="B1906" s="2" t="s">
        <v>51</v>
      </c>
      <c r="C1906" s="3">
        <v>45750.684027777781</v>
      </c>
      <c r="D1906" s="2" t="s">
        <v>13</v>
      </c>
      <c r="E1906" s="4">
        <v>1042.92</v>
      </c>
      <c r="F1906" s="2" t="s">
        <v>14</v>
      </c>
      <c r="G1906" s="5">
        <v>30</v>
      </c>
      <c r="H1906" s="2" t="s">
        <v>29</v>
      </c>
      <c r="I1906" s="2" t="s">
        <v>48</v>
      </c>
      <c r="J1906" s="2" t="s">
        <v>52</v>
      </c>
      <c r="K1906" s="2" t="s">
        <v>18</v>
      </c>
    </row>
    <row r="1907" spans="1:11" x14ac:dyDescent="0.3">
      <c r="A1907" s="2" t="s">
        <v>2293</v>
      </c>
      <c r="B1907" s="2" t="s">
        <v>1337</v>
      </c>
      <c r="C1907" s="3">
        <v>45964.777777777781</v>
      </c>
      <c r="D1907" s="2" t="s">
        <v>28</v>
      </c>
      <c r="E1907" s="4">
        <v>50050.32</v>
      </c>
      <c r="F1907" s="2" t="s">
        <v>14</v>
      </c>
      <c r="G1907" s="5">
        <v>38</v>
      </c>
      <c r="H1907" s="2" t="s">
        <v>15</v>
      </c>
      <c r="I1907" s="2" t="s">
        <v>21</v>
      </c>
      <c r="J1907" s="2" t="s">
        <v>17</v>
      </c>
      <c r="K1907" s="2" t="s">
        <v>35</v>
      </c>
    </row>
    <row r="1908" spans="1:11" x14ac:dyDescent="0.3">
      <c r="A1908" s="2" t="s">
        <v>2294</v>
      </c>
      <c r="B1908" s="2" t="s">
        <v>1242</v>
      </c>
      <c r="C1908" s="3">
        <v>45667.990277777782</v>
      </c>
      <c r="D1908" s="2" t="s">
        <v>28</v>
      </c>
      <c r="E1908" s="4">
        <v>20602.03</v>
      </c>
      <c r="F1908" s="2" t="s">
        <v>14</v>
      </c>
      <c r="G1908" s="5">
        <v>21</v>
      </c>
      <c r="H1908" s="2" t="s">
        <v>29</v>
      </c>
      <c r="I1908" s="2" t="s">
        <v>34</v>
      </c>
      <c r="J1908" s="2" t="s">
        <v>44</v>
      </c>
      <c r="K1908" s="2" t="s">
        <v>22</v>
      </c>
    </row>
    <row r="1909" spans="1:11" x14ac:dyDescent="0.3">
      <c r="A1909" s="2" t="s">
        <v>2295</v>
      </c>
      <c r="B1909" s="2" t="s">
        <v>1337</v>
      </c>
      <c r="C1909" s="3">
        <v>45996.378472222219</v>
      </c>
      <c r="D1909" s="2" t="s">
        <v>28</v>
      </c>
      <c r="E1909" s="4">
        <v>66146.490000000005</v>
      </c>
      <c r="F1909" s="2" t="s">
        <v>14</v>
      </c>
      <c r="G1909" s="5">
        <v>38</v>
      </c>
      <c r="H1909" s="2" t="s">
        <v>15</v>
      </c>
      <c r="I1909" s="2" t="s">
        <v>21</v>
      </c>
      <c r="J1909" s="2" t="s">
        <v>17</v>
      </c>
      <c r="K1909" s="2" t="s">
        <v>18</v>
      </c>
    </row>
    <row r="1910" spans="1:11" x14ac:dyDescent="0.3">
      <c r="A1910" s="2" t="s">
        <v>2296</v>
      </c>
      <c r="B1910" s="2" t="s">
        <v>296</v>
      </c>
      <c r="C1910" s="3">
        <v>45768.609722222223</v>
      </c>
      <c r="D1910" s="2" t="s">
        <v>33</v>
      </c>
      <c r="E1910" s="4">
        <v>13675.78</v>
      </c>
      <c r="F1910" s="2" t="s">
        <v>14</v>
      </c>
      <c r="G1910" s="5">
        <v>31</v>
      </c>
      <c r="H1910" s="2" t="s">
        <v>15</v>
      </c>
      <c r="I1910" s="2" t="s">
        <v>34</v>
      </c>
      <c r="J1910" s="2" t="s">
        <v>52</v>
      </c>
      <c r="K1910" s="2" t="s">
        <v>18</v>
      </c>
    </row>
    <row r="1911" spans="1:11" x14ac:dyDescent="0.3">
      <c r="A1911" s="2" t="s">
        <v>2297</v>
      </c>
      <c r="B1911" s="2" t="s">
        <v>37</v>
      </c>
      <c r="C1911" s="3">
        <v>45899.631944444453</v>
      </c>
      <c r="D1911" s="2" t="s">
        <v>13</v>
      </c>
      <c r="E1911" s="4">
        <v>2615.2399999999998</v>
      </c>
      <c r="F1911" s="2" t="s">
        <v>14</v>
      </c>
      <c r="G1911" s="5">
        <v>29</v>
      </c>
      <c r="H1911" s="2" t="s">
        <v>15</v>
      </c>
      <c r="I1911" s="2" t="s">
        <v>25</v>
      </c>
      <c r="J1911" s="2" t="s">
        <v>17</v>
      </c>
      <c r="K1911" s="2" t="s">
        <v>18</v>
      </c>
    </row>
    <row r="1912" spans="1:11" x14ac:dyDescent="0.3">
      <c r="A1912" s="2" t="s">
        <v>2298</v>
      </c>
      <c r="B1912" s="2" t="s">
        <v>1130</v>
      </c>
      <c r="C1912" s="3">
        <v>45770.568055555559</v>
      </c>
      <c r="D1912" s="2" t="s">
        <v>13</v>
      </c>
      <c r="E1912" s="4">
        <v>230.32</v>
      </c>
      <c r="F1912" s="2" t="s">
        <v>14</v>
      </c>
      <c r="G1912" s="5">
        <v>36</v>
      </c>
      <c r="H1912" s="2" t="s">
        <v>29</v>
      </c>
      <c r="I1912" s="2" t="s">
        <v>34</v>
      </c>
      <c r="J1912" s="2" t="s">
        <v>52</v>
      </c>
      <c r="K1912" s="2" t="s">
        <v>45</v>
      </c>
    </row>
    <row r="1913" spans="1:11" x14ac:dyDescent="0.3">
      <c r="A1913" s="2" t="s">
        <v>2299</v>
      </c>
      <c r="B1913" s="2" t="s">
        <v>834</v>
      </c>
      <c r="C1913" s="3">
        <v>45731.786111111112</v>
      </c>
      <c r="D1913" s="2" t="s">
        <v>13</v>
      </c>
      <c r="E1913" s="4">
        <v>551.51</v>
      </c>
      <c r="F1913" s="2" t="s">
        <v>57</v>
      </c>
      <c r="G1913" s="5">
        <v>28</v>
      </c>
      <c r="H1913" s="2" t="s">
        <v>29</v>
      </c>
      <c r="I1913" s="2" t="s">
        <v>34</v>
      </c>
      <c r="J1913" s="2" t="s">
        <v>17</v>
      </c>
      <c r="K1913" s="2" t="s">
        <v>22</v>
      </c>
    </row>
    <row r="1914" spans="1:11" x14ac:dyDescent="0.3">
      <c r="A1914" s="2" t="s">
        <v>2300</v>
      </c>
      <c r="B1914" s="2" t="s">
        <v>1214</v>
      </c>
      <c r="C1914" s="3">
        <v>45751.820833333331</v>
      </c>
      <c r="D1914" s="2" t="s">
        <v>38</v>
      </c>
      <c r="E1914" s="4">
        <v>1056.17</v>
      </c>
      <c r="F1914" s="2" t="s">
        <v>14</v>
      </c>
      <c r="G1914" s="5">
        <v>54</v>
      </c>
      <c r="H1914" s="2" t="s">
        <v>29</v>
      </c>
      <c r="I1914" s="2" t="s">
        <v>95</v>
      </c>
      <c r="J1914" s="2" t="s">
        <v>52</v>
      </c>
      <c r="K1914" s="2" t="s">
        <v>22</v>
      </c>
    </row>
    <row r="1915" spans="1:11" x14ac:dyDescent="0.3">
      <c r="A1915" s="2" t="s">
        <v>2301</v>
      </c>
      <c r="B1915" s="2" t="s">
        <v>215</v>
      </c>
      <c r="C1915" s="3">
        <v>45919.340277777781</v>
      </c>
      <c r="D1915" s="2" t="s">
        <v>28</v>
      </c>
      <c r="E1915" s="4">
        <v>90775.360000000001</v>
      </c>
      <c r="F1915" s="2" t="s">
        <v>57</v>
      </c>
      <c r="G1915" s="5">
        <v>28</v>
      </c>
      <c r="H1915" s="2" t="s">
        <v>15</v>
      </c>
      <c r="I1915" s="2" t="s">
        <v>30</v>
      </c>
      <c r="J1915" s="2" t="s">
        <v>17</v>
      </c>
      <c r="K1915" s="2" t="s">
        <v>18</v>
      </c>
    </row>
    <row r="1916" spans="1:11" x14ac:dyDescent="0.3">
      <c r="A1916" s="2" t="s">
        <v>2302</v>
      </c>
      <c r="B1916" s="2" t="s">
        <v>103</v>
      </c>
      <c r="C1916" s="3">
        <v>46009.457638888889</v>
      </c>
      <c r="D1916" s="2" t="s">
        <v>28</v>
      </c>
      <c r="E1916" s="4">
        <v>77446.789999999994</v>
      </c>
      <c r="F1916" s="2" t="s">
        <v>14</v>
      </c>
      <c r="G1916" s="5">
        <v>43</v>
      </c>
      <c r="H1916" s="2" t="s">
        <v>29</v>
      </c>
      <c r="I1916" s="2" t="s">
        <v>34</v>
      </c>
      <c r="J1916" s="2" t="s">
        <v>17</v>
      </c>
      <c r="K1916" s="2" t="s">
        <v>18</v>
      </c>
    </row>
    <row r="1917" spans="1:11" x14ac:dyDescent="0.3">
      <c r="A1917" s="2" t="s">
        <v>2303</v>
      </c>
      <c r="B1917" s="2" t="s">
        <v>1391</v>
      </c>
      <c r="C1917" s="3">
        <v>45890.817361111112</v>
      </c>
      <c r="D1917" s="2" t="s">
        <v>38</v>
      </c>
      <c r="E1917" s="4">
        <v>502.34</v>
      </c>
      <c r="F1917" s="2" t="s">
        <v>14</v>
      </c>
      <c r="G1917" s="5">
        <v>53</v>
      </c>
      <c r="H1917" s="2" t="s">
        <v>29</v>
      </c>
      <c r="I1917" s="2" t="s">
        <v>16</v>
      </c>
      <c r="J1917" s="2" t="s">
        <v>49</v>
      </c>
      <c r="K1917" s="2" t="s">
        <v>45</v>
      </c>
    </row>
    <row r="1918" spans="1:11" x14ac:dyDescent="0.3">
      <c r="A1918" s="2" t="s">
        <v>2304</v>
      </c>
      <c r="B1918" s="2" t="s">
        <v>90</v>
      </c>
      <c r="C1918" s="3">
        <v>45693.308333333327</v>
      </c>
      <c r="D1918" s="2" t="s">
        <v>13</v>
      </c>
      <c r="E1918" s="4">
        <v>374.87</v>
      </c>
      <c r="F1918" s="2" t="s">
        <v>14</v>
      </c>
      <c r="G1918" s="5">
        <v>22</v>
      </c>
      <c r="H1918" s="2" t="s">
        <v>29</v>
      </c>
      <c r="I1918" s="2" t="s">
        <v>48</v>
      </c>
      <c r="J1918" s="2" t="s">
        <v>49</v>
      </c>
      <c r="K1918" s="2" t="s">
        <v>22</v>
      </c>
    </row>
    <row r="1919" spans="1:11" x14ac:dyDescent="0.3">
      <c r="A1919" s="2" t="s">
        <v>2305</v>
      </c>
      <c r="B1919" s="2" t="s">
        <v>327</v>
      </c>
      <c r="C1919" s="3">
        <v>45855.17083333333</v>
      </c>
      <c r="D1919" s="2" t="s">
        <v>13</v>
      </c>
      <c r="E1919" s="4">
        <v>601.34</v>
      </c>
      <c r="F1919" s="2" t="s">
        <v>57</v>
      </c>
      <c r="G1919" s="5">
        <v>48</v>
      </c>
      <c r="H1919" s="2" t="s">
        <v>15</v>
      </c>
      <c r="I1919" s="2" t="s">
        <v>34</v>
      </c>
      <c r="J1919" s="2" t="s">
        <v>17</v>
      </c>
      <c r="K1919" s="2" t="s">
        <v>18</v>
      </c>
    </row>
    <row r="1920" spans="1:11" x14ac:dyDescent="0.3">
      <c r="A1920" s="2" t="s">
        <v>2306</v>
      </c>
      <c r="B1920" s="2" t="s">
        <v>248</v>
      </c>
      <c r="C1920" s="3">
        <v>45666.272916666669</v>
      </c>
      <c r="D1920" s="2" t="s">
        <v>28</v>
      </c>
      <c r="E1920" s="4">
        <v>8245.6</v>
      </c>
      <c r="F1920" s="2" t="s">
        <v>14</v>
      </c>
      <c r="G1920" s="5">
        <v>35</v>
      </c>
      <c r="H1920" s="2" t="s">
        <v>15</v>
      </c>
      <c r="I1920" s="2" t="s">
        <v>25</v>
      </c>
      <c r="J1920" s="2" t="s">
        <v>17</v>
      </c>
      <c r="K1920" s="2" t="s">
        <v>18</v>
      </c>
    </row>
    <row r="1921" spans="1:11" x14ac:dyDescent="0.3">
      <c r="A1921" s="2" t="s">
        <v>2307</v>
      </c>
      <c r="B1921" s="2" t="s">
        <v>299</v>
      </c>
      <c r="C1921" s="3">
        <v>45916.893055555563</v>
      </c>
      <c r="D1921" s="2" t="s">
        <v>28</v>
      </c>
      <c r="E1921" s="4">
        <v>73544.17</v>
      </c>
      <c r="F1921" s="2" t="s">
        <v>14</v>
      </c>
      <c r="G1921" s="5">
        <v>27</v>
      </c>
      <c r="H1921" s="2" t="s">
        <v>15</v>
      </c>
      <c r="I1921" s="2" t="s">
        <v>34</v>
      </c>
      <c r="J1921" s="2" t="s">
        <v>49</v>
      </c>
      <c r="K1921" s="2" t="s">
        <v>45</v>
      </c>
    </row>
    <row r="1922" spans="1:11" x14ac:dyDescent="0.3">
      <c r="A1922" s="2" t="s">
        <v>2308</v>
      </c>
      <c r="B1922" s="2" t="s">
        <v>1337</v>
      </c>
      <c r="C1922" s="3">
        <v>45734.79583333333</v>
      </c>
      <c r="D1922" s="2" t="s">
        <v>33</v>
      </c>
      <c r="E1922" s="4">
        <v>961.25</v>
      </c>
      <c r="F1922" s="2" t="s">
        <v>14</v>
      </c>
      <c r="G1922" s="5">
        <v>38</v>
      </c>
      <c r="H1922" s="2" t="s">
        <v>15</v>
      </c>
      <c r="I1922" s="2" t="s">
        <v>21</v>
      </c>
      <c r="J1922" s="2" t="s">
        <v>17</v>
      </c>
      <c r="K1922" s="2" t="s">
        <v>18</v>
      </c>
    </row>
    <row r="1923" spans="1:11" x14ac:dyDescent="0.3">
      <c r="A1923" s="2" t="s">
        <v>2309</v>
      </c>
      <c r="B1923" s="2" t="s">
        <v>395</v>
      </c>
      <c r="C1923" s="3">
        <v>45748.664583333331</v>
      </c>
      <c r="D1923" s="2" t="s">
        <v>13</v>
      </c>
      <c r="E1923" s="4">
        <v>1722.26</v>
      </c>
      <c r="F1923" s="2" t="s">
        <v>14</v>
      </c>
      <c r="G1923" s="5">
        <v>24</v>
      </c>
      <c r="H1923" s="2" t="s">
        <v>15</v>
      </c>
      <c r="I1923" s="2" t="s">
        <v>21</v>
      </c>
      <c r="J1923" s="2" t="s">
        <v>17</v>
      </c>
      <c r="K1923" s="2" t="s">
        <v>45</v>
      </c>
    </row>
    <row r="1924" spans="1:11" x14ac:dyDescent="0.3">
      <c r="A1924" s="2" t="s">
        <v>2310</v>
      </c>
      <c r="B1924" s="2" t="s">
        <v>275</v>
      </c>
      <c r="C1924" s="3">
        <v>45972.793055555558</v>
      </c>
      <c r="D1924" s="2" t="s">
        <v>13</v>
      </c>
      <c r="E1924" s="4">
        <v>2278.2399999999998</v>
      </c>
      <c r="F1924" s="2" t="s">
        <v>14</v>
      </c>
      <c r="G1924" s="5">
        <v>29</v>
      </c>
      <c r="H1924" s="2" t="s">
        <v>15</v>
      </c>
      <c r="I1924" s="2" t="s">
        <v>34</v>
      </c>
      <c r="J1924" s="2" t="s">
        <v>49</v>
      </c>
      <c r="K1924" s="2" t="s">
        <v>45</v>
      </c>
    </row>
    <row r="1925" spans="1:11" x14ac:dyDescent="0.3">
      <c r="A1925" s="2" t="s">
        <v>2311</v>
      </c>
      <c r="B1925" s="2" t="s">
        <v>1424</v>
      </c>
      <c r="C1925" s="3">
        <v>45930.7</v>
      </c>
      <c r="D1925" s="2" t="s">
        <v>13</v>
      </c>
      <c r="E1925" s="4">
        <v>1127.72</v>
      </c>
      <c r="F1925" s="2" t="s">
        <v>14</v>
      </c>
      <c r="G1925" s="5">
        <v>37</v>
      </c>
      <c r="H1925" s="2" t="s">
        <v>29</v>
      </c>
      <c r="I1925" s="2" t="s">
        <v>95</v>
      </c>
      <c r="J1925" s="2" t="s">
        <v>49</v>
      </c>
      <c r="K1925" s="2" t="s">
        <v>22</v>
      </c>
    </row>
    <row r="1926" spans="1:11" x14ac:dyDescent="0.3">
      <c r="A1926" s="2" t="s">
        <v>2312</v>
      </c>
      <c r="B1926" s="2" t="s">
        <v>438</v>
      </c>
      <c r="C1926" s="3">
        <v>45718.104166666657</v>
      </c>
      <c r="D1926" s="2" t="s">
        <v>28</v>
      </c>
      <c r="E1926" s="4">
        <v>27681.39</v>
      </c>
      <c r="F1926" s="2" t="s">
        <v>14</v>
      </c>
      <c r="G1926" s="5">
        <v>27</v>
      </c>
      <c r="H1926" s="2" t="s">
        <v>15</v>
      </c>
      <c r="I1926" s="2" t="s">
        <v>34</v>
      </c>
      <c r="J1926" s="2" t="s">
        <v>17</v>
      </c>
      <c r="K1926" s="2" t="s">
        <v>18</v>
      </c>
    </row>
    <row r="1927" spans="1:11" x14ac:dyDescent="0.3">
      <c r="A1927" s="2" t="s">
        <v>2313</v>
      </c>
      <c r="B1927" s="2" t="s">
        <v>181</v>
      </c>
      <c r="C1927" s="3">
        <v>45995.206250000003</v>
      </c>
      <c r="D1927" s="2" t="s">
        <v>28</v>
      </c>
      <c r="E1927" s="4">
        <v>3459.12</v>
      </c>
      <c r="F1927" s="2" t="s">
        <v>14</v>
      </c>
      <c r="G1927" s="5">
        <v>34</v>
      </c>
      <c r="H1927" s="2" t="s">
        <v>15</v>
      </c>
      <c r="I1927" s="2" t="s">
        <v>48</v>
      </c>
      <c r="J1927" s="2" t="s">
        <v>17</v>
      </c>
      <c r="K1927" s="2" t="s">
        <v>45</v>
      </c>
    </row>
    <row r="1928" spans="1:11" x14ac:dyDescent="0.3">
      <c r="A1928" s="2" t="s">
        <v>2314</v>
      </c>
      <c r="B1928" s="2" t="s">
        <v>105</v>
      </c>
      <c r="C1928" s="3">
        <v>45966.744444444441</v>
      </c>
      <c r="D1928" s="2" t="s">
        <v>13</v>
      </c>
      <c r="E1928" s="4">
        <v>1485.44</v>
      </c>
      <c r="F1928" s="2" t="s">
        <v>14</v>
      </c>
      <c r="G1928" s="5">
        <v>42</v>
      </c>
      <c r="H1928" s="2" t="s">
        <v>15</v>
      </c>
      <c r="I1928" s="2" t="s">
        <v>34</v>
      </c>
      <c r="J1928" s="2" t="s">
        <v>49</v>
      </c>
      <c r="K1928" s="2" t="s">
        <v>35</v>
      </c>
    </row>
    <row r="1929" spans="1:11" x14ac:dyDescent="0.3">
      <c r="A1929" s="2" t="s">
        <v>2315</v>
      </c>
      <c r="B1929" s="2" t="s">
        <v>930</v>
      </c>
      <c r="C1929" s="3">
        <v>45658.90347222222</v>
      </c>
      <c r="D1929" s="2" t="s">
        <v>13</v>
      </c>
      <c r="E1929" s="4">
        <v>623.22</v>
      </c>
      <c r="F1929" s="2" t="s">
        <v>122</v>
      </c>
      <c r="G1929" s="5">
        <v>27</v>
      </c>
      <c r="H1929" s="2" t="s">
        <v>29</v>
      </c>
      <c r="I1929" s="2" t="s">
        <v>16</v>
      </c>
      <c r="J1929" s="2" t="s">
        <v>52</v>
      </c>
      <c r="K1929" s="2" t="s">
        <v>45</v>
      </c>
    </row>
    <row r="1930" spans="1:11" x14ac:dyDescent="0.3">
      <c r="A1930" s="2" t="s">
        <v>2316</v>
      </c>
      <c r="B1930" s="2" t="s">
        <v>1274</v>
      </c>
      <c r="C1930" s="3">
        <v>45878.68472222222</v>
      </c>
      <c r="D1930" s="2" t="s">
        <v>28</v>
      </c>
      <c r="E1930" s="4">
        <v>74517.039999999994</v>
      </c>
      <c r="F1930" s="2" t="s">
        <v>57</v>
      </c>
      <c r="G1930" s="5">
        <v>32</v>
      </c>
      <c r="H1930" s="2" t="s">
        <v>15</v>
      </c>
      <c r="I1930" s="2" t="s">
        <v>95</v>
      </c>
      <c r="J1930" s="2" t="s">
        <v>17</v>
      </c>
      <c r="K1930" s="2" t="s">
        <v>45</v>
      </c>
    </row>
    <row r="1931" spans="1:11" x14ac:dyDescent="0.3">
      <c r="A1931" s="2" t="s">
        <v>2317</v>
      </c>
      <c r="B1931" s="2" t="s">
        <v>203</v>
      </c>
      <c r="C1931" s="3">
        <v>45847.072222222218</v>
      </c>
      <c r="D1931" s="2" t="s">
        <v>28</v>
      </c>
      <c r="E1931" s="4">
        <v>5307.57</v>
      </c>
      <c r="F1931" s="2" t="s">
        <v>14</v>
      </c>
      <c r="G1931" s="5">
        <v>37</v>
      </c>
      <c r="H1931" s="2" t="s">
        <v>29</v>
      </c>
      <c r="I1931" s="2" t="s">
        <v>48</v>
      </c>
      <c r="J1931" s="2" t="s">
        <v>44</v>
      </c>
      <c r="K1931" s="2" t="s">
        <v>35</v>
      </c>
    </row>
    <row r="1932" spans="1:11" x14ac:dyDescent="0.3">
      <c r="A1932" s="2" t="s">
        <v>2318</v>
      </c>
      <c r="B1932" s="2" t="s">
        <v>1290</v>
      </c>
      <c r="C1932" s="3">
        <v>45929.551388888889</v>
      </c>
      <c r="D1932" s="2" t="s">
        <v>28</v>
      </c>
      <c r="E1932" s="4">
        <v>5967.17</v>
      </c>
      <c r="F1932" s="2" t="s">
        <v>14</v>
      </c>
      <c r="G1932" s="5">
        <v>32</v>
      </c>
      <c r="H1932" s="2" t="s">
        <v>15</v>
      </c>
      <c r="I1932" s="2" t="s">
        <v>34</v>
      </c>
      <c r="J1932" s="2" t="s">
        <v>44</v>
      </c>
      <c r="K1932" s="2" t="s">
        <v>18</v>
      </c>
    </row>
    <row r="1933" spans="1:11" x14ac:dyDescent="0.3">
      <c r="A1933" s="2" t="s">
        <v>2319</v>
      </c>
      <c r="B1933" s="2" t="s">
        <v>56</v>
      </c>
      <c r="C1933" s="3">
        <v>45904.515277777777</v>
      </c>
      <c r="D1933" s="2" t="s">
        <v>38</v>
      </c>
      <c r="E1933" s="4">
        <v>6664.03</v>
      </c>
      <c r="F1933" s="2" t="s">
        <v>14</v>
      </c>
      <c r="G1933" s="5">
        <v>64</v>
      </c>
      <c r="H1933" s="2" t="s">
        <v>29</v>
      </c>
      <c r="I1933" s="2" t="s">
        <v>30</v>
      </c>
      <c r="J1933" s="2" t="s">
        <v>49</v>
      </c>
      <c r="K1933" s="2" t="s">
        <v>45</v>
      </c>
    </row>
    <row r="1934" spans="1:11" x14ac:dyDescent="0.3">
      <c r="A1934" s="2" t="s">
        <v>2320</v>
      </c>
      <c r="B1934" s="2" t="s">
        <v>148</v>
      </c>
      <c r="C1934" s="3">
        <v>45959.998611111107</v>
      </c>
      <c r="D1934" s="2" t="s">
        <v>28</v>
      </c>
      <c r="E1934" s="4">
        <v>54943.040000000001</v>
      </c>
      <c r="F1934" s="2" t="s">
        <v>57</v>
      </c>
      <c r="G1934" s="5">
        <v>56</v>
      </c>
      <c r="H1934" s="2" t="s">
        <v>29</v>
      </c>
      <c r="I1934" s="2" t="s">
        <v>43</v>
      </c>
      <c r="J1934" s="2" t="s">
        <v>17</v>
      </c>
      <c r="K1934" s="2" t="s">
        <v>45</v>
      </c>
    </row>
    <row r="1935" spans="1:11" x14ac:dyDescent="0.3">
      <c r="A1935" s="2" t="s">
        <v>2321</v>
      </c>
      <c r="B1935" s="2" t="s">
        <v>709</v>
      </c>
      <c r="C1935" s="3">
        <v>46014.754166666673</v>
      </c>
      <c r="D1935" s="2" t="s">
        <v>33</v>
      </c>
      <c r="E1935" s="4">
        <v>31500.03</v>
      </c>
      <c r="F1935" s="2" t="s">
        <v>14</v>
      </c>
      <c r="G1935" s="5">
        <v>44</v>
      </c>
      <c r="H1935" s="2" t="s">
        <v>15</v>
      </c>
      <c r="I1935" s="2" t="s">
        <v>34</v>
      </c>
      <c r="J1935" s="2" t="s">
        <v>44</v>
      </c>
      <c r="K1935" s="2" t="s">
        <v>18</v>
      </c>
    </row>
    <row r="1936" spans="1:11" x14ac:dyDescent="0.3">
      <c r="A1936" s="2" t="s">
        <v>2322</v>
      </c>
      <c r="B1936" s="2" t="s">
        <v>1274</v>
      </c>
      <c r="C1936" s="3">
        <v>45875.177777777782</v>
      </c>
      <c r="D1936" s="2" t="s">
        <v>28</v>
      </c>
      <c r="E1936" s="4">
        <v>3939.78</v>
      </c>
      <c r="F1936" s="2" t="s">
        <v>14</v>
      </c>
      <c r="G1936" s="5">
        <v>32</v>
      </c>
      <c r="H1936" s="2" t="s">
        <v>15</v>
      </c>
      <c r="I1936" s="2" t="s">
        <v>95</v>
      </c>
      <c r="J1936" s="2" t="s">
        <v>17</v>
      </c>
      <c r="K1936" s="2" t="s">
        <v>22</v>
      </c>
    </row>
    <row r="1937" spans="1:11" x14ac:dyDescent="0.3">
      <c r="A1937" s="2" t="s">
        <v>2323</v>
      </c>
      <c r="B1937" s="2" t="s">
        <v>299</v>
      </c>
      <c r="C1937" s="3">
        <v>45902.331944444442</v>
      </c>
      <c r="D1937" s="2" t="s">
        <v>38</v>
      </c>
      <c r="E1937" s="4">
        <v>1492.11</v>
      </c>
      <c r="F1937" s="2" t="s">
        <v>14</v>
      </c>
      <c r="G1937" s="5">
        <v>27</v>
      </c>
      <c r="H1937" s="2" t="s">
        <v>15</v>
      </c>
      <c r="I1937" s="2" t="s">
        <v>34</v>
      </c>
      <c r="J1937" s="2" t="s">
        <v>49</v>
      </c>
      <c r="K1937" s="2" t="s">
        <v>45</v>
      </c>
    </row>
    <row r="1938" spans="1:11" x14ac:dyDescent="0.3">
      <c r="A1938" s="2" t="s">
        <v>2324</v>
      </c>
      <c r="B1938" s="2" t="s">
        <v>94</v>
      </c>
      <c r="C1938" s="3">
        <v>45700.401388888888</v>
      </c>
      <c r="D1938" s="2" t="s">
        <v>13</v>
      </c>
      <c r="E1938" s="4">
        <v>1947.52</v>
      </c>
      <c r="F1938" s="2" t="s">
        <v>14</v>
      </c>
      <c r="G1938" s="5">
        <v>36</v>
      </c>
      <c r="H1938" s="2" t="s">
        <v>15</v>
      </c>
      <c r="I1938" s="2" t="s">
        <v>95</v>
      </c>
      <c r="J1938" s="2" t="s">
        <v>17</v>
      </c>
      <c r="K1938" s="2" t="s">
        <v>45</v>
      </c>
    </row>
    <row r="1939" spans="1:11" x14ac:dyDescent="0.3">
      <c r="A1939" s="2" t="s">
        <v>2325</v>
      </c>
      <c r="B1939" s="2" t="s">
        <v>27</v>
      </c>
      <c r="C1939" s="3">
        <v>45936.552777777782</v>
      </c>
      <c r="D1939" s="2" t="s">
        <v>28</v>
      </c>
      <c r="E1939" s="4">
        <v>7314.48</v>
      </c>
      <c r="F1939" s="2" t="s">
        <v>14</v>
      </c>
      <c r="G1939" s="5">
        <v>35</v>
      </c>
      <c r="H1939" s="2" t="s">
        <v>29</v>
      </c>
      <c r="I1939" s="2" t="s">
        <v>30</v>
      </c>
      <c r="J1939" s="2" t="s">
        <v>17</v>
      </c>
      <c r="K1939" s="2" t="s">
        <v>18</v>
      </c>
    </row>
    <row r="1940" spans="1:11" x14ac:dyDescent="0.3">
      <c r="A1940" s="2" t="s">
        <v>2326</v>
      </c>
      <c r="B1940" s="2" t="s">
        <v>169</v>
      </c>
      <c r="C1940" s="3">
        <v>45754.03125</v>
      </c>
      <c r="D1940" s="2" t="s">
        <v>28</v>
      </c>
      <c r="E1940" s="4">
        <v>30095.13</v>
      </c>
      <c r="F1940" s="2" t="s">
        <v>14</v>
      </c>
      <c r="G1940" s="5">
        <v>33</v>
      </c>
      <c r="H1940" s="2" t="s">
        <v>29</v>
      </c>
      <c r="I1940" s="2" t="s">
        <v>34</v>
      </c>
      <c r="J1940" s="2" t="s">
        <v>17</v>
      </c>
      <c r="K1940" s="2" t="s">
        <v>45</v>
      </c>
    </row>
    <row r="1941" spans="1:11" x14ac:dyDescent="0.3">
      <c r="A1941" s="2" t="s">
        <v>2327</v>
      </c>
      <c r="B1941" s="2" t="s">
        <v>32</v>
      </c>
      <c r="C1941" s="3">
        <v>45661.772916666669</v>
      </c>
      <c r="D1941" s="2" t="s">
        <v>38</v>
      </c>
      <c r="E1941" s="4">
        <v>5061.6499999999996</v>
      </c>
      <c r="F1941" s="2" t="s">
        <v>14</v>
      </c>
      <c r="G1941" s="5">
        <v>53</v>
      </c>
      <c r="H1941" s="2" t="s">
        <v>15</v>
      </c>
      <c r="I1941" s="2" t="s">
        <v>34</v>
      </c>
      <c r="J1941" s="2" t="s">
        <v>17</v>
      </c>
      <c r="K1941" s="2" t="s">
        <v>18</v>
      </c>
    </row>
    <row r="1942" spans="1:11" x14ac:dyDescent="0.3">
      <c r="A1942" s="2" t="s">
        <v>2328</v>
      </c>
      <c r="B1942" s="2" t="s">
        <v>99</v>
      </c>
      <c r="C1942" s="3">
        <v>45718.666666666657</v>
      </c>
      <c r="D1942" s="2" t="s">
        <v>28</v>
      </c>
      <c r="E1942" s="4">
        <v>6027.63</v>
      </c>
      <c r="F1942" s="2" t="s">
        <v>14</v>
      </c>
      <c r="G1942" s="5">
        <v>36</v>
      </c>
      <c r="H1942" s="2" t="s">
        <v>15</v>
      </c>
      <c r="I1942" s="2" t="s">
        <v>30</v>
      </c>
      <c r="J1942" s="2" t="s">
        <v>17</v>
      </c>
      <c r="K1942" s="2" t="s">
        <v>18</v>
      </c>
    </row>
    <row r="1943" spans="1:11" x14ac:dyDescent="0.3">
      <c r="A1943" s="2" t="s">
        <v>2329</v>
      </c>
      <c r="B1943" s="2" t="s">
        <v>357</v>
      </c>
      <c r="C1943" s="3">
        <v>45850.842361111107</v>
      </c>
      <c r="D1943" s="2" t="s">
        <v>33</v>
      </c>
      <c r="E1943" s="4">
        <v>1087.6199999999999</v>
      </c>
      <c r="F1943" s="2" t="s">
        <v>14</v>
      </c>
      <c r="G1943" s="5">
        <v>57</v>
      </c>
      <c r="H1943" s="2" t="s">
        <v>15</v>
      </c>
      <c r="I1943" s="2" t="s">
        <v>16</v>
      </c>
      <c r="J1943" s="2" t="s">
        <v>44</v>
      </c>
      <c r="K1943" s="2" t="s">
        <v>18</v>
      </c>
    </row>
    <row r="1944" spans="1:11" x14ac:dyDescent="0.3">
      <c r="A1944" s="2" t="s">
        <v>2330</v>
      </c>
      <c r="B1944" s="2" t="s">
        <v>772</v>
      </c>
      <c r="C1944" s="3">
        <v>46010.43472222222</v>
      </c>
      <c r="D1944" s="2" t="s">
        <v>28</v>
      </c>
      <c r="E1944" s="4">
        <v>45167.87</v>
      </c>
      <c r="F1944" s="2" t="s">
        <v>57</v>
      </c>
      <c r="G1944" s="5">
        <v>31</v>
      </c>
      <c r="H1944" s="2" t="s">
        <v>15</v>
      </c>
      <c r="I1944" s="2" t="s">
        <v>34</v>
      </c>
      <c r="J1944" s="2" t="s">
        <v>52</v>
      </c>
      <c r="K1944" s="2" t="s">
        <v>18</v>
      </c>
    </row>
    <row r="1945" spans="1:11" x14ac:dyDescent="0.3">
      <c r="A1945" s="2" t="s">
        <v>2331</v>
      </c>
      <c r="B1945" s="2" t="s">
        <v>743</v>
      </c>
      <c r="C1945" s="3">
        <v>45843.131249999999</v>
      </c>
      <c r="D1945" s="2" t="s">
        <v>13</v>
      </c>
      <c r="E1945" s="4">
        <v>3330.4</v>
      </c>
      <c r="F1945" s="2" t="s">
        <v>14</v>
      </c>
      <c r="G1945" s="5">
        <v>38</v>
      </c>
      <c r="H1945" s="2" t="s">
        <v>29</v>
      </c>
      <c r="I1945" s="2" t="s">
        <v>95</v>
      </c>
      <c r="J1945" s="2" t="s">
        <v>17</v>
      </c>
      <c r="K1945" s="2" t="s">
        <v>18</v>
      </c>
    </row>
    <row r="1946" spans="1:11" x14ac:dyDescent="0.3">
      <c r="A1946" s="2" t="s">
        <v>2332</v>
      </c>
      <c r="B1946" s="2" t="s">
        <v>194</v>
      </c>
      <c r="C1946" s="3">
        <v>45876.859027777777</v>
      </c>
      <c r="D1946" s="2" t="s">
        <v>28</v>
      </c>
      <c r="E1946" s="4">
        <v>5591.02</v>
      </c>
      <c r="F1946" s="2" t="s">
        <v>14</v>
      </c>
      <c r="G1946" s="5">
        <v>31</v>
      </c>
      <c r="H1946" s="2" t="s">
        <v>29</v>
      </c>
      <c r="I1946" s="2" t="s">
        <v>16</v>
      </c>
      <c r="J1946" s="2" t="s">
        <v>17</v>
      </c>
      <c r="K1946" s="2" t="s">
        <v>22</v>
      </c>
    </row>
    <row r="1947" spans="1:11" x14ac:dyDescent="0.3">
      <c r="A1947" s="2" t="s">
        <v>2333</v>
      </c>
      <c r="B1947" s="2" t="s">
        <v>366</v>
      </c>
      <c r="C1947" s="3">
        <v>45787.370833333327</v>
      </c>
      <c r="D1947" s="2" t="s">
        <v>28</v>
      </c>
      <c r="E1947" s="4">
        <v>18227.02</v>
      </c>
      <c r="F1947" s="2" t="s">
        <v>14</v>
      </c>
      <c r="G1947" s="5">
        <v>28</v>
      </c>
      <c r="H1947" s="2" t="s">
        <v>15</v>
      </c>
      <c r="I1947" s="2" t="s">
        <v>34</v>
      </c>
      <c r="J1947" s="2" t="s">
        <v>49</v>
      </c>
      <c r="K1947" s="2" t="s">
        <v>18</v>
      </c>
    </row>
    <row r="1948" spans="1:11" x14ac:dyDescent="0.3">
      <c r="A1948" s="2" t="s">
        <v>2334</v>
      </c>
      <c r="B1948" s="2" t="s">
        <v>535</v>
      </c>
      <c r="C1948" s="3">
        <v>45932.566666666673</v>
      </c>
      <c r="D1948" s="2" t="s">
        <v>13</v>
      </c>
      <c r="E1948" s="4">
        <v>3314.87</v>
      </c>
      <c r="F1948" s="2" t="s">
        <v>14</v>
      </c>
      <c r="G1948" s="5">
        <v>28</v>
      </c>
      <c r="H1948" s="2" t="s">
        <v>15</v>
      </c>
      <c r="I1948" s="2" t="s">
        <v>34</v>
      </c>
      <c r="J1948" s="2" t="s">
        <v>49</v>
      </c>
      <c r="K1948" s="2" t="s">
        <v>18</v>
      </c>
    </row>
    <row r="1949" spans="1:11" x14ac:dyDescent="0.3">
      <c r="A1949" s="2" t="s">
        <v>2335</v>
      </c>
      <c r="B1949" s="2" t="s">
        <v>617</v>
      </c>
      <c r="C1949" s="3">
        <v>45845.803472222222</v>
      </c>
      <c r="D1949" s="2" t="s">
        <v>28</v>
      </c>
      <c r="E1949" s="4">
        <v>44433.13</v>
      </c>
      <c r="F1949" s="2" t="s">
        <v>14</v>
      </c>
      <c r="G1949" s="5">
        <v>22</v>
      </c>
      <c r="H1949" s="2" t="s">
        <v>15</v>
      </c>
      <c r="I1949" s="2" t="s">
        <v>34</v>
      </c>
      <c r="J1949" s="2" t="s">
        <v>44</v>
      </c>
      <c r="K1949" s="2" t="s">
        <v>22</v>
      </c>
    </row>
    <row r="1950" spans="1:11" x14ac:dyDescent="0.3">
      <c r="A1950" s="2" t="s">
        <v>2336</v>
      </c>
      <c r="B1950" s="2" t="s">
        <v>88</v>
      </c>
      <c r="C1950" s="3">
        <v>46006.533333333333</v>
      </c>
      <c r="D1950" s="2" t="s">
        <v>28</v>
      </c>
      <c r="E1950" s="4">
        <v>162610.51999999999</v>
      </c>
      <c r="F1950" s="2" t="s">
        <v>14</v>
      </c>
      <c r="G1950" s="5">
        <v>25</v>
      </c>
      <c r="H1950" s="2" t="s">
        <v>29</v>
      </c>
      <c r="I1950" s="2" t="s">
        <v>34</v>
      </c>
      <c r="J1950" s="2" t="s">
        <v>49</v>
      </c>
      <c r="K1950" s="2" t="s">
        <v>45</v>
      </c>
    </row>
    <row r="1951" spans="1:11" x14ac:dyDescent="0.3">
      <c r="A1951" s="2" t="s">
        <v>2337</v>
      </c>
      <c r="B1951" s="2" t="s">
        <v>415</v>
      </c>
      <c r="C1951" s="3">
        <v>45762.565972222219</v>
      </c>
      <c r="D1951" s="2" t="s">
        <v>28</v>
      </c>
      <c r="E1951" s="4">
        <v>17181.66</v>
      </c>
      <c r="F1951" s="2" t="s">
        <v>14</v>
      </c>
      <c r="G1951" s="5">
        <v>30</v>
      </c>
      <c r="H1951" s="2" t="s">
        <v>29</v>
      </c>
      <c r="I1951" s="2" t="s">
        <v>21</v>
      </c>
      <c r="J1951" s="2" t="s">
        <v>49</v>
      </c>
      <c r="K1951" s="2" t="s">
        <v>22</v>
      </c>
    </row>
    <row r="1952" spans="1:11" x14ac:dyDescent="0.3">
      <c r="A1952" s="2" t="s">
        <v>2338</v>
      </c>
      <c r="B1952" s="2" t="s">
        <v>362</v>
      </c>
      <c r="C1952" s="3">
        <v>45943.632638888892</v>
      </c>
      <c r="D1952" s="2" t="s">
        <v>28</v>
      </c>
      <c r="E1952" s="4">
        <v>18400.79</v>
      </c>
      <c r="F1952" s="2" t="s">
        <v>14</v>
      </c>
      <c r="G1952" s="5">
        <v>25</v>
      </c>
      <c r="H1952" s="2" t="s">
        <v>29</v>
      </c>
      <c r="I1952" s="2" t="s">
        <v>34</v>
      </c>
      <c r="J1952" s="2" t="s">
        <v>44</v>
      </c>
      <c r="K1952" s="2" t="s">
        <v>45</v>
      </c>
    </row>
    <row r="1953" spans="1:11" x14ac:dyDescent="0.3">
      <c r="A1953" s="2" t="s">
        <v>2339</v>
      </c>
      <c r="B1953" s="2" t="s">
        <v>423</v>
      </c>
      <c r="C1953" s="3">
        <v>45847.732638888891</v>
      </c>
      <c r="D1953" s="2" t="s">
        <v>28</v>
      </c>
      <c r="E1953" s="4">
        <v>44910.75</v>
      </c>
      <c r="F1953" s="2" t="s">
        <v>14</v>
      </c>
      <c r="G1953" s="5">
        <v>28</v>
      </c>
      <c r="H1953" s="2" t="s">
        <v>29</v>
      </c>
      <c r="I1953" s="2" t="s">
        <v>34</v>
      </c>
      <c r="J1953" s="2" t="s">
        <v>44</v>
      </c>
      <c r="K1953" s="2" t="s">
        <v>45</v>
      </c>
    </row>
    <row r="1954" spans="1:11" x14ac:dyDescent="0.3">
      <c r="A1954" s="2" t="s">
        <v>2340</v>
      </c>
      <c r="B1954" s="2" t="s">
        <v>1049</v>
      </c>
      <c r="C1954" s="3">
        <v>45905.34652777778</v>
      </c>
      <c r="D1954" s="2" t="s">
        <v>28</v>
      </c>
      <c r="E1954" s="4">
        <v>77515.08</v>
      </c>
      <c r="F1954" s="2" t="s">
        <v>14</v>
      </c>
      <c r="G1954" s="5">
        <v>40</v>
      </c>
      <c r="H1954" s="2" t="s">
        <v>15</v>
      </c>
      <c r="I1954" s="2" t="s">
        <v>34</v>
      </c>
      <c r="J1954" s="2" t="s">
        <v>52</v>
      </c>
      <c r="K1954" s="2" t="s">
        <v>35</v>
      </c>
    </row>
    <row r="1955" spans="1:11" x14ac:dyDescent="0.3">
      <c r="A1955" s="2" t="s">
        <v>2341</v>
      </c>
      <c r="B1955" s="2" t="s">
        <v>505</v>
      </c>
      <c r="C1955" s="3">
        <v>45953.492361111108</v>
      </c>
      <c r="D1955" s="2" t="s">
        <v>38</v>
      </c>
      <c r="E1955" s="4">
        <v>676.46</v>
      </c>
      <c r="F1955" s="2" t="s">
        <v>14</v>
      </c>
      <c r="G1955" s="5">
        <v>26</v>
      </c>
      <c r="H1955" s="2" t="s">
        <v>15</v>
      </c>
      <c r="I1955" s="2" t="s">
        <v>34</v>
      </c>
      <c r="J1955" s="2" t="s">
        <v>17</v>
      </c>
      <c r="K1955" s="2" t="s">
        <v>35</v>
      </c>
    </row>
    <row r="1956" spans="1:11" x14ac:dyDescent="0.3">
      <c r="A1956" s="2" t="s">
        <v>2342</v>
      </c>
      <c r="B1956" s="2" t="s">
        <v>564</v>
      </c>
      <c r="C1956" s="3">
        <v>46019.532638888893</v>
      </c>
      <c r="D1956" s="2" t="s">
        <v>28</v>
      </c>
      <c r="E1956" s="4">
        <v>1446.77</v>
      </c>
      <c r="F1956" s="2" t="s">
        <v>14</v>
      </c>
      <c r="G1956" s="5">
        <v>46</v>
      </c>
      <c r="H1956" s="2" t="s">
        <v>15</v>
      </c>
      <c r="I1956" s="2" t="s">
        <v>25</v>
      </c>
      <c r="J1956" s="2" t="s">
        <v>44</v>
      </c>
      <c r="K1956" s="2" t="s">
        <v>45</v>
      </c>
    </row>
    <row r="1957" spans="1:11" x14ac:dyDescent="0.3">
      <c r="A1957" s="2" t="s">
        <v>2343</v>
      </c>
      <c r="B1957" s="2" t="s">
        <v>806</v>
      </c>
      <c r="C1957" s="3">
        <v>45728.879861111112</v>
      </c>
      <c r="D1957" s="2" t="s">
        <v>13</v>
      </c>
      <c r="E1957" s="4">
        <v>601.1</v>
      </c>
      <c r="F1957" s="2" t="s">
        <v>14</v>
      </c>
      <c r="G1957" s="5">
        <v>35</v>
      </c>
      <c r="H1957" s="2" t="s">
        <v>29</v>
      </c>
      <c r="I1957" s="2" t="s">
        <v>21</v>
      </c>
      <c r="J1957" s="2" t="s">
        <v>52</v>
      </c>
      <c r="K1957" s="2" t="s">
        <v>45</v>
      </c>
    </row>
    <row r="1958" spans="1:11" x14ac:dyDescent="0.3">
      <c r="A1958" s="2" t="s">
        <v>2344</v>
      </c>
      <c r="B1958" s="2" t="s">
        <v>54</v>
      </c>
      <c r="C1958" s="3">
        <v>45775.618055555547</v>
      </c>
      <c r="D1958" s="2" t="s">
        <v>13</v>
      </c>
      <c r="E1958" s="4">
        <v>6128.24</v>
      </c>
      <c r="F1958" s="2" t="s">
        <v>14</v>
      </c>
      <c r="G1958" s="5">
        <v>60</v>
      </c>
      <c r="H1958" s="2" t="s">
        <v>29</v>
      </c>
      <c r="I1958" s="2" t="s">
        <v>34</v>
      </c>
      <c r="J1958" s="2" t="s">
        <v>49</v>
      </c>
      <c r="K1958" s="2" t="s">
        <v>22</v>
      </c>
    </row>
    <row r="1959" spans="1:11" x14ac:dyDescent="0.3">
      <c r="A1959" s="2" t="s">
        <v>2345</v>
      </c>
      <c r="B1959" s="2" t="s">
        <v>230</v>
      </c>
      <c r="C1959" s="3">
        <v>46016.212500000001</v>
      </c>
      <c r="D1959" s="2" t="s">
        <v>154</v>
      </c>
      <c r="E1959" s="4">
        <v>2000</v>
      </c>
      <c r="F1959" s="2" t="s">
        <v>14</v>
      </c>
      <c r="G1959" s="5">
        <v>35</v>
      </c>
      <c r="H1959" s="2" t="s">
        <v>15</v>
      </c>
      <c r="I1959" s="2" t="s">
        <v>34</v>
      </c>
      <c r="J1959" s="2" t="s">
        <v>17</v>
      </c>
      <c r="K1959" s="2" t="s">
        <v>18</v>
      </c>
    </row>
    <row r="1960" spans="1:11" x14ac:dyDescent="0.3">
      <c r="A1960" s="2" t="s">
        <v>2346</v>
      </c>
      <c r="B1960" s="2" t="s">
        <v>107</v>
      </c>
      <c r="C1960" s="3">
        <v>45767.684027777781</v>
      </c>
      <c r="D1960" s="2" t="s">
        <v>33</v>
      </c>
      <c r="E1960" s="4">
        <v>7143.46</v>
      </c>
      <c r="F1960" s="2" t="s">
        <v>14</v>
      </c>
      <c r="G1960" s="5">
        <v>43</v>
      </c>
      <c r="H1960" s="2" t="s">
        <v>29</v>
      </c>
      <c r="I1960" s="2" t="s">
        <v>21</v>
      </c>
      <c r="J1960" s="2" t="s">
        <v>49</v>
      </c>
      <c r="K1960" s="2" t="s">
        <v>45</v>
      </c>
    </row>
    <row r="1961" spans="1:11" x14ac:dyDescent="0.3">
      <c r="A1961" s="2" t="s">
        <v>2347</v>
      </c>
      <c r="B1961" s="2" t="s">
        <v>847</v>
      </c>
      <c r="C1961" s="3">
        <v>45831.73541666667</v>
      </c>
      <c r="D1961" s="2" t="s">
        <v>38</v>
      </c>
      <c r="E1961" s="4">
        <v>13047.97</v>
      </c>
      <c r="F1961" s="2" t="s">
        <v>14</v>
      </c>
      <c r="G1961" s="5">
        <v>39</v>
      </c>
      <c r="H1961" s="2" t="s">
        <v>15</v>
      </c>
      <c r="I1961" s="2" t="s">
        <v>60</v>
      </c>
      <c r="J1961" s="2" t="s">
        <v>17</v>
      </c>
      <c r="K1961" s="2" t="s">
        <v>22</v>
      </c>
    </row>
    <row r="1962" spans="1:11" x14ac:dyDescent="0.3">
      <c r="A1962" s="2" t="s">
        <v>2348</v>
      </c>
      <c r="B1962" s="2" t="s">
        <v>64</v>
      </c>
      <c r="C1962" s="3">
        <v>46014.90625</v>
      </c>
      <c r="D1962" s="2" t="s">
        <v>13</v>
      </c>
      <c r="E1962" s="4">
        <v>5621.17</v>
      </c>
      <c r="F1962" s="2" t="s">
        <v>14</v>
      </c>
      <c r="G1962" s="5">
        <v>51</v>
      </c>
      <c r="H1962" s="2" t="s">
        <v>29</v>
      </c>
      <c r="I1962" s="2" t="s">
        <v>25</v>
      </c>
      <c r="J1962" s="2" t="s">
        <v>44</v>
      </c>
      <c r="K1962" s="2" t="s">
        <v>18</v>
      </c>
    </row>
    <row r="1963" spans="1:11" x14ac:dyDescent="0.3">
      <c r="A1963" s="2" t="s">
        <v>2349</v>
      </c>
      <c r="B1963" s="2" t="s">
        <v>277</v>
      </c>
      <c r="C1963" s="3">
        <v>45684.224999999999</v>
      </c>
      <c r="D1963" s="2" t="s">
        <v>13</v>
      </c>
      <c r="E1963" s="4">
        <v>265.2</v>
      </c>
      <c r="F1963" s="2" t="s">
        <v>14</v>
      </c>
      <c r="G1963" s="5">
        <v>50</v>
      </c>
      <c r="H1963" s="2" t="s">
        <v>15</v>
      </c>
      <c r="I1963" s="2" t="s">
        <v>21</v>
      </c>
      <c r="J1963" s="2" t="s">
        <v>44</v>
      </c>
      <c r="K1963" s="2" t="s">
        <v>35</v>
      </c>
    </row>
    <row r="1964" spans="1:11" x14ac:dyDescent="0.3">
      <c r="A1964" s="2" t="s">
        <v>2350</v>
      </c>
      <c r="B1964" s="2" t="s">
        <v>454</v>
      </c>
      <c r="C1964" s="3">
        <v>45983.035416666673</v>
      </c>
      <c r="D1964" s="2" t="s">
        <v>154</v>
      </c>
      <c r="E1964" s="4">
        <v>10000</v>
      </c>
      <c r="F1964" s="2" t="s">
        <v>122</v>
      </c>
      <c r="G1964" s="5">
        <v>35</v>
      </c>
      <c r="H1964" s="2" t="s">
        <v>15</v>
      </c>
      <c r="I1964" s="2" t="s">
        <v>21</v>
      </c>
      <c r="J1964" s="2" t="s">
        <v>17</v>
      </c>
      <c r="K1964" s="2" t="s">
        <v>35</v>
      </c>
    </row>
    <row r="1965" spans="1:11" x14ac:dyDescent="0.3">
      <c r="A1965" s="2" t="s">
        <v>2351</v>
      </c>
      <c r="B1965" s="2" t="s">
        <v>917</v>
      </c>
      <c r="C1965" s="3">
        <v>45704.1875</v>
      </c>
      <c r="D1965" s="2" t="s">
        <v>33</v>
      </c>
      <c r="E1965" s="4">
        <v>7400.08</v>
      </c>
      <c r="F1965" s="2" t="s">
        <v>14</v>
      </c>
      <c r="G1965" s="5">
        <v>38</v>
      </c>
      <c r="H1965" s="2" t="s">
        <v>29</v>
      </c>
      <c r="I1965" s="2" t="s">
        <v>95</v>
      </c>
      <c r="J1965" s="2" t="s">
        <v>49</v>
      </c>
      <c r="K1965" s="2" t="s">
        <v>18</v>
      </c>
    </row>
    <row r="1966" spans="1:11" x14ac:dyDescent="0.3">
      <c r="A1966" s="2" t="s">
        <v>2352</v>
      </c>
      <c r="B1966" s="2" t="s">
        <v>84</v>
      </c>
      <c r="C1966" s="3">
        <v>45965.545138888891</v>
      </c>
      <c r="D1966" s="2" t="s">
        <v>33</v>
      </c>
      <c r="E1966" s="4">
        <v>6208.92</v>
      </c>
      <c r="F1966" s="2" t="s">
        <v>14</v>
      </c>
      <c r="G1966" s="5">
        <v>33</v>
      </c>
      <c r="H1966" s="2" t="s">
        <v>15</v>
      </c>
      <c r="I1966" s="2" t="s">
        <v>34</v>
      </c>
      <c r="J1966" s="2" t="s">
        <v>17</v>
      </c>
      <c r="K1966" s="2" t="s">
        <v>22</v>
      </c>
    </row>
    <row r="1967" spans="1:11" x14ac:dyDescent="0.3">
      <c r="A1967" s="2" t="s">
        <v>2353</v>
      </c>
      <c r="B1967" s="2" t="s">
        <v>690</v>
      </c>
      <c r="C1967" s="3">
        <v>45690.343055555553</v>
      </c>
      <c r="D1967" s="2" t="s">
        <v>13</v>
      </c>
      <c r="E1967" s="4">
        <v>1374.19</v>
      </c>
      <c r="F1967" s="2" t="s">
        <v>14</v>
      </c>
      <c r="G1967" s="5">
        <v>33</v>
      </c>
      <c r="H1967" s="2" t="s">
        <v>15</v>
      </c>
      <c r="I1967" s="2" t="s">
        <v>43</v>
      </c>
      <c r="J1967" s="2" t="s">
        <v>17</v>
      </c>
      <c r="K1967" s="2" t="s">
        <v>18</v>
      </c>
    </row>
    <row r="1968" spans="1:11" x14ac:dyDescent="0.3">
      <c r="A1968" s="2" t="s">
        <v>2354</v>
      </c>
      <c r="B1968" s="2" t="s">
        <v>84</v>
      </c>
      <c r="C1968" s="3">
        <v>45847.109722222223</v>
      </c>
      <c r="D1968" s="2" t="s">
        <v>38</v>
      </c>
      <c r="E1968" s="4">
        <v>5896.29</v>
      </c>
      <c r="F1968" s="2" t="s">
        <v>14</v>
      </c>
      <c r="G1968" s="5">
        <v>33</v>
      </c>
      <c r="H1968" s="2" t="s">
        <v>15</v>
      </c>
      <c r="I1968" s="2" t="s">
        <v>34</v>
      </c>
      <c r="J1968" s="2" t="s">
        <v>17</v>
      </c>
      <c r="K1968" s="2" t="s">
        <v>18</v>
      </c>
    </row>
    <row r="1969" spans="1:11" x14ac:dyDescent="0.3">
      <c r="A1969" s="2" t="s">
        <v>2355</v>
      </c>
      <c r="B1969" s="2" t="s">
        <v>1430</v>
      </c>
      <c r="C1969" s="3">
        <v>45677.974999999999</v>
      </c>
      <c r="D1969" s="2" t="s">
        <v>13</v>
      </c>
      <c r="E1969" s="4">
        <v>1017.17</v>
      </c>
      <c r="F1969" s="2" t="s">
        <v>14</v>
      </c>
      <c r="G1969" s="5">
        <v>32</v>
      </c>
      <c r="H1969" s="2" t="s">
        <v>29</v>
      </c>
      <c r="I1969" s="2" t="s">
        <v>25</v>
      </c>
      <c r="J1969" s="2" t="s">
        <v>49</v>
      </c>
      <c r="K1969" s="2" t="s">
        <v>35</v>
      </c>
    </row>
    <row r="1970" spans="1:11" x14ac:dyDescent="0.3">
      <c r="A1970" s="2" t="s">
        <v>2356</v>
      </c>
      <c r="B1970" s="2" t="s">
        <v>642</v>
      </c>
      <c r="C1970" s="3">
        <v>45863.820138888892</v>
      </c>
      <c r="D1970" s="2" t="s">
        <v>28</v>
      </c>
      <c r="E1970" s="4">
        <v>88383.96</v>
      </c>
      <c r="F1970" s="2" t="s">
        <v>14</v>
      </c>
      <c r="G1970" s="5">
        <v>23</v>
      </c>
      <c r="H1970" s="2" t="s">
        <v>29</v>
      </c>
      <c r="I1970" s="2" t="s">
        <v>16</v>
      </c>
      <c r="J1970" s="2" t="s">
        <v>44</v>
      </c>
      <c r="K1970" s="2" t="s">
        <v>18</v>
      </c>
    </row>
    <row r="1971" spans="1:11" x14ac:dyDescent="0.3">
      <c r="A1971" s="2" t="s">
        <v>2357</v>
      </c>
      <c r="B1971" s="2" t="s">
        <v>252</v>
      </c>
      <c r="C1971" s="3">
        <v>45924.40625</v>
      </c>
      <c r="D1971" s="2" t="s">
        <v>28</v>
      </c>
      <c r="E1971" s="4">
        <v>3394.13</v>
      </c>
      <c r="F1971" s="2" t="s">
        <v>14</v>
      </c>
      <c r="G1971" s="5">
        <v>25</v>
      </c>
      <c r="H1971" s="2" t="s">
        <v>29</v>
      </c>
      <c r="I1971" s="2" t="s">
        <v>60</v>
      </c>
      <c r="J1971" s="2" t="s">
        <v>44</v>
      </c>
      <c r="K1971" s="2" t="s">
        <v>18</v>
      </c>
    </row>
    <row r="1972" spans="1:11" x14ac:dyDescent="0.3">
      <c r="A1972" s="2" t="s">
        <v>2358</v>
      </c>
      <c r="B1972" s="2" t="s">
        <v>69</v>
      </c>
      <c r="C1972" s="3">
        <v>45963.075694444437</v>
      </c>
      <c r="D1972" s="2" t="s">
        <v>28</v>
      </c>
      <c r="E1972" s="4">
        <v>7956.32</v>
      </c>
      <c r="F1972" s="2" t="s">
        <v>14</v>
      </c>
      <c r="G1972" s="5">
        <v>42</v>
      </c>
      <c r="H1972" s="2" t="s">
        <v>15</v>
      </c>
      <c r="I1972" s="2" t="s">
        <v>34</v>
      </c>
      <c r="J1972" s="2" t="s">
        <v>44</v>
      </c>
      <c r="K1972" s="2" t="s">
        <v>22</v>
      </c>
    </row>
    <row r="1973" spans="1:11" x14ac:dyDescent="0.3">
      <c r="A1973" s="2" t="s">
        <v>2359</v>
      </c>
      <c r="B1973" s="2" t="s">
        <v>1049</v>
      </c>
      <c r="C1973" s="3">
        <v>45747.854861111111</v>
      </c>
      <c r="D1973" s="2" t="s">
        <v>28</v>
      </c>
      <c r="E1973" s="4">
        <v>29820.63</v>
      </c>
      <c r="F1973" s="2" t="s">
        <v>14</v>
      </c>
      <c r="G1973" s="5">
        <v>40</v>
      </c>
      <c r="H1973" s="2" t="s">
        <v>15</v>
      </c>
      <c r="I1973" s="2" t="s">
        <v>34</v>
      </c>
      <c r="J1973" s="2" t="s">
        <v>52</v>
      </c>
      <c r="K1973" s="2" t="s">
        <v>45</v>
      </c>
    </row>
    <row r="1974" spans="1:11" x14ac:dyDescent="0.3">
      <c r="A1974" s="2" t="s">
        <v>2360</v>
      </c>
      <c r="B1974" s="2" t="s">
        <v>366</v>
      </c>
      <c r="C1974" s="3">
        <v>45882.008333333331</v>
      </c>
      <c r="D1974" s="2" t="s">
        <v>38</v>
      </c>
      <c r="E1974" s="4">
        <v>4681.1499999999996</v>
      </c>
      <c r="F1974" s="2" t="s">
        <v>14</v>
      </c>
      <c r="G1974" s="5">
        <v>28</v>
      </c>
      <c r="H1974" s="2" t="s">
        <v>15</v>
      </c>
      <c r="I1974" s="2" t="s">
        <v>34</v>
      </c>
      <c r="J1974" s="2" t="s">
        <v>49</v>
      </c>
      <c r="K1974" s="2" t="s">
        <v>45</v>
      </c>
    </row>
    <row r="1975" spans="1:11" x14ac:dyDescent="0.3">
      <c r="A1975" s="2" t="s">
        <v>2361</v>
      </c>
      <c r="B1975" s="2" t="s">
        <v>529</v>
      </c>
      <c r="C1975" s="3">
        <v>45994.679166666669</v>
      </c>
      <c r="D1975" s="2" t="s">
        <v>38</v>
      </c>
      <c r="E1975" s="4">
        <v>2475.3000000000002</v>
      </c>
      <c r="F1975" s="2" t="s">
        <v>14</v>
      </c>
      <c r="G1975" s="5">
        <v>28</v>
      </c>
      <c r="H1975" s="2" t="s">
        <v>29</v>
      </c>
      <c r="I1975" s="2" t="s">
        <v>34</v>
      </c>
      <c r="J1975" s="2" t="s">
        <v>17</v>
      </c>
      <c r="K1975" s="2" t="s">
        <v>18</v>
      </c>
    </row>
    <row r="1976" spans="1:11" x14ac:dyDescent="0.3">
      <c r="A1976" s="2" t="s">
        <v>2362</v>
      </c>
      <c r="B1976" s="2" t="s">
        <v>215</v>
      </c>
      <c r="C1976" s="3">
        <v>45757.076388888891</v>
      </c>
      <c r="D1976" s="2" t="s">
        <v>38</v>
      </c>
      <c r="E1976" s="4">
        <v>9327.43</v>
      </c>
      <c r="F1976" s="2" t="s">
        <v>14</v>
      </c>
      <c r="G1976" s="5">
        <v>28</v>
      </c>
      <c r="H1976" s="2" t="s">
        <v>15</v>
      </c>
      <c r="I1976" s="2" t="s">
        <v>30</v>
      </c>
      <c r="J1976" s="2" t="s">
        <v>17</v>
      </c>
      <c r="K1976" s="2" t="s">
        <v>22</v>
      </c>
    </row>
    <row r="1977" spans="1:11" x14ac:dyDescent="0.3">
      <c r="A1977" s="2" t="s">
        <v>2363</v>
      </c>
      <c r="B1977" s="2" t="s">
        <v>238</v>
      </c>
      <c r="C1977" s="3">
        <v>45964.689583333333</v>
      </c>
      <c r="D1977" s="2" t="s">
        <v>28</v>
      </c>
      <c r="E1977" s="4">
        <v>19260.43</v>
      </c>
      <c r="F1977" s="2" t="s">
        <v>57</v>
      </c>
      <c r="G1977" s="5">
        <v>25</v>
      </c>
      <c r="H1977" s="2" t="s">
        <v>15</v>
      </c>
      <c r="I1977" s="2" t="s">
        <v>34</v>
      </c>
      <c r="J1977" s="2" t="s">
        <v>52</v>
      </c>
      <c r="K1977" s="2" t="s">
        <v>45</v>
      </c>
    </row>
    <row r="1978" spans="1:11" x14ac:dyDescent="0.3">
      <c r="A1978" s="2" t="s">
        <v>2364</v>
      </c>
      <c r="B1978" s="2" t="s">
        <v>201</v>
      </c>
      <c r="C1978" s="3">
        <v>46015.318749999999</v>
      </c>
      <c r="D1978" s="2" t="s">
        <v>28</v>
      </c>
      <c r="E1978" s="4">
        <v>1119.3</v>
      </c>
      <c r="F1978" s="2" t="s">
        <v>122</v>
      </c>
      <c r="G1978" s="5">
        <v>38</v>
      </c>
      <c r="H1978" s="2" t="s">
        <v>29</v>
      </c>
      <c r="I1978" s="2" t="s">
        <v>34</v>
      </c>
      <c r="J1978" s="2" t="s">
        <v>44</v>
      </c>
      <c r="K1978" s="2" t="s">
        <v>35</v>
      </c>
    </row>
    <row r="1979" spans="1:11" x14ac:dyDescent="0.3">
      <c r="A1979" s="2" t="s">
        <v>2365</v>
      </c>
      <c r="B1979" s="2" t="s">
        <v>511</v>
      </c>
      <c r="C1979" s="3">
        <v>45744.876388888893</v>
      </c>
      <c r="D1979" s="2" t="s">
        <v>38</v>
      </c>
      <c r="E1979" s="4">
        <v>20027.900000000001</v>
      </c>
      <c r="F1979" s="2" t="s">
        <v>14</v>
      </c>
      <c r="G1979" s="5">
        <v>23</v>
      </c>
      <c r="H1979" s="2" t="s">
        <v>29</v>
      </c>
      <c r="I1979" s="2" t="s">
        <v>16</v>
      </c>
      <c r="J1979" s="2" t="s">
        <v>49</v>
      </c>
      <c r="K1979" s="2" t="s">
        <v>18</v>
      </c>
    </row>
    <row r="1980" spans="1:11" x14ac:dyDescent="0.3">
      <c r="A1980" s="2" t="s">
        <v>2366</v>
      </c>
      <c r="B1980" s="2" t="s">
        <v>307</v>
      </c>
      <c r="C1980" s="3">
        <v>45842.320138888892</v>
      </c>
      <c r="D1980" s="2" t="s">
        <v>13</v>
      </c>
      <c r="E1980" s="4">
        <v>496.51</v>
      </c>
      <c r="F1980" s="2" t="s">
        <v>14</v>
      </c>
      <c r="G1980" s="5">
        <v>53</v>
      </c>
      <c r="H1980" s="2" t="s">
        <v>29</v>
      </c>
      <c r="I1980" s="2" t="s">
        <v>34</v>
      </c>
      <c r="J1980" s="2" t="s">
        <v>52</v>
      </c>
      <c r="K1980" s="2" t="s">
        <v>45</v>
      </c>
    </row>
    <row r="1981" spans="1:11" x14ac:dyDescent="0.3">
      <c r="A1981" s="2" t="s">
        <v>2367</v>
      </c>
      <c r="B1981" s="2" t="s">
        <v>1777</v>
      </c>
      <c r="C1981" s="3">
        <v>45658.211805555547</v>
      </c>
      <c r="D1981" s="2" t="s">
        <v>38</v>
      </c>
      <c r="E1981" s="4">
        <v>12526.21</v>
      </c>
      <c r="F1981" s="2" t="s">
        <v>14</v>
      </c>
      <c r="G1981" s="5">
        <v>46</v>
      </c>
      <c r="H1981" s="2" t="s">
        <v>15</v>
      </c>
      <c r="I1981" s="2" t="s">
        <v>95</v>
      </c>
      <c r="J1981" s="2" t="s">
        <v>52</v>
      </c>
      <c r="K1981" s="2" t="s">
        <v>45</v>
      </c>
    </row>
    <row r="1982" spans="1:11" x14ac:dyDescent="0.3">
      <c r="A1982" s="2" t="s">
        <v>2368</v>
      </c>
      <c r="B1982" s="2" t="s">
        <v>969</v>
      </c>
      <c r="C1982" s="3">
        <v>45799.515277777777</v>
      </c>
      <c r="D1982" s="2" t="s">
        <v>28</v>
      </c>
      <c r="E1982" s="4">
        <v>8094.09</v>
      </c>
      <c r="F1982" s="2" t="s">
        <v>14</v>
      </c>
      <c r="G1982" s="5">
        <v>60</v>
      </c>
      <c r="H1982" s="2" t="s">
        <v>15</v>
      </c>
      <c r="I1982" s="2" t="s">
        <v>21</v>
      </c>
      <c r="J1982" s="2" t="s">
        <v>17</v>
      </c>
      <c r="K1982" s="2" t="s">
        <v>45</v>
      </c>
    </row>
    <row r="1983" spans="1:11" x14ac:dyDescent="0.3">
      <c r="A1983" s="2" t="s">
        <v>2369</v>
      </c>
      <c r="B1983" s="2" t="s">
        <v>560</v>
      </c>
      <c r="C1983" s="3">
        <v>46000.517361111109</v>
      </c>
      <c r="D1983" s="2" t="s">
        <v>33</v>
      </c>
      <c r="E1983" s="4">
        <v>1988.44</v>
      </c>
      <c r="F1983" s="2" t="s">
        <v>14</v>
      </c>
      <c r="G1983" s="5">
        <v>23</v>
      </c>
      <c r="H1983" s="2" t="s">
        <v>15</v>
      </c>
      <c r="I1983" s="2" t="s">
        <v>25</v>
      </c>
      <c r="J1983" s="2" t="s">
        <v>17</v>
      </c>
      <c r="K1983" s="2" t="s">
        <v>18</v>
      </c>
    </row>
    <row r="1984" spans="1:11" x14ac:dyDescent="0.3">
      <c r="A1984" s="2" t="s">
        <v>2370</v>
      </c>
      <c r="B1984" s="2" t="s">
        <v>1760</v>
      </c>
      <c r="C1984" s="3">
        <v>45958.272916666669</v>
      </c>
      <c r="D1984" s="2" t="s">
        <v>13</v>
      </c>
      <c r="E1984" s="4">
        <v>959.78</v>
      </c>
      <c r="F1984" s="2" t="s">
        <v>14</v>
      </c>
      <c r="G1984" s="5">
        <v>30</v>
      </c>
      <c r="H1984" s="2" t="s">
        <v>15</v>
      </c>
      <c r="I1984" s="2" t="s">
        <v>21</v>
      </c>
      <c r="J1984" s="2" t="s">
        <v>49</v>
      </c>
      <c r="K1984" s="2" t="s">
        <v>18</v>
      </c>
    </row>
    <row r="1985" spans="1:11" x14ac:dyDescent="0.3">
      <c r="A1985" s="2" t="s">
        <v>2371</v>
      </c>
      <c r="B1985" s="2" t="s">
        <v>1304</v>
      </c>
      <c r="C1985" s="3">
        <v>45665.989583333343</v>
      </c>
      <c r="D1985" s="2" t="s">
        <v>13</v>
      </c>
      <c r="E1985" s="4">
        <v>973.87</v>
      </c>
      <c r="F1985" s="2" t="s">
        <v>14</v>
      </c>
      <c r="G1985" s="5">
        <v>42</v>
      </c>
      <c r="H1985" s="2" t="s">
        <v>15</v>
      </c>
      <c r="I1985" s="2" t="s">
        <v>34</v>
      </c>
      <c r="J1985" s="2" t="s">
        <v>52</v>
      </c>
      <c r="K1985" s="2" t="s">
        <v>45</v>
      </c>
    </row>
    <row r="1986" spans="1:11" x14ac:dyDescent="0.3">
      <c r="A1986" s="2" t="s">
        <v>2372</v>
      </c>
      <c r="B1986" s="2" t="s">
        <v>543</v>
      </c>
      <c r="C1986" s="3">
        <v>45693.107638888891</v>
      </c>
      <c r="D1986" s="2" t="s">
        <v>13</v>
      </c>
      <c r="E1986" s="4">
        <v>2658.34</v>
      </c>
      <c r="F1986" s="2" t="s">
        <v>14</v>
      </c>
      <c r="G1986" s="5">
        <v>41</v>
      </c>
      <c r="H1986" s="2" t="s">
        <v>15</v>
      </c>
      <c r="I1986" s="2" t="s">
        <v>34</v>
      </c>
      <c r="J1986" s="2" t="s">
        <v>44</v>
      </c>
      <c r="K1986" s="2" t="s">
        <v>18</v>
      </c>
    </row>
    <row r="1987" spans="1:11" x14ac:dyDescent="0.3">
      <c r="A1987" s="2" t="s">
        <v>2373</v>
      </c>
      <c r="B1987" s="2" t="s">
        <v>1403</v>
      </c>
      <c r="C1987" s="3">
        <v>45803.995138888888</v>
      </c>
      <c r="D1987" s="2" t="s">
        <v>28</v>
      </c>
      <c r="E1987" s="4">
        <v>7172.33</v>
      </c>
      <c r="F1987" s="2" t="s">
        <v>57</v>
      </c>
      <c r="G1987" s="5">
        <v>37</v>
      </c>
      <c r="H1987" s="2" t="s">
        <v>15</v>
      </c>
      <c r="I1987" s="2" t="s">
        <v>30</v>
      </c>
      <c r="J1987" s="2" t="s">
        <v>49</v>
      </c>
      <c r="K1987" s="2" t="s">
        <v>45</v>
      </c>
    </row>
    <row r="1988" spans="1:11" x14ac:dyDescent="0.3">
      <c r="A1988" s="2" t="s">
        <v>2374</v>
      </c>
      <c r="B1988" s="2" t="s">
        <v>223</v>
      </c>
      <c r="C1988" s="3">
        <v>45944.765277777777</v>
      </c>
      <c r="D1988" s="2" t="s">
        <v>33</v>
      </c>
      <c r="E1988" s="4">
        <v>4342.08</v>
      </c>
      <c r="F1988" s="2" t="s">
        <v>14</v>
      </c>
      <c r="G1988" s="5">
        <v>40</v>
      </c>
      <c r="H1988" s="2" t="s">
        <v>15</v>
      </c>
      <c r="I1988" s="2" t="s">
        <v>34</v>
      </c>
      <c r="J1988" s="2" t="s">
        <v>49</v>
      </c>
      <c r="K1988" s="2" t="s">
        <v>35</v>
      </c>
    </row>
    <row r="1989" spans="1:11" x14ac:dyDescent="0.3">
      <c r="A1989" s="2" t="s">
        <v>2375</v>
      </c>
      <c r="B1989" s="2" t="s">
        <v>299</v>
      </c>
      <c r="C1989" s="3">
        <v>45835.343055555553</v>
      </c>
      <c r="D1989" s="2" t="s">
        <v>33</v>
      </c>
      <c r="E1989" s="4">
        <v>41297.29</v>
      </c>
      <c r="F1989" s="2" t="s">
        <v>14</v>
      </c>
      <c r="G1989" s="5">
        <v>27</v>
      </c>
      <c r="H1989" s="2" t="s">
        <v>15</v>
      </c>
      <c r="I1989" s="2" t="s">
        <v>34</v>
      </c>
      <c r="J1989" s="2" t="s">
        <v>49</v>
      </c>
      <c r="K1989" s="2" t="s">
        <v>45</v>
      </c>
    </row>
    <row r="1990" spans="1:11" x14ac:dyDescent="0.3">
      <c r="A1990" s="2" t="s">
        <v>2376</v>
      </c>
      <c r="B1990" s="2" t="s">
        <v>42</v>
      </c>
      <c r="C1990" s="3">
        <v>45968.270138888889</v>
      </c>
      <c r="D1990" s="2" t="s">
        <v>13</v>
      </c>
      <c r="E1990" s="4">
        <v>1945.95</v>
      </c>
      <c r="F1990" s="2" t="s">
        <v>14</v>
      </c>
      <c r="G1990" s="5">
        <v>35</v>
      </c>
      <c r="H1990" s="2" t="s">
        <v>15</v>
      </c>
      <c r="I1990" s="2" t="s">
        <v>43</v>
      </c>
      <c r="J1990" s="2" t="s">
        <v>44</v>
      </c>
      <c r="K1990" s="2" t="s">
        <v>18</v>
      </c>
    </row>
    <row r="1991" spans="1:11" x14ac:dyDescent="0.3">
      <c r="A1991" s="2" t="s">
        <v>2377</v>
      </c>
      <c r="B1991" s="2" t="s">
        <v>148</v>
      </c>
      <c r="C1991" s="3">
        <v>45864.75</v>
      </c>
      <c r="D1991" s="2" t="s">
        <v>13</v>
      </c>
      <c r="E1991" s="4">
        <v>643.87</v>
      </c>
      <c r="F1991" s="2" t="s">
        <v>14</v>
      </c>
      <c r="G1991" s="5">
        <v>56</v>
      </c>
      <c r="H1991" s="2" t="s">
        <v>29</v>
      </c>
      <c r="I1991" s="2" t="s">
        <v>43</v>
      </c>
      <c r="J1991" s="2" t="s">
        <v>17</v>
      </c>
      <c r="K1991" s="2" t="s">
        <v>18</v>
      </c>
    </row>
    <row r="1992" spans="1:11" x14ac:dyDescent="0.3">
      <c r="A1992" s="2" t="s">
        <v>2378</v>
      </c>
      <c r="B1992" s="2" t="s">
        <v>272</v>
      </c>
      <c r="C1992" s="3">
        <v>45791.226388888892</v>
      </c>
      <c r="D1992" s="2" t="s">
        <v>38</v>
      </c>
      <c r="E1992" s="4">
        <v>1129.9100000000001</v>
      </c>
      <c r="F1992" s="2" t="s">
        <v>14</v>
      </c>
      <c r="G1992" s="5">
        <v>42</v>
      </c>
      <c r="H1992" s="2" t="s">
        <v>29</v>
      </c>
      <c r="I1992" s="2" t="s">
        <v>60</v>
      </c>
      <c r="J1992" s="2" t="s">
        <v>17</v>
      </c>
      <c r="K1992" s="2" t="s">
        <v>18</v>
      </c>
    </row>
    <row r="1993" spans="1:11" x14ac:dyDescent="0.3">
      <c r="A1993" s="2" t="s">
        <v>2379</v>
      </c>
      <c r="B1993" s="2" t="s">
        <v>415</v>
      </c>
      <c r="C1993" s="3">
        <v>45917.149305555547</v>
      </c>
      <c r="D1993" s="2" t="s">
        <v>33</v>
      </c>
      <c r="E1993" s="4">
        <v>12074.39</v>
      </c>
      <c r="F1993" s="2" t="s">
        <v>14</v>
      </c>
      <c r="G1993" s="5">
        <v>30</v>
      </c>
      <c r="H1993" s="2" t="s">
        <v>29</v>
      </c>
      <c r="I1993" s="2" t="s">
        <v>21</v>
      </c>
      <c r="J1993" s="2" t="s">
        <v>49</v>
      </c>
      <c r="K1993" s="2" t="s">
        <v>18</v>
      </c>
    </row>
    <row r="1994" spans="1:11" x14ac:dyDescent="0.3">
      <c r="A1994" s="2" t="s">
        <v>2380</v>
      </c>
      <c r="B1994" s="2" t="s">
        <v>82</v>
      </c>
      <c r="C1994" s="3">
        <v>45695.679166666669</v>
      </c>
      <c r="D1994" s="2" t="s">
        <v>33</v>
      </c>
      <c r="E1994" s="4">
        <v>14148.95</v>
      </c>
      <c r="F1994" s="2" t="s">
        <v>14</v>
      </c>
      <c r="G1994" s="5">
        <v>20</v>
      </c>
      <c r="H1994" s="2" t="s">
        <v>29</v>
      </c>
      <c r="I1994" s="2" t="s">
        <v>21</v>
      </c>
      <c r="J1994" s="2" t="s">
        <v>17</v>
      </c>
      <c r="K1994" s="2" t="s">
        <v>35</v>
      </c>
    </row>
    <row r="1995" spans="1:11" x14ac:dyDescent="0.3">
      <c r="A1995" s="2" t="s">
        <v>2381</v>
      </c>
      <c r="B1995" s="2" t="s">
        <v>642</v>
      </c>
      <c r="C1995" s="3">
        <v>45832.160416666673</v>
      </c>
      <c r="D1995" s="2" t="s">
        <v>28</v>
      </c>
      <c r="E1995" s="4">
        <v>27569.98</v>
      </c>
      <c r="F1995" s="2" t="s">
        <v>14</v>
      </c>
      <c r="G1995" s="5">
        <v>23</v>
      </c>
      <c r="H1995" s="2" t="s">
        <v>29</v>
      </c>
      <c r="I1995" s="2" t="s">
        <v>16</v>
      </c>
      <c r="J1995" s="2" t="s">
        <v>44</v>
      </c>
      <c r="K1995" s="2" t="s">
        <v>45</v>
      </c>
    </row>
    <row r="1996" spans="1:11" x14ac:dyDescent="0.3">
      <c r="A1996" s="2" t="s">
        <v>2382</v>
      </c>
      <c r="B1996" s="2" t="s">
        <v>338</v>
      </c>
      <c r="C1996" s="3">
        <v>45920.37222222222</v>
      </c>
      <c r="D1996" s="2" t="s">
        <v>28</v>
      </c>
      <c r="E1996" s="4">
        <v>28153.37</v>
      </c>
      <c r="F1996" s="2" t="s">
        <v>14</v>
      </c>
      <c r="G1996" s="5">
        <v>31</v>
      </c>
      <c r="H1996" s="2" t="s">
        <v>15</v>
      </c>
      <c r="I1996" s="2" t="s">
        <v>30</v>
      </c>
      <c r="J1996" s="2" t="s">
        <v>49</v>
      </c>
      <c r="K1996" s="2" t="s">
        <v>18</v>
      </c>
    </row>
    <row r="1997" spans="1:11" x14ac:dyDescent="0.3">
      <c r="A1997" s="2" t="s">
        <v>2383</v>
      </c>
      <c r="B1997" s="2" t="s">
        <v>27</v>
      </c>
      <c r="C1997" s="3">
        <v>45933.761111111111</v>
      </c>
      <c r="D1997" s="2" t="s">
        <v>13</v>
      </c>
      <c r="E1997" s="4">
        <v>385.54</v>
      </c>
      <c r="F1997" s="2" t="s">
        <v>14</v>
      </c>
      <c r="G1997" s="5">
        <v>35</v>
      </c>
      <c r="H1997" s="2" t="s">
        <v>29</v>
      </c>
      <c r="I1997" s="2" t="s">
        <v>30</v>
      </c>
      <c r="J1997" s="2" t="s">
        <v>17</v>
      </c>
      <c r="K1997" s="2" t="s">
        <v>18</v>
      </c>
    </row>
    <row r="1998" spans="1:11" x14ac:dyDescent="0.3">
      <c r="A1998" s="2" t="s">
        <v>2384</v>
      </c>
      <c r="B1998" s="2" t="s">
        <v>551</v>
      </c>
      <c r="C1998" s="3">
        <v>46013.599999999999</v>
      </c>
      <c r="D1998" s="2" t="s">
        <v>13</v>
      </c>
      <c r="E1998" s="4">
        <v>2436.1999999999998</v>
      </c>
      <c r="F1998" s="2" t="s">
        <v>14</v>
      </c>
      <c r="G1998" s="5">
        <v>32</v>
      </c>
      <c r="H1998" s="2" t="s">
        <v>15</v>
      </c>
      <c r="I1998" s="2" t="s">
        <v>34</v>
      </c>
      <c r="J1998" s="2" t="s">
        <v>44</v>
      </c>
      <c r="K1998" s="2" t="s">
        <v>18</v>
      </c>
    </row>
    <row r="1999" spans="1:11" x14ac:dyDescent="0.3">
      <c r="A1999" s="2" t="s">
        <v>2385</v>
      </c>
      <c r="B1999" s="2" t="s">
        <v>461</v>
      </c>
      <c r="C1999" s="3">
        <v>45946.65902777778</v>
      </c>
      <c r="D1999" s="2" t="s">
        <v>13</v>
      </c>
      <c r="E1999" s="4">
        <v>319.14</v>
      </c>
      <c r="F1999" s="2" t="s">
        <v>14</v>
      </c>
      <c r="G1999" s="5">
        <v>39</v>
      </c>
      <c r="H1999" s="2" t="s">
        <v>29</v>
      </c>
      <c r="I1999" s="2" t="s">
        <v>60</v>
      </c>
      <c r="J1999" s="2" t="s">
        <v>52</v>
      </c>
      <c r="K1999" s="2" t="s">
        <v>18</v>
      </c>
    </row>
    <row r="2000" spans="1:11" x14ac:dyDescent="0.3">
      <c r="A2000" s="2" t="s">
        <v>2386</v>
      </c>
      <c r="B2000" s="2" t="s">
        <v>67</v>
      </c>
      <c r="C2000" s="3">
        <v>45782.450694444437</v>
      </c>
      <c r="D2000" s="2" t="s">
        <v>28</v>
      </c>
      <c r="E2000" s="4">
        <v>16787.84</v>
      </c>
      <c r="F2000" s="2" t="s">
        <v>14</v>
      </c>
      <c r="G2000" s="5">
        <v>29</v>
      </c>
      <c r="H2000" s="2" t="s">
        <v>15</v>
      </c>
      <c r="I2000" s="2" t="s">
        <v>34</v>
      </c>
      <c r="J2000" s="2" t="s">
        <v>44</v>
      </c>
      <c r="K2000" s="2" t="s">
        <v>35</v>
      </c>
    </row>
    <row r="2001" spans="1:11" x14ac:dyDescent="0.3">
      <c r="A2001" s="2" t="s">
        <v>2387</v>
      </c>
      <c r="B2001" s="2" t="s">
        <v>332</v>
      </c>
      <c r="C2001" s="3">
        <v>45892.895138888889</v>
      </c>
      <c r="D2001" s="2" t="s">
        <v>13</v>
      </c>
      <c r="E2001" s="4">
        <v>3461.11</v>
      </c>
      <c r="F2001" s="2" t="s">
        <v>14</v>
      </c>
      <c r="G2001" s="5">
        <v>36</v>
      </c>
      <c r="H2001" s="2" t="s">
        <v>29</v>
      </c>
      <c r="I2001" s="2" t="s">
        <v>25</v>
      </c>
      <c r="J2001" s="2" t="s">
        <v>44</v>
      </c>
      <c r="K2001" s="2" t="s">
        <v>18</v>
      </c>
    </row>
    <row r="2002" spans="1:11" x14ac:dyDescent="0.3">
      <c r="A2002" s="2" t="s">
        <v>2388</v>
      </c>
      <c r="B2002" s="2" t="s">
        <v>494</v>
      </c>
      <c r="C2002" s="3">
        <v>45958.020833333343</v>
      </c>
      <c r="D2002" s="2" t="s">
        <v>28</v>
      </c>
      <c r="E2002" s="4">
        <v>20724.7</v>
      </c>
      <c r="F2002" s="2" t="s">
        <v>57</v>
      </c>
      <c r="G2002" s="5">
        <v>42</v>
      </c>
      <c r="H2002" s="2" t="s">
        <v>29</v>
      </c>
      <c r="I2002" s="2" t="s">
        <v>34</v>
      </c>
      <c r="J2002" s="2" t="s">
        <v>17</v>
      </c>
      <c r="K2002" s="2" t="s">
        <v>45</v>
      </c>
    </row>
    <row r="2003" spans="1:11" x14ac:dyDescent="0.3">
      <c r="A2003" s="2" t="s">
        <v>2389</v>
      </c>
      <c r="B2003" s="2" t="s">
        <v>958</v>
      </c>
      <c r="C2003" s="3">
        <v>45717.336111111108</v>
      </c>
      <c r="D2003" s="2" t="s">
        <v>28</v>
      </c>
      <c r="E2003" s="4">
        <v>4196.42</v>
      </c>
      <c r="F2003" s="2" t="s">
        <v>14</v>
      </c>
      <c r="G2003" s="5">
        <v>37</v>
      </c>
      <c r="H2003" s="2" t="s">
        <v>29</v>
      </c>
      <c r="I2003" s="2" t="s">
        <v>34</v>
      </c>
      <c r="J2003" s="2" t="s">
        <v>49</v>
      </c>
      <c r="K2003" s="2" t="s">
        <v>18</v>
      </c>
    </row>
    <row r="2004" spans="1:11" x14ac:dyDescent="0.3">
      <c r="A2004" s="2" t="s">
        <v>2390</v>
      </c>
      <c r="B2004" s="2" t="s">
        <v>1242</v>
      </c>
      <c r="C2004" s="3">
        <v>45853.868055555547</v>
      </c>
      <c r="D2004" s="2" t="s">
        <v>33</v>
      </c>
      <c r="E2004" s="4">
        <v>4799.3999999999996</v>
      </c>
      <c r="F2004" s="2" t="s">
        <v>14</v>
      </c>
      <c r="G2004" s="5">
        <v>21</v>
      </c>
      <c r="H2004" s="2" t="s">
        <v>29</v>
      </c>
      <c r="I2004" s="2" t="s">
        <v>34</v>
      </c>
      <c r="J2004" s="2" t="s">
        <v>44</v>
      </c>
      <c r="K2004" s="2" t="s">
        <v>18</v>
      </c>
    </row>
    <row r="2005" spans="1:11" x14ac:dyDescent="0.3">
      <c r="A2005" s="2" t="s">
        <v>2391</v>
      </c>
      <c r="B2005" s="2" t="s">
        <v>603</v>
      </c>
      <c r="C2005" s="3">
        <v>45770.905555555553</v>
      </c>
      <c r="D2005" s="2" t="s">
        <v>28</v>
      </c>
      <c r="E2005" s="4">
        <v>7601.12</v>
      </c>
      <c r="F2005" s="2" t="s">
        <v>57</v>
      </c>
      <c r="G2005" s="5">
        <v>49</v>
      </c>
      <c r="H2005" s="2" t="s">
        <v>15</v>
      </c>
      <c r="I2005" s="2" t="s">
        <v>34</v>
      </c>
      <c r="J2005" s="2" t="s">
        <v>17</v>
      </c>
      <c r="K2005" s="2" t="s">
        <v>18</v>
      </c>
    </row>
    <row r="2006" spans="1:11" x14ac:dyDescent="0.3">
      <c r="A2006" s="2" t="s">
        <v>2392</v>
      </c>
      <c r="B2006" s="2" t="s">
        <v>215</v>
      </c>
      <c r="C2006" s="3">
        <v>45775.43472222222</v>
      </c>
      <c r="D2006" s="2" t="s">
        <v>13</v>
      </c>
      <c r="E2006" s="4">
        <v>1055.9100000000001</v>
      </c>
      <c r="F2006" s="2" t="s">
        <v>14</v>
      </c>
      <c r="G2006" s="5">
        <v>28</v>
      </c>
      <c r="H2006" s="2" t="s">
        <v>15</v>
      </c>
      <c r="I2006" s="2" t="s">
        <v>30</v>
      </c>
      <c r="J2006" s="2" t="s">
        <v>17</v>
      </c>
      <c r="K2006" s="2" t="s">
        <v>45</v>
      </c>
    </row>
    <row r="2007" spans="1:11" x14ac:dyDescent="0.3">
      <c r="A2007" s="2" t="s">
        <v>2393</v>
      </c>
      <c r="B2007" s="2" t="s">
        <v>1201</v>
      </c>
      <c r="C2007" s="3">
        <v>45838.69027777778</v>
      </c>
      <c r="D2007" s="2" t="s">
        <v>28</v>
      </c>
      <c r="E2007" s="4">
        <v>13908.64</v>
      </c>
      <c r="F2007" s="2" t="s">
        <v>14</v>
      </c>
      <c r="G2007" s="5">
        <v>44</v>
      </c>
      <c r="H2007" s="2" t="s">
        <v>15</v>
      </c>
      <c r="I2007" s="2" t="s">
        <v>25</v>
      </c>
      <c r="J2007" s="2" t="s">
        <v>44</v>
      </c>
      <c r="K2007" s="2" t="s">
        <v>22</v>
      </c>
    </row>
    <row r="2008" spans="1:11" x14ac:dyDescent="0.3">
      <c r="A2008" s="2" t="s">
        <v>2394</v>
      </c>
      <c r="B2008" s="2" t="s">
        <v>517</v>
      </c>
      <c r="C2008" s="3">
        <v>45662.953472222223</v>
      </c>
      <c r="D2008" s="2" t="s">
        <v>38</v>
      </c>
      <c r="E2008" s="4">
        <v>9094.48</v>
      </c>
      <c r="F2008" s="2" t="s">
        <v>14</v>
      </c>
      <c r="G2008" s="5">
        <v>34</v>
      </c>
      <c r="H2008" s="2" t="s">
        <v>15</v>
      </c>
      <c r="I2008" s="2" t="s">
        <v>48</v>
      </c>
      <c r="J2008" s="2" t="s">
        <v>17</v>
      </c>
      <c r="K2008" s="2" t="s">
        <v>45</v>
      </c>
    </row>
    <row r="2009" spans="1:11" x14ac:dyDescent="0.3">
      <c r="A2009" s="2" t="s">
        <v>2395</v>
      </c>
      <c r="B2009" s="2" t="s">
        <v>42</v>
      </c>
      <c r="C2009" s="3">
        <v>45792.304166666669</v>
      </c>
      <c r="D2009" s="2" t="s">
        <v>28</v>
      </c>
      <c r="E2009" s="4">
        <v>5120.4799999999996</v>
      </c>
      <c r="F2009" s="2" t="s">
        <v>14</v>
      </c>
      <c r="G2009" s="5">
        <v>35</v>
      </c>
      <c r="H2009" s="2" t="s">
        <v>15</v>
      </c>
      <c r="I2009" s="2" t="s">
        <v>43</v>
      </c>
      <c r="J2009" s="2" t="s">
        <v>44</v>
      </c>
      <c r="K2009" s="2" t="s">
        <v>18</v>
      </c>
    </row>
    <row r="2010" spans="1:11" x14ac:dyDescent="0.3">
      <c r="A2010" s="2" t="s">
        <v>2396</v>
      </c>
      <c r="B2010" s="2" t="s">
        <v>752</v>
      </c>
      <c r="C2010" s="3">
        <v>45705.529861111107</v>
      </c>
      <c r="D2010" s="2" t="s">
        <v>13</v>
      </c>
      <c r="E2010" s="4">
        <v>3015.74</v>
      </c>
      <c r="F2010" s="2" t="s">
        <v>14</v>
      </c>
      <c r="G2010" s="5">
        <v>20</v>
      </c>
      <c r="H2010" s="2" t="s">
        <v>15</v>
      </c>
      <c r="I2010" s="2" t="s">
        <v>48</v>
      </c>
      <c r="J2010" s="2" t="s">
        <v>17</v>
      </c>
      <c r="K2010" s="2" t="s">
        <v>35</v>
      </c>
    </row>
    <row r="2011" spans="1:11" x14ac:dyDescent="0.3">
      <c r="A2011" s="2" t="s">
        <v>2397</v>
      </c>
      <c r="B2011" s="2" t="s">
        <v>317</v>
      </c>
      <c r="C2011" s="3">
        <v>45833.107638888891</v>
      </c>
      <c r="D2011" s="2" t="s">
        <v>28</v>
      </c>
      <c r="E2011" s="4">
        <v>53339.62</v>
      </c>
      <c r="F2011" s="2" t="s">
        <v>14</v>
      </c>
      <c r="G2011" s="5">
        <v>55</v>
      </c>
      <c r="H2011" s="2" t="s">
        <v>15</v>
      </c>
      <c r="I2011" s="2" t="s">
        <v>34</v>
      </c>
      <c r="J2011" s="2" t="s">
        <v>49</v>
      </c>
      <c r="K2011" s="2" t="s">
        <v>18</v>
      </c>
    </row>
    <row r="2012" spans="1:11" x14ac:dyDescent="0.3">
      <c r="A2012" s="2" t="s">
        <v>2398</v>
      </c>
      <c r="B2012" s="2" t="s">
        <v>988</v>
      </c>
      <c r="C2012" s="3">
        <v>45749.638888888891</v>
      </c>
      <c r="D2012" s="2" t="s">
        <v>28</v>
      </c>
      <c r="E2012" s="4">
        <v>7833.56</v>
      </c>
      <c r="F2012" s="2" t="s">
        <v>14</v>
      </c>
      <c r="G2012" s="5">
        <v>35</v>
      </c>
      <c r="H2012" s="2" t="s">
        <v>29</v>
      </c>
      <c r="I2012" s="2" t="s">
        <v>34</v>
      </c>
      <c r="J2012" s="2" t="s">
        <v>49</v>
      </c>
      <c r="K2012" s="2" t="s">
        <v>18</v>
      </c>
    </row>
    <row r="2013" spans="1:11" x14ac:dyDescent="0.3">
      <c r="A2013" s="2" t="s">
        <v>2399</v>
      </c>
      <c r="B2013" s="2" t="s">
        <v>142</v>
      </c>
      <c r="C2013" s="3">
        <v>45839.289583333331</v>
      </c>
      <c r="D2013" s="2" t="s">
        <v>33</v>
      </c>
      <c r="E2013" s="4">
        <v>2249.23</v>
      </c>
      <c r="F2013" s="2" t="s">
        <v>14</v>
      </c>
      <c r="G2013" s="5">
        <v>49</v>
      </c>
      <c r="H2013" s="2" t="s">
        <v>29</v>
      </c>
      <c r="I2013" s="2" t="s">
        <v>34</v>
      </c>
      <c r="J2013" s="2" t="s">
        <v>17</v>
      </c>
      <c r="K2013" s="2" t="s">
        <v>18</v>
      </c>
    </row>
    <row r="2014" spans="1:11" x14ac:dyDescent="0.3">
      <c r="A2014" s="2" t="s">
        <v>2400</v>
      </c>
      <c r="B2014" s="2" t="s">
        <v>128</v>
      </c>
      <c r="C2014" s="3">
        <v>45951.34097222222</v>
      </c>
      <c r="D2014" s="2" t="s">
        <v>28</v>
      </c>
      <c r="E2014" s="4">
        <v>6705.22</v>
      </c>
      <c r="F2014" s="2" t="s">
        <v>14</v>
      </c>
      <c r="G2014" s="5">
        <v>26</v>
      </c>
      <c r="H2014" s="2" t="s">
        <v>15</v>
      </c>
      <c r="I2014" s="2" t="s">
        <v>95</v>
      </c>
      <c r="J2014" s="2" t="s">
        <v>44</v>
      </c>
      <c r="K2014" s="2" t="s">
        <v>45</v>
      </c>
    </row>
    <row r="2015" spans="1:11" x14ac:dyDescent="0.3">
      <c r="A2015" s="2" t="s">
        <v>2401</v>
      </c>
      <c r="B2015" s="2" t="s">
        <v>20</v>
      </c>
      <c r="C2015" s="3">
        <v>46007.271527777782</v>
      </c>
      <c r="D2015" s="2" t="s">
        <v>38</v>
      </c>
      <c r="E2015" s="4">
        <v>1490.65</v>
      </c>
      <c r="F2015" s="2" t="s">
        <v>14</v>
      </c>
      <c r="G2015" s="5">
        <v>43</v>
      </c>
      <c r="H2015" s="2" t="s">
        <v>15</v>
      </c>
      <c r="I2015" s="2" t="s">
        <v>21</v>
      </c>
      <c r="J2015" s="2" t="s">
        <v>17</v>
      </c>
      <c r="K2015" s="2" t="s">
        <v>22</v>
      </c>
    </row>
    <row r="2016" spans="1:11" x14ac:dyDescent="0.3">
      <c r="A2016" s="2" t="s">
        <v>2402</v>
      </c>
      <c r="B2016" s="2" t="s">
        <v>2403</v>
      </c>
      <c r="C2016" s="3">
        <v>45760.324305555558</v>
      </c>
      <c r="D2016" s="2" t="s">
        <v>38</v>
      </c>
      <c r="E2016" s="4">
        <v>2733.45</v>
      </c>
      <c r="F2016" s="2" t="s">
        <v>14</v>
      </c>
      <c r="G2016" s="5">
        <v>46</v>
      </c>
      <c r="H2016" s="2" t="s">
        <v>29</v>
      </c>
      <c r="I2016" s="2" t="s">
        <v>60</v>
      </c>
      <c r="J2016" s="2" t="s">
        <v>17</v>
      </c>
      <c r="K2016" s="2" t="s">
        <v>18</v>
      </c>
    </row>
    <row r="2017" spans="1:11" x14ac:dyDescent="0.3">
      <c r="A2017" s="2" t="s">
        <v>2404</v>
      </c>
      <c r="B2017" s="2" t="s">
        <v>190</v>
      </c>
      <c r="C2017" s="3">
        <v>45781.342361111107</v>
      </c>
      <c r="D2017" s="2" t="s">
        <v>28</v>
      </c>
      <c r="E2017" s="4">
        <v>30965.58</v>
      </c>
      <c r="F2017" s="2" t="s">
        <v>14</v>
      </c>
      <c r="G2017" s="5">
        <v>25</v>
      </c>
      <c r="H2017" s="2" t="s">
        <v>15</v>
      </c>
      <c r="I2017" s="2" t="s">
        <v>34</v>
      </c>
      <c r="J2017" s="2" t="s">
        <v>17</v>
      </c>
      <c r="K2017" s="2" t="s">
        <v>45</v>
      </c>
    </row>
    <row r="2018" spans="1:11" x14ac:dyDescent="0.3">
      <c r="A2018" s="2" t="s">
        <v>2405</v>
      </c>
      <c r="B2018" s="2" t="s">
        <v>221</v>
      </c>
      <c r="C2018" s="3">
        <v>45775.286805555559</v>
      </c>
      <c r="D2018" s="2" t="s">
        <v>28</v>
      </c>
      <c r="E2018" s="4">
        <v>19104.29</v>
      </c>
      <c r="F2018" s="2" t="s">
        <v>14</v>
      </c>
      <c r="G2018" s="5">
        <v>43</v>
      </c>
      <c r="H2018" s="2" t="s">
        <v>15</v>
      </c>
      <c r="I2018" s="2" t="s">
        <v>60</v>
      </c>
      <c r="J2018" s="2" t="s">
        <v>49</v>
      </c>
      <c r="K2018" s="2" t="s">
        <v>22</v>
      </c>
    </row>
    <row r="2019" spans="1:11" x14ac:dyDescent="0.3">
      <c r="A2019" s="2" t="s">
        <v>2406</v>
      </c>
      <c r="B2019" s="2" t="s">
        <v>372</v>
      </c>
      <c r="C2019" s="3">
        <v>45785.806944444441</v>
      </c>
      <c r="D2019" s="2" t="s">
        <v>38</v>
      </c>
      <c r="E2019" s="4">
        <v>17281.189999999999</v>
      </c>
      <c r="F2019" s="2" t="s">
        <v>14</v>
      </c>
      <c r="G2019" s="5">
        <v>28</v>
      </c>
      <c r="H2019" s="2" t="s">
        <v>29</v>
      </c>
      <c r="I2019" s="2" t="s">
        <v>25</v>
      </c>
      <c r="J2019" s="2" t="s">
        <v>17</v>
      </c>
      <c r="K2019" s="2" t="s">
        <v>22</v>
      </c>
    </row>
    <row r="2020" spans="1:11" x14ac:dyDescent="0.3">
      <c r="A2020" s="2" t="s">
        <v>2407</v>
      </c>
      <c r="B2020" s="2" t="s">
        <v>605</v>
      </c>
      <c r="C2020" s="3">
        <v>45737.129861111112</v>
      </c>
      <c r="D2020" s="2" t="s">
        <v>38</v>
      </c>
      <c r="E2020" s="4">
        <v>16358.83</v>
      </c>
      <c r="F2020" s="2" t="s">
        <v>14</v>
      </c>
      <c r="G2020" s="5">
        <v>29</v>
      </c>
      <c r="H2020" s="2" t="s">
        <v>29</v>
      </c>
      <c r="I2020" s="2" t="s">
        <v>60</v>
      </c>
      <c r="J2020" s="2" t="s">
        <v>17</v>
      </c>
      <c r="K2020" s="2" t="s">
        <v>18</v>
      </c>
    </row>
    <row r="2021" spans="1:11" x14ac:dyDescent="0.3">
      <c r="A2021" s="2" t="s">
        <v>2408</v>
      </c>
      <c r="B2021" s="2" t="s">
        <v>270</v>
      </c>
      <c r="C2021" s="3">
        <v>45698.904166666667</v>
      </c>
      <c r="D2021" s="2" t="s">
        <v>13</v>
      </c>
      <c r="E2021" s="4">
        <v>1593.47</v>
      </c>
      <c r="F2021" s="2" t="s">
        <v>14</v>
      </c>
      <c r="G2021" s="5">
        <v>50</v>
      </c>
      <c r="H2021" s="2" t="s">
        <v>29</v>
      </c>
      <c r="I2021" s="2" t="s">
        <v>95</v>
      </c>
      <c r="J2021" s="2" t="s">
        <v>49</v>
      </c>
      <c r="K2021" s="2" t="s">
        <v>18</v>
      </c>
    </row>
    <row r="2022" spans="1:11" x14ac:dyDescent="0.3">
      <c r="A2022" s="2" t="s">
        <v>2409</v>
      </c>
      <c r="B2022" s="2" t="s">
        <v>560</v>
      </c>
      <c r="C2022" s="3">
        <v>45910.791666666657</v>
      </c>
      <c r="D2022" s="2" t="s">
        <v>13</v>
      </c>
      <c r="E2022" s="4">
        <v>3887.61</v>
      </c>
      <c r="F2022" s="2" t="s">
        <v>14</v>
      </c>
      <c r="G2022" s="5">
        <v>23</v>
      </c>
      <c r="H2022" s="2" t="s">
        <v>15</v>
      </c>
      <c r="I2022" s="2" t="s">
        <v>25</v>
      </c>
      <c r="J2022" s="2" t="s">
        <v>17</v>
      </c>
      <c r="K2022" s="2" t="s">
        <v>18</v>
      </c>
    </row>
    <row r="2023" spans="1:11" x14ac:dyDescent="0.3">
      <c r="A2023" s="2" t="s">
        <v>2410</v>
      </c>
      <c r="B2023" s="2" t="s">
        <v>468</v>
      </c>
      <c r="C2023" s="3">
        <v>45935.07916666667</v>
      </c>
      <c r="D2023" s="2" t="s">
        <v>33</v>
      </c>
      <c r="E2023" s="4">
        <v>34384.620000000003</v>
      </c>
      <c r="F2023" s="2" t="s">
        <v>14</v>
      </c>
      <c r="G2023" s="5">
        <v>50</v>
      </c>
      <c r="H2023" s="2" t="s">
        <v>29</v>
      </c>
      <c r="I2023" s="2" t="s">
        <v>25</v>
      </c>
      <c r="J2023" s="2" t="s">
        <v>17</v>
      </c>
      <c r="K2023" s="2" t="s">
        <v>18</v>
      </c>
    </row>
    <row r="2024" spans="1:11" x14ac:dyDescent="0.3">
      <c r="A2024" s="2" t="s">
        <v>2411</v>
      </c>
      <c r="B2024" s="2" t="s">
        <v>338</v>
      </c>
      <c r="C2024" s="3">
        <v>45904.48541666667</v>
      </c>
      <c r="D2024" s="2" t="s">
        <v>38</v>
      </c>
      <c r="E2024" s="4">
        <v>20449.349999999999</v>
      </c>
      <c r="F2024" s="2" t="s">
        <v>14</v>
      </c>
      <c r="G2024" s="5">
        <v>31</v>
      </c>
      <c r="H2024" s="2" t="s">
        <v>15</v>
      </c>
      <c r="I2024" s="2" t="s">
        <v>30</v>
      </c>
      <c r="J2024" s="2" t="s">
        <v>49</v>
      </c>
      <c r="K2024" s="2" t="s">
        <v>18</v>
      </c>
    </row>
    <row r="2025" spans="1:11" x14ac:dyDescent="0.3">
      <c r="A2025" s="2" t="s">
        <v>2412</v>
      </c>
      <c r="B2025" s="2" t="s">
        <v>323</v>
      </c>
      <c r="C2025" s="3">
        <v>45819.664583333331</v>
      </c>
      <c r="D2025" s="2" t="s">
        <v>13</v>
      </c>
      <c r="E2025" s="4">
        <v>236.06</v>
      </c>
      <c r="F2025" s="2" t="s">
        <v>14</v>
      </c>
      <c r="G2025" s="5">
        <v>27</v>
      </c>
      <c r="H2025" s="2" t="s">
        <v>29</v>
      </c>
      <c r="I2025" s="2" t="s">
        <v>43</v>
      </c>
      <c r="J2025" s="2" t="s">
        <v>17</v>
      </c>
      <c r="K2025" s="2" t="s">
        <v>18</v>
      </c>
    </row>
    <row r="2026" spans="1:11" x14ac:dyDescent="0.3">
      <c r="A2026" s="2" t="s">
        <v>2413</v>
      </c>
      <c r="B2026" s="2" t="s">
        <v>240</v>
      </c>
      <c r="C2026" s="3">
        <v>45952.354861111111</v>
      </c>
      <c r="D2026" s="2" t="s">
        <v>33</v>
      </c>
      <c r="E2026" s="4">
        <v>5127.08</v>
      </c>
      <c r="F2026" s="2" t="s">
        <v>14</v>
      </c>
      <c r="G2026" s="5">
        <v>37</v>
      </c>
      <c r="H2026" s="2" t="s">
        <v>15</v>
      </c>
      <c r="I2026" s="2" t="s">
        <v>34</v>
      </c>
      <c r="J2026" s="2" t="s">
        <v>44</v>
      </c>
      <c r="K2026" s="2" t="s">
        <v>45</v>
      </c>
    </row>
    <row r="2027" spans="1:11" x14ac:dyDescent="0.3">
      <c r="A2027" s="2" t="s">
        <v>2414</v>
      </c>
      <c r="B2027" s="2" t="s">
        <v>105</v>
      </c>
      <c r="C2027" s="3">
        <v>45751.678472222222</v>
      </c>
      <c r="D2027" s="2" t="s">
        <v>38</v>
      </c>
      <c r="E2027" s="4">
        <v>14135.71</v>
      </c>
      <c r="F2027" s="2" t="s">
        <v>14</v>
      </c>
      <c r="G2027" s="5">
        <v>42</v>
      </c>
      <c r="H2027" s="2" t="s">
        <v>15</v>
      </c>
      <c r="I2027" s="2" t="s">
        <v>34</v>
      </c>
      <c r="J2027" s="2" t="s">
        <v>49</v>
      </c>
      <c r="K2027" s="2" t="s">
        <v>45</v>
      </c>
    </row>
    <row r="2028" spans="1:11" x14ac:dyDescent="0.3">
      <c r="A2028" s="2" t="s">
        <v>2415</v>
      </c>
      <c r="B2028" s="2" t="s">
        <v>427</v>
      </c>
      <c r="C2028" s="3">
        <v>45861.324999999997</v>
      </c>
      <c r="D2028" s="2" t="s">
        <v>38</v>
      </c>
      <c r="E2028" s="4">
        <v>21116.18</v>
      </c>
      <c r="F2028" s="2" t="s">
        <v>14</v>
      </c>
      <c r="G2028" s="5">
        <v>44</v>
      </c>
      <c r="H2028" s="2" t="s">
        <v>29</v>
      </c>
      <c r="I2028" s="2" t="s">
        <v>34</v>
      </c>
      <c r="J2028" s="2" t="s">
        <v>17</v>
      </c>
      <c r="K2028" s="2" t="s">
        <v>18</v>
      </c>
    </row>
    <row r="2029" spans="1:11" x14ac:dyDescent="0.3">
      <c r="A2029" s="2" t="s">
        <v>2416</v>
      </c>
      <c r="B2029" s="2" t="s">
        <v>481</v>
      </c>
      <c r="C2029" s="3">
        <v>45953.168749999997</v>
      </c>
      <c r="D2029" s="2" t="s">
        <v>33</v>
      </c>
      <c r="E2029" s="4">
        <v>30570.34</v>
      </c>
      <c r="F2029" s="2" t="s">
        <v>14</v>
      </c>
      <c r="G2029" s="5">
        <v>28</v>
      </c>
      <c r="H2029" s="2" t="s">
        <v>15</v>
      </c>
      <c r="I2029" s="2" t="s">
        <v>60</v>
      </c>
      <c r="J2029" s="2" t="s">
        <v>17</v>
      </c>
      <c r="K2029" s="2" t="s">
        <v>22</v>
      </c>
    </row>
    <row r="2030" spans="1:11" x14ac:dyDescent="0.3">
      <c r="A2030" s="2" t="s">
        <v>2417</v>
      </c>
      <c r="B2030" s="2" t="s">
        <v>198</v>
      </c>
      <c r="C2030" s="3">
        <v>45927.5625</v>
      </c>
      <c r="D2030" s="2" t="s">
        <v>28</v>
      </c>
      <c r="E2030" s="4">
        <v>8847.5499999999993</v>
      </c>
      <c r="F2030" s="2" t="s">
        <v>14</v>
      </c>
      <c r="G2030" s="5">
        <v>40</v>
      </c>
      <c r="H2030" s="2" t="s">
        <v>29</v>
      </c>
      <c r="I2030" s="2" t="s">
        <v>34</v>
      </c>
      <c r="J2030" s="2" t="s">
        <v>49</v>
      </c>
      <c r="K2030" s="2" t="s">
        <v>45</v>
      </c>
    </row>
    <row r="2031" spans="1:11" x14ac:dyDescent="0.3">
      <c r="A2031" s="2" t="s">
        <v>2418</v>
      </c>
      <c r="B2031" s="2" t="s">
        <v>429</v>
      </c>
      <c r="C2031" s="3">
        <v>45934.063888888893</v>
      </c>
      <c r="D2031" s="2" t="s">
        <v>28</v>
      </c>
      <c r="E2031" s="4">
        <v>59819.14</v>
      </c>
      <c r="F2031" s="2" t="s">
        <v>14</v>
      </c>
      <c r="G2031" s="5">
        <v>31</v>
      </c>
      <c r="H2031" s="2" t="s">
        <v>29</v>
      </c>
      <c r="I2031" s="2" t="s">
        <v>25</v>
      </c>
      <c r="J2031" s="2" t="s">
        <v>49</v>
      </c>
      <c r="K2031" s="2" t="s">
        <v>18</v>
      </c>
    </row>
    <row r="2032" spans="1:11" x14ac:dyDescent="0.3">
      <c r="A2032" s="2" t="s">
        <v>2419</v>
      </c>
      <c r="B2032" s="2" t="s">
        <v>1274</v>
      </c>
      <c r="C2032" s="3">
        <v>45835.538194444453</v>
      </c>
      <c r="D2032" s="2" t="s">
        <v>38</v>
      </c>
      <c r="E2032" s="4">
        <v>1338.33</v>
      </c>
      <c r="F2032" s="2" t="s">
        <v>14</v>
      </c>
      <c r="G2032" s="5">
        <v>32</v>
      </c>
      <c r="H2032" s="2" t="s">
        <v>15</v>
      </c>
      <c r="I2032" s="2" t="s">
        <v>95</v>
      </c>
      <c r="J2032" s="2" t="s">
        <v>17</v>
      </c>
      <c r="K2032" s="2" t="s">
        <v>45</v>
      </c>
    </row>
    <row r="2033" spans="1:11" x14ac:dyDescent="0.3">
      <c r="A2033" s="2" t="s">
        <v>2420</v>
      </c>
      <c r="B2033" s="2" t="s">
        <v>194</v>
      </c>
      <c r="C2033" s="3">
        <v>46009.228472222218</v>
      </c>
      <c r="D2033" s="2" t="s">
        <v>13</v>
      </c>
      <c r="E2033" s="4">
        <v>423.85</v>
      </c>
      <c r="F2033" s="2" t="s">
        <v>14</v>
      </c>
      <c r="G2033" s="5">
        <v>31</v>
      </c>
      <c r="H2033" s="2" t="s">
        <v>29</v>
      </c>
      <c r="I2033" s="2" t="s">
        <v>16</v>
      </c>
      <c r="J2033" s="2" t="s">
        <v>17</v>
      </c>
      <c r="K2033" s="2" t="s">
        <v>45</v>
      </c>
    </row>
    <row r="2034" spans="1:11" x14ac:dyDescent="0.3">
      <c r="A2034" s="2" t="s">
        <v>2421</v>
      </c>
      <c r="B2034" s="2" t="s">
        <v>176</v>
      </c>
      <c r="C2034" s="3">
        <v>45719.939583333333</v>
      </c>
      <c r="D2034" s="2" t="s">
        <v>13</v>
      </c>
      <c r="E2034" s="4">
        <v>738.07</v>
      </c>
      <c r="F2034" s="2" t="s">
        <v>14</v>
      </c>
      <c r="G2034" s="5">
        <v>32</v>
      </c>
      <c r="H2034" s="2" t="s">
        <v>15</v>
      </c>
      <c r="I2034" s="2" t="s">
        <v>34</v>
      </c>
      <c r="J2034" s="2" t="s">
        <v>49</v>
      </c>
      <c r="K2034" s="2" t="s">
        <v>18</v>
      </c>
    </row>
    <row r="2035" spans="1:11" x14ac:dyDescent="0.3">
      <c r="A2035" s="2" t="s">
        <v>2422</v>
      </c>
      <c r="B2035" s="2" t="s">
        <v>20</v>
      </c>
      <c r="C2035" s="3">
        <v>45893.447222222218</v>
      </c>
      <c r="D2035" s="2" t="s">
        <v>154</v>
      </c>
      <c r="E2035" s="4">
        <v>20000</v>
      </c>
      <c r="F2035" s="2" t="s">
        <v>122</v>
      </c>
      <c r="G2035" s="5">
        <v>43</v>
      </c>
      <c r="H2035" s="2" t="s">
        <v>15</v>
      </c>
      <c r="I2035" s="2" t="s">
        <v>21</v>
      </c>
      <c r="J2035" s="2" t="s">
        <v>17</v>
      </c>
      <c r="K2035" s="2" t="s">
        <v>18</v>
      </c>
    </row>
    <row r="2036" spans="1:11" x14ac:dyDescent="0.3">
      <c r="A2036" s="2" t="s">
        <v>2423</v>
      </c>
      <c r="B2036" s="2" t="s">
        <v>872</v>
      </c>
      <c r="C2036" s="3">
        <v>45662.029861111107</v>
      </c>
      <c r="D2036" s="2" t="s">
        <v>33</v>
      </c>
      <c r="E2036" s="4">
        <v>11893.99</v>
      </c>
      <c r="F2036" s="2" t="s">
        <v>14</v>
      </c>
      <c r="G2036" s="5">
        <v>28</v>
      </c>
      <c r="H2036" s="2" t="s">
        <v>15</v>
      </c>
      <c r="I2036" s="2" t="s">
        <v>34</v>
      </c>
      <c r="J2036" s="2" t="s">
        <v>17</v>
      </c>
      <c r="K2036" s="2" t="s">
        <v>45</v>
      </c>
    </row>
    <row r="2037" spans="1:11" x14ac:dyDescent="0.3">
      <c r="A2037" s="2" t="s">
        <v>2424</v>
      </c>
      <c r="B2037" s="2" t="s">
        <v>1777</v>
      </c>
      <c r="C2037" s="3">
        <v>45765.525694444441</v>
      </c>
      <c r="D2037" s="2" t="s">
        <v>13</v>
      </c>
      <c r="E2037" s="4">
        <v>505.28</v>
      </c>
      <c r="F2037" s="2" t="s">
        <v>14</v>
      </c>
      <c r="G2037" s="5">
        <v>46</v>
      </c>
      <c r="H2037" s="2" t="s">
        <v>15</v>
      </c>
      <c r="I2037" s="2" t="s">
        <v>95</v>
      </c>
      <c r="J2037" s="2" t="s">
        <v>52</v>
      </c>
      <c r="K2037" s="2" t="s">
        <v>18</v>
      </c>
    </row>
    <row r="2038" spans="1:11" x14ac:dyDescent="0.3">
      <c r="A2038" s="2" t="s">
        <v>2425</v>
      </c>
      <c r="B2038" s="2" t="s">
        <v>963</v>
      </c>
      <c r="C2038" s="3">
        <v>45709.432638888888</v>
      </c>
      <c r="D2038" s="2" t="s">
        <v>13</v>
      </c>
      <c r="E2038" s="4">
        <v>586.4</v>
      </c>
      <c r="F2038" s="2" t="s">
        <v>14</v>
      </c>
      <c r="G2038" s="5">
        <v>51</v>
      </c>
      <c r="H2038" s="2" t="s">
        <v>29</v>
      </c>
      <c r="I2038" s="2" t="s">
        <v>48</v>
      </c>
      <c r="J2038" s="2" t="s">
        <v>49</v>
      </c>
      <c r="K2038" s="2" t="s">
        <v>18</v>
      </c>
    </row>
    <row r="2039" spans="1:11" x14ac:dyDescent="0.3">
      <c r="A2039" s="2" t="s">
        <v>2426</v>
      </c>
      <c r="B2039" s="2" t="s">
        <v>24</v>
      </c>
      <c r="C2039" s="3">
        <v>45971.34097222222</v>
      </c>
      <c r="D2039" s="2" t="s">
        <v>28</v>
      </c>
      <c r="E2039" s="4">
        <v>12249.84</v>
      </c>
      <c r="F2039" s="2" t="s">
        <v>14</v>
      </c>
      <c r="G2039" s="5">
        <v>35</v>
      </c>
      <c r="H2039" s="2" t="s">
        <v>15</v>
      </c>
      <c r="I2039" s="2" t="s">
        <v>25</v>
      </c>
      <c r="J2039" s="2" t="s">
        <v>17</v>
      </c>
      <c r="K2039" s="2" t="s">
        <v>18</v>
      </c>
    </row>
    <row r="2040" spans="1:11" x14ac:dyDescent="0.3">
      <c r="A2040" s="2" t="s">
        <v>2427</v>
      </c>
      <c r="B2040" s="2" t="s">
        <v>529</v>
      </c>
      <c r="C2040" s="3">
        <v>45938.34375</v>
      </c>
      <c r="D2040" s="2" t="s">
        <v>28</v>
      </c>
      <c r="E2040" s="4">
        <v>1245.72</v>
      </c>
      <c r="F2040" s="2" t="s">
        <v>14</v>
      </c>
      <c r="G2040" s="5">
        <v>28</v>
      </c>
      <c r="H2040" s="2" t="s">
        <v>29</v>
      </c>
      <c r="I2040" s="2" t="s">
        <v>34</v>
      </c>
      <c r="J2040" s="2" t="s">
        <v>17</v>
      </c>
      <c r="K2040" s="2" t="s">
        <v>18</v>
      </c>
    </row>
    <row r="2041" spans="1:11" x14ac:dyDescent="0.3">
      <c r="A2041" s="2" t="s">
        <v>2428</v>
      </c>
      <c r="B2041" s="2" t="s">
        <v>660</v>
      </c>
      <c r="C2041" s="3">
        <v>45795.652083333327</v>
      </c>
      <c r="D2041" s="2" t="s">
        <v>154</v>
      </c>
      <c r="E2041" s="4">
        <v>10000</v>
      </c>
      <c r="F2041" s="2" t="s">
        <v>14</v>
      </c>
      <c r="G2041" s="5">
        <v>50</v>
      </c>
      <c r="H2041" s="2" t="s">
        <v>15</v>
      </c>
      <c r="I2041" s="2" t="s">
        <v>34</v>
      </c>
      <c r="J2041" s="2" t="s">
        <v>49</v>
      </c>
      <c r="K2041" s="2" t="s">
        <v>35</v>
      </c>
    </row>
    <row r="2042" spans="1:11" x14ac:dyDescent="0.3">
      <c r="A2042" s="2" t="s">
        <v>2429</v>
      </c>
      <c r="B2042" s="2" t="s">
        <v>1205</v>
      </c>
      <c r="C2042" s="3">
        <v>45833.46597222222</v>
      </c>
      <c r="D2042" s="2" t="s">
        <v>28</v>
      </c>
      <c r="E2042" s="4">
        <v>8636.4500000000007</v>
      </c>
      <c r="F2042" s="2" t="s">
        <v>14</v>
      </c>
      <c r="G2042" s="5">
        <v>42</v>
      </c>
      <c r="H2042" s="2" t="s">
        <v>29</v>
      </c>
      <c r="I2042" s="2" t="s">
        <v>21</v>
      </c>
      <c r="J2042" s="2" t="s">
        <v>17</v>
      </c>
      <c r="K2042" s="2" t="s">
        <v>22</v>
      </c>
    </row>
    <row r="2043" spans="1:11" x14ac:dyDescent="0.3">
      <c r="A2043" s="2" t="s">
        <v>2430</v>
      </c>
      <c r="B2043" s="2" t="s">
        <v>2037</v>
      </c>
      <c r="C2043" s="3">
        <v>45913.550694444442</v>
      </c>
      <c r="D2043" s="2" t="s">
        <v>13</v>
      </c>
      <c r="E2043" s="4">
        <v>5390.71</v>
      </c>
      <c r="F2043" s="2" t="s">
        <v>14</v>
      </c>
      <c r="G2043" s="5">
        <v>46</v>
      </c>
      <c r="H2043" s="2" t="s">
        <v>29</v>
      </c>
      <c r="I2043" s="2" t="s">
        <v>60</v>
      </c>
      <c r="J2043" s="2" t="s">
        <v>17</v>
      </c>
      <c r="K2043" s="2" t="s">
        <v>22</v>
      </c>
    </row>
    <row r="2044" spans="1:11" x14ac:dyDescent="0.3">
      <c r="A2044" s="2" t="s">
        <v>2431</v>
      </c>
      <c r="B2044" s="2" t="s">
        <v>930</v>
      </c>
      <c r="C2044" s="3">
        <v>45872.95</v>
      </c>
      <c r="D2044" s="2" t="s">
        <v>33</v>
      </c>
      <c r="E2044" s="4">
        <v>14583.77</v>
      </c>
      <c r="F2044" s="2" t="s">
        <v>14</v>
      </c>
      <c r="G2044" s="5">
        <v>27</v>
      </c>
      <c r="H2044" s="2" t="s">
        <v>29</v>
      </c>
      <c r="I2044" s="2" t="s">
        <v>16</v>
      </c>
      <c r="J2044" s="2" t="s">
        <v>52</v>
      </c>
      <c r="K2044" s="2" t="s">
        <v>18</v>
      </c>
    </row>
    <row r="2045" spans="1:11" x14ac:dyDescent="0.3">
      <c r="A2045" s="2" t="s">
        <v>2432</v>
      </c>
      <c r="B2045" s="2" t="s">
        <v>368</v>
      </c>
      <c r="C2045" s="3">
        <v>45848.495833333327</v>
      </c>
      <c r="D2045" s="2" t="s">
        <v>28</v>
      </c>
      <c r="E2045" s="4">
        <v>29607.77</v>
      </c>
      <c r="F2045" s="2" t="s">
        <v>14</v>
      </c>
      <c r="G2045" s="5">
        <v>52</v>
      </c>
      <c r="H2045" s="2" t="s">
        <v>15</v>
      </c>
      <c r="I2045" s="2" t="s">
        <v>34</v>
      </c>
      <c r="J2045" s="2" t="s">
        <v>17</v>
      </c>
      <c r="K2045" s="2" t="s">
        <v>45</v>
      </c>
    </row>
    <row r="2046" spans="1:11" x14ac:dyDescent="0.3">
      <c r="A2046" s="2" t="s">
        <v>2433</v>
      </c>
      <c r="B2046" s="2" t="s">
        <v>909</v>
      </c>
      <c r="C2046" s="3">
        <v>45863.352777777778</v>
      </c>
      <c r="D2046" s="2" t="s">
        <v>28</v>
      </c>
      <c r="E2046" s="4">
        <v>23361.66</v>
      </c>
      <c r="F2046" s="2" t="s">
        <v>14</v>
      </c>
      <c r="G2046" s="5">
        <v>39</v>
      </c>
      <c r="H2046" s="2" t="s">
        <v>29</v>
      </c>
      <c r="I2046" s="2" t="s">
        <v>48</v>
      </c>
      <c r="J2046" s="2" t="s">
        <v>44</v>
      </c>
      <c r="K2046" s="2" t="s">
        <v>45</v>
      </c>
    </row>
    <row r="2047" spans="1:11" x14ac:dyDescent="0.3">
      <c r="A2047" s="2" t="s">
        <v>2434</v>
      </c>
      <c r="B2047" s="2" t="s">
        <v>874</v>
      </c>
      <c r="C2047" s="3">
        <v>45750.755555555559</v>
      </c>
      <c r="D2047" s="2" t="s">
        <v>28</v>
      </c>
      <c r="E2047" s="4">
        <v>67540.2</v>
      </c>
      <c r="F2047" s="2" t="s">
        <v>14</v>
      </c>
      <c r="G2047" s="5">
        <v>39</v>
      </c>
      <c r="H2047" s="2" t="s">
        <v>15</v>
      </c>
      <c r="I2047" s="2" t="s">
        <v>21</v>
      </c>
      <c r="J2047" s="2" t="s">
        <v>17</v>
      </c>
      <c r="K2047" s="2" t="s">
        <v>18</v>
      </c>
    </row>
    <row r="2048" spans="1:11" x14ac:dyDescent="0.3">
      <c r="A2048" s="2" t="s">
        <v>2435</v>
      </c>
      <c r="B2048" s="2" t="s">
        <v>142</v>
      </c>
      <c r="C2048" s="3">
        <v>45952.884722222218</v>
      </c>
      <c r="D2048" s="2" t="s">
        <v>28</v>
      </c>
      <c r="E2048" s="4">
        <v>4642.2299999999996</v>
      </c>
      <c r="F2048" s="2" t="s">
        <v>14</v>
      </c>
      <c r="G2048" s="5">
        <v>49</v>
      </c>
      <c r="H2048" s="2" t="s">
        <v>29</v>
      </c>
      <c r="I2048" s="2" t="s">
        <v>34</v>
      </c>
      <c r="J2048" s="2" t="s">
        <v>17</v>
      </c>
      <c r="K2048" s="2" t="s">
        <v>18</v>
      </c>
    </row>
    <row r="2049" spans="1:11" x14ac:dyDescent="0.3">
      <c r="A2049" s="2" t="s">
        <v>2436</v>
      </c>
      <c r="B2049" s="2" t="s">
        <v>847</v>
      </c>
      <c r="C2049" s="3">
        <v>45709.970138888893</v>
      </c>
      <c r="D2049" s="2" t="s">
        <v>13</v>
      </c>
      <c r="E2049" s="4">
        <v>1402.46</v>
      </c>
      <c r="F2049" s="2" t="s">
        <v>57</v>
      </c>
      <c r="G2049" s="5">
        <v>39</v>
      </c>
      <c r="H2049" s="2" t="s">
        <v>15</v>
      </c>
      <c r="I2049" s="2" t="s">
        <v>60</v>
      </c>
      <c r="J2049" s="2" t="s">
        <v>17</v>
      </c>
      <c r="K2049" s="2" t="s">
        <v>22</v>
      </c>
    </row>
    <row r="2050" spans="1:11" x14ac:dyDescent="0.3">
      <c r="A2050" s="2" t="s">
        <v>2437</v>
      </c>
      <c r="B2050" s="2" t="s">
        <v>502</v>
      </c>
      <c r="C2050" s="3">
        <v>45778.727083333331</v>
      </c>
      <c r="D2050" s="2" t="s">
        <v>33</v>
      </c>
      <c r="E2050" s="4">
        <v>3776.24</v>
      </c>
      <c r="F2050" s="2" t="s">
        <v>14</v>
      </c>
      <c r="G2050" s="5">
        <v>26</v>
      </c>
      <c r="H2050" s="2" t="s">
        <v>29</v>
      </c>
      <c r="I2050" s="2" t="s">
        <v>95</v>
      </c>
      <c r="J2050" s="2" t="s">
        <v>17</v>
      </c>
      <c r="K2050" s="2" t="s">
        <v>35</v>
      </c>
    </row>
    <row r="2051" spans="1:11" x14ac:dyDescent="0.3">
      <c r="A2051" s="2" t="s">
        <v>2438</v>
      </c>
      <c r="B2051" s="2" t="s">
        <v>847</v>
      </c>
      <c r="C2051" s="3">
        <v>45853.256249999999</v>
      </c>
      <c r="D2051" s="2" t="s">
        <v>13</v>
      </c>
      <c r="E2051" s="4">
        <v>2478.42</v>
      </c>
      <c r="F2051" s="2" t="s">
        <v>57</v>
      </c>
      <c r="G2051" s="5">
        <v>39</v>
      </c>
      <c r="H2051" s="2" t="s">
        <v>15</v>
      </c>
      <c r="I2051" s="2" t="s">
        <v>60</v>
      </c>
      <c r="J2051" s="2" t="s">
        <v>17</v>
      </c>
      <c r="K2051" s="2" t="s">
        <v>18</v>
      </c>
    </row>
    <row r="2052" spans="1:11" x14ac:dyDescent="0.3">
      <c r="A2052" s="2" t="s">
        <v>2439</v>
      </c>
      <c r="B2052" s="2" t="s">
        <v>62</v>
      </c>
      <c r="C2052" s="3">
        <v>45734.660416666673</v>
      </c>
      <c r="D2052" s="2" t="s">
        <v>28</v>
      </c>
      <c r="E2052" s="4">
        <v>15059</v>
      </c>
      <c r="F2052" s="2" t="s">
        <v>14</v>
      </c>
      <c r="G2052" s="5">
        <v>32</v>
      </c>
      <c r="H2052" s="2" t="s">
        <v>29</v>
      </c>
      <c r="I2052" s="2" t="s">
        <v>25</v>
      </c>
      <c r="J2052" s="2" t="s">
        <v>17</v>
      </c>
      <c r="K2052" s="2" t="s">
        <v>18</v>
      </c>
    </row>
    <row r="2053" spans="1:11" x14ac:dyDescent="0.3">
      <c r="A2053" s="2" t="s">
        <v>2440</v>
      </c>
      <c r="B2053" s="2" t="s">
        <v>898</v>
      </c>
      <c r="C2053" s="3">
        <v>45662.226388888892</v>
      </c>
      <c r="D2053" s="2" t="s">
        <v>33</v>
      </c>
      <c r="E2053" s="4">
        <v>2294.21</v>
      </c>
      <c r="F2053" s="2" t="s">
        <v>14</v>
      </c>
      <c r="G2053" s="5">
        <v>56</v>
      </c>
      <c r="H2053" s="2" t="s">
        <v>29</v>
      </c>
      <c r="I2053" s="2" t="s">
        <v>34</v>
      </c>
      <c r="J2053" s="2" t="s">
        <v>17</v>
      </c>
      <c r="K2053" s="2" t="s">
        <v>45</v>
      </c>
    </row>
    <row r="2054" spans="1:11" x14ac:dyDescent="0.3">
      <c r="A2054" s="2" t="s">
        <v>2441</v>
      </c>
      <c r="B2054" s="2" t="s">
        <v>252</v>
      </c>
      <c r="C2054" s="3">
        <v>45913.206250000003</v>
      </c>
      <c r="D2054" s="2" t="s">
        <v>28</v>
      </c>
      <c r="E2054" s="4">
        <v>80322.42</v>
      </c>
      <c r="F2054" s="2" t="s">
        <v>57</v>
      </c>
      <c r="G2054" s="5">
        <v>25</v>
      </c>
      <c r="H2054" s="2" t="s">
        <v>29</v>
      </c>
      <c r="I2054" s="2" t="s">
        <v>60</v>
      </c>
      <c r="J2054" s="2" t="s">
        <v>44</v>
      </c>
      <c r="K2054" s="2" t="s">
        <v>18</v>
      </c>
    </row>
    <row r="2055" spans="1:11" x14ac:dyDescent="0.3">
      <c r="A2055" s="2" t="s">
        <v>2442</v>
      </c>
      <c r="B2055" s="2" t="s">
        <v>296</v>
      </c>
      <c r="C2055" s="3">
        <v>45980.69027777778</v>
      </c>
      <c r="D2055" s="2" t="s">
        <v>28</v>
      </c>
      <c r="E2055" s="4">
        <v>4432.37</v>
      </c>
      <c r="F2055" s="2" t="s">
        <v>14</v>
      </c>
      <c r="G2055" s="5">
        <v>31</v>
      </c>
      <c r="H2055" s="2" t="s">
        <v>15</v>
      </c>
      <c r="I2055" s="2" t="s">
        <v>34</v>
      </c>
      <c r="J2055" s="2" t="s">
        <v>52</v>
      </c>
      <c r="K2055" s="2" t="s">
        <v>18</v>
      </c>
    </row>
    <row r="2056" spans="1:11" x14ac:dyDescent="0.3">
      <c r="A2056" s="2" t="s">
        <v>2443</v>
      </c>
      <c r="B2056" s="2" t="s">
        <v>1408</v>
      </c>
      <c r="C2056" s="3">
        <v>45819.638194444437</v>
      </c>
      <c r="D2056" s="2" t="s">
        <v>33</v>
      </c>
      <c r="E2056" s="4">
        <v>691.09</v>
      </c>
      <c r="F2056" s="2" t="s">
        <v>14</v>
      </c>
      <c r="G2056" s="5">
        <v>39</v>
      </c>
      <c r="H2056" s="2" t="s">
        <v>15</v>
      </c>
      <c r="I2056" s="2" t="s">
        <v>25</v>
      </c>
      <c r="J2056" s="2" t="s">
        <v>52</v>
      </c>
      <c r="K2056" s="2" t="s">
        <v>18</v>
      </c>
    </row>
    <row r="2057" spans="1:11" x14ac:dyDescent="0.3">
      <c r="A2057" s="2" t="s">
        <v>2444</v>
      </c>
      <c r="B2057" s="2" t="s">
        <v>366</v>
      </c>
      <c r="C2057" s="3">
        <v>45786.745833333327</v>
      </c>
      <c r="D2057" s="2" t="s">
        <v>38</v>
      </c>
      <c r="E2057" s="4">
        <v>3560.47</v>
      </c>
      <c r="F2057" s="2" t="s">
        <v>14</v>
      </c>
      <c r="G2057" s="5">
        <v>28</v>
      </c>
      <c r="H2057" s="2" t="s">
        <v>15</v>
      </c>
      <c r="I2057" s="2" t="s">
        <v>34</v>
      </c>
      <c r="J2057" s="2" t="s">
        <v>49</v>
      </c>
      <c r="K2057" s="2" t="s">
        <v>18</v>
      </c>
    </row>
    <row r="2058" spans="1:11" x14ac:dyDescent="0.3">
      <c r="A2058" s="2" t="s">
        <v>2445</v>
      </c>
      <c r="B2058" s="2" t="s">
        <v>289</v>
      </c>
      <c r="C2058" s="3">
        <v>45948.059027777781</v>
      </c>
      <c r="D2058" s="2" t="s">
        <v>28</v>
      </c>
      <c r="E2058" s="4">
        <v>31956.12</v>
      </c>
      <c r="F2058" s="2" t="s">
        <v>14</v>
      </c>
      <c r="G2058" s="5">
        <v>32</v>
      </c>
      <c r="H2058" s="2" t="s">
        <v>29</v>
      </c>
      <c r="I2058" s="2" t="s">
        <v>48</v>
      </c>
      <c r="J2058" s="2" t="s">
        <v>17</v>
      </c>
      <c r="K2058" s="2" t="s">
        <v>18</v>
      </c>
    </row>
    <row r="2059" spans="1:11" x14ac:dyDescent="0.3">
      <c r="A2059" s="2" t="s">
        <v>2446</v>
      </c>
      <c r="B2059" s="2" t="s">
        <v>176</v>
      </c>
      <c r="C2059" s="3">
        <v>45708.923611111109</v>
      </c>
      <c r="D2059" s="2" t="s">
        <v>33</v>
      </c>
      <c r="E2059" s="4">
        <v>841.56</v>
      </c>
      <c r="F2059" s="2" t="s">
        <v>14</v>
      </c>
      <c r="G2059" s="5">
        <v>32</v>
      </c>
      <c r="H2059" s="2" t="s">
        <v>15</v>
      </c>
      <c r="I2059" s="2" t="s">
        <v>34</v>
      </c>
      <c r="J2059" s="2" t="s">
        <v>49</v>
      </c>
      <c r="K2059" s="2" t="s">
        <v>22</v>
      </c>
    </row>
    <row r="2060" spans="1:11" x14ac:dyDescent="0.3">
      <c r="A2060" s="2" t="s">
        <v>2447</v>
      </c>
      <c r="B2060" s="2" t="s">
        <v>707</v>
      </c>
      <c r="C2060" s="3">
        <v>45688.286111111112</v>
      </c>
      <c r="D2060" s="2" t="s">
        <v>28</v>
      </c>
      <c r="E2060" s="4">
        <v>13234.26</v>
      </c>
      <c r="F2060" s="2" t="s">
        <v>14</v>
      </c>
      <c r="G2060" s="5">
        <v>35</v>
      </c>
      <c r="H2060" s="2" t="s">
        <v>15</v>
      </c>
      <c r="I2060" s="2" t="s">
        <v>25</v>
      </c>
      <c r="J2060" s="2" t="s">
        <v>17</v>
      </c>
      <c r="K2060" s="2" t="s">
        <v>45</v>
      </c>
    </row>
    <row r="2061" spans="1:11" x14ac:dyDescent="0.3">
      <c r="A2061" s="2" t="s">
        <v>2448</v>
      </c>
      <c r="B2061" s="2" t="s">
        <v>277</v>
      </c>
      <c r="C2061" s="3">
        <v>45788.661805555559</v>
      </c>
      <c r="D2061" s="2" t="s">
        <v>13</v>
      </c>
      <c r="E2061" s="4">
        <v>3890.6</v>
      </c>
      <c r="F2061" s="2" t="s">
        <v>14</v>
      </c>
      <c r="G2061" s="5">
        <v>50</v>
      </c>
      <c r="H2061" s="2" t="s">
        <v>15</v>
      </c>
      <c r="I2061" s="2" t="s">
        <v>21</v>
      </c>
      <c r="J2061" s="2" t="s">
        <v>44</v>
      </c>
      <c r="K2061" s="2" t="s">
        <v>35</v>
      </c>
    </row>
    <row r="2062" spans="1:11" x14ac:dyDescent="0.3">
      <c r="A2062" s="2" t="s">
        <v>2449</v>
      </c>
      <c r="B2062" s="2" t="s">
        <v>1171</v>
      </c>
      <c r="C2062" s="3">
        <v>45980.144444444442</v>
      </c>
      <c r="D2062" s="2" t="s">
        <v>33</v>
      </c>
      <c r="E2062" s="4">
        <v>11084</v>
      </c>
      <c r="F2062" s="2" t="s">
        <v>14</v>
      </c>
      <c r="G2062" s="5">
        <v>32</v>
      </c>
      <c r="H2062" s="2" t="s">
        <v>29</v>
      </c>
      <c r="I2062" s="2" t="s">
        <v>34</v>
      </c>
      <c r="J2062" s="2" t="s">
        <v>17</v>
      </c>
      <c r="K2062" s="2" t="s">
        <v>22</v>
      </c>
    </row>
    <row r="2063" spans="1:11" x14ac:dyDescent="0.3">
      <c r="A2063" s="2" t="s">
        <v>2450</v>
      </c>
      <c r="B2063" s="2" t="s">
        <v>492</v>
      </c>
      <c r="C2063" s="3">
        <v>45829.349305555559</v>
      </c>
      <c r="D2063" s="2" t="s">
        <v>13</v>
      </c>
      <c r="E2063" s="4">
        <v>4867.33</v>
      </c>
      <c r="F2063" s="2" t="s">
        <v>14</v>
      </c>
      <c r="G2063" s="5">
        <v>41</v>
      </c>
      <c r="H2063" s="2" t="s">
        <v>29</v>
      </c>
      <c r="I2063" s="2" t="s">
        <v>48</v>
      </c>
      <c r="J2063" s="2" t="s">
        <v>17</v>
      </c>
      <c r="K2063" s="2" t="s">
        <v>22</v>
      </c>
    </row>
    <row r="2064" spans="1:11" x14ac:dyDescent="0.3">
      <c r="A2064" s="2" t="s">
        <v>2451</v>
      </c>
      <c r="B2064" s="2" t="s">
        <v>730</v>
      </c>
      <c r="C2064" s="3">
        <v>45842.732638888891</v>
      </c>
      <c r="D2064" s="2" t="s">
        <v>38</v>
      </c>
      <c r="E2064" s="4">
        <v>5586.41</v>
      </c>
      <c r="F2064" s="2" t="s">
        <v>14</v>
      </c>
      <c r="G2064" s="5">
        <v>40</v>
      </c>
      <c r="H2064" s="2" t="s">
        <v>15</v>
      </c>
      <c r="I2064" s="2" t="s">
        <v>34</v>
      </c>
      <c r="J2064" s="2" t="s">
        <v>17</v>
      </c>
      <c r="K2064" s="2" t="s">
        <v>18</v>
      </c>
    </row>
    <row r="2065" spans="1:11" x14ac:dyDescent="0.3">
      <c r="A2065" s="2" t="s">
        <v>2452</v>
      </c>
      <c r="B2065" s="2" t="s">
        <v>1349</v>
      </c>
      <c r="C2065" s="3">
        <v>45789.459027777782</v>
      </c>
      <c r="D2065" s="2" t="s">
        <v>154</v>
      </c>
      <c r="E2065" s="4">
        <v>2000</v>
      </c>
      <c r="F2065" s="2" t="s">
        <v>14</v>
      </c>
      <c r="G2065" s="5">
        <v>30</v>
      </c>
      <c r="H2065" s="2" t="s">
        <v>15</v>
      </c>
      <c r="I2065" s="2" t="s">
        <v>78</v>
      </c>
      <c r="J2065" s="2" t="s">
        <v>17</v>
      </c>
      <c r="K2065" s="2" t="s">
        <v>22</v>
      </c>
    </row>
    <row r="2066" spans="1:11" x14ac:dyDescent="0.3">
      <c r="A2066" s="2" t="s">
        <v>2453</v>
      </c>
      <c r="B2066" s="2" t="s">
        <v>352</v>
      </c>
      <c r="C2066" s="3">
        <v>45868.140277777777</v>
      </c>
      <c r="D2066" s="2" t="s">
        <v>33</v>
      </c>
      <c r="E2066" s="4">
        <v>11524.37</v>
      </c>
      <c r="F2066" s="2" t="s">
        <v>14</v>
      </c>
      <c r="G2066" s="5">
        <v>51</v>
      </c>
      <c r="H2066" s="2" t="s">
        <v>15</v>
      </c>
      <c r="I2066" s="2" t="s">
        <v>21</v>
      </c>
      <c r="J2066" s="2" t="s">
        <v>17</v>
      </c>
      <c r="K2066" s="2" t="s">
        <v>18</v>
      </c>
    </row>
    <row r="2067" spans="1:11" x14ac:dyDescent="0.3">
      <c r="A2067" s="2" t="s">
        <v>2454</v>
      </c>
      <c r="B2067" s="2" t="s">
        <v>165</v>
      </c>
      <c r="C2067" s="3">
        <v>46005.8</v>
      </c>
      <c r="D2067" s="2" t="s">
        <v>28</v>
      </c>
      <c r="E2067" s="4">
        <v>15669.8</v>
      </c>
      <c r="F2067" s="2" t="s">
        <v>14</v>
      </c>
      <c r="G2067" s="5">
        <v>31</v>
      </c>
      <c r="H2067" s="2" t="s">
        <v>29</v>
      </c>
      <c r="I2067" s="2" t="s">
        <v>30</v>
      </c>
      <c r="J2067" s="2" t="s">
        <v>52</v>
      </c>
      <c r="K2067" s="2" t="s">
        <v>22</v>
      </c>
    </row>
    <row r="2068" spans="1:11" x14ac:dyDescent="0.3">
      <c r="A2068" s="2" t="s">
        <v>2455</v>
      </c>
      <c r="B2068" s="2" t="s">
        <v>607</v>
      </c>
      <c r="C2068" s="3">
        <v>45953.77847222222</v>
      </c>
      <c r="D2068" s="2" t="s">
        <v>28</v>
      </c>
      <c r="E2068" s="4">
        <v>24064.91</v>
      </c>
      <c r="F2068" s="2" t="s">
        <v>57</v>
      </c>
      <c r="G2068" s="5">
        <v>20</v>
      </c>
      <c r="H2068" s="2" t="s">
        <v>29</v>
      </c>
      <c r="I2068" s="2" t="s">
        <v>34</v>
      </c>
      <c r="J2068" s="2" t="s">
        <v>52</v>
      </c>
      <c r="K2068" s="2" t="s">
        <v>18</v>
      </c>
    </row>
    <row r="2069" spans="1:11" x14ac:dyDescent="0.3">
      <c r="A2069" s="2" t="s">
        <v>2456</v>
      </c>
      <c r="B2069" s="2" t="s">
        <v>384</v>
      </c>
      <c r="C2069" s="3">
        <v>45990.71597222222</v>
      </c>
      <c r="D2069" s="2" t="s">
        <v>13</v>
      </c>
      <c r="E2069" s="4">
        <v>2058.4</v>
      </c>
      <c r="F2069" s="2" t="s">
        <v>14</v>
      </c>
      <c r="G2069" s="5">
        <v>32</v>
      </c>
      <c r="H2069" s="2" t="s">
        <v>15</v>
      </c>
      <c r="I2069" s="2" t="s">
        <v>25</v>
      </c>
      <c r="J2069" s="2" t="s">
        <v>17</v>
      </c>
      <c r="K2069" s="2" t="s">
        <v>45</v>
      </c>
    </row>
    <row r="2070" spans="1:11" x14ac:dyDescent="0.3">
      <c r="A2070" s="2" t="s">
        <v>2457</v>
      </c>
      <c r="B2070" s="2" t="s">
        <v>449</v>
      </c>
      <c r="C2070" s="3">
        <v>45803.472222222219</v>
      </c>
      <c r="D2070" s="2" t="s">
        <v>38</v>
      </c>
      <c r="E2070" s="4">
        <v>12789.2</v>
      </c>
      <c r="F2070" s="2" t="s">
        <v>14</v>
      </c>
      <c r="G2070" s="5">
        <v>44</v>
      </c>
      <c r="H2070" s="2" t="s">
        <v>29</v>
      </c>
      <c r="I2070" s="2" t="s">
        <v>34</v>
      </c>
      <c r="J2070" s="2" t="s">
        <v>52</v>
      </c>
      <c r="K2070" s="2" t="s">
        <v>45</v>
      </c>
    </row>
    <row r="2071" spans="1:11" x14ac:dyDescent="0.3">
      <c r="A2071" s="2" t="s">
        <v>2458</v>
      </c>
      <c r="B2071" s="2" t="s">
        <v>872</v>
      </c>
      <c r="C2071" s="3">
        <v>46002.688194444447</v>
      </c>
      <c r="D2071" s="2" t="s">
        <v>13</v>
      </c>
      <c r="E2071" s="4">
        <v>3640.56</v>
      </c>
      <c r="F2071" s="2" t="s">
        <v>14</v>
      </c>
      <c r="G2071" s="5">
        <v>28</v>
      </c>
      <c r="H2071" s="2" t="s">
        <v>15</v>
      </c>
      <c r="I2071" s="2" t="s">
        <v>34</v>
      </c>
      <c r="J2071" s="2" t="s">
        <v>17</v>
      </c>
      <c r="K2071" s="2" t="s">
        <v>45</v>
      </c>
    </row>
    <row r="2072" spans="1:11" x14ac:dyDescent="0.3">
      <c r="A2072" s="2" t="s">
        <v>2459</v>
      </c>
      <c r="B2072" s="2" t="s">
        <v>431</v>
      </c>
      <c r="C2072" s="3">
        <v>45886.1</v>
      </c>
      <c r="D2072" s="2" t="s">
        <v>28</v>
      </c>
      <c r="E2072" s="4">
        <v>49060.21</v>
      </c>
      <c r="F2072" s="2" t="s">
        <v>14</v>
      </c>
      <c r="G2072" s="5">
        <v>51</v>
      </c>
      <c r="H2072" s="2" t="s">
        <v>15</v>
      </c>
      <c r="I2072" s="2" t="s">
        <v>21</v>
      </c>
      <c r="J2072" s="2" t="s">
        <v>49</v>
      </c>
      <c r="K2072" s="2" t="s">
        <v>45</v>
      </c>
    </row>
    <row r="2073" spans="1:11" x14ac:dyDescent="0.3">
      <c r="A2073" s="2" t="s">
        <v>2460</v>
      </c>
      <c r="B2073" s="2" t="s">
        <v>958</v>
      </c>
      <c r="C2073" s="3">
        <v>45972.395138888889</v>
      </c>
      <c r="D2073" s="2" t="s">
        <v>28</v>
      </c>
      <c r="E2073" s="4">
        <v>24779.11</v>
      </c>
      <c r="F2073" s="2" t="s">
        <v>14</v>
      </c>
      <c r="G2073" s="5">
        <v>37</v>
      </c>
      <c r="H2073" s="2" t="s">
        <v>29</v>
      </c>
      <c r="I2073" s="2" t="s">
        <v>34</v>
      </c>
      <c r="J2073" s="2" t="s">
        <v>49</v>
      </c>
      <c r="K2073" s="2" t="s">
        <v>18</v>
      </c>
    </row>
    <row r="2074" spans="1:11" x14ac:dyDescent="0.3">
      <c r="A2074" s="2" t="s">
        <v>2461</v>
      </c>
      <c r="B2074" s="2" t="s">
        <v>585</v>
      </c>
      <c r="C2074" s="3">
        <v>45981.204861111109</v>
      </c>
      <c r="D2074" s="2" t="s">
        <v>28</v>
      </c>
      <c r="E2074" s="4">
        <v>18040.47</v>
      </c>
      <c r="F2074" s="2" t="s">
        <v>14</v>
      </c>
      <c r="G2074" s="5">
        <v>25</v>
      </c>
      <c r="H2074" s="2" t="s">
        <v>15</v>
      </c>
      <c r="I2074" s="2" t="s">
        <v>95</v>
      </c>
      <c r="J2074" s="2" t="s">
        <v>49</v>
      </c>
      <c r="K2074" s="2" t="s">
        <v>18</v>
      </c>
    </row>
    <row r="2075" spans="1:11" x14ac:dyDescent="0.3">
      <c r="A2075" s="2" t="s">
        <v>2462</v>
      </c>
      <c r="B2075" s="2" t="s">
        <v>1717</v>
      </c>
      <c r="C2075" s="3">
        <v>45743.868750000001</v>
      </c>
      <c r="D2075" s="2" t="s">
        <v>13</v>
      </c>
      <c r="E2075" s="4">
        <v>1892.45</v>
      </c>
      <c r="F2075" s="2" t="s">
        <v>14</v>
      </c>
      <c r="G2075" s="5">
        <v>42</v>
      </c>
      <c r="H2075" s="2" t="s">
        <v>15</v>
      </c>
      <c r="I2075" s="2" t="s">
        <v>43</v>
      </c>
      <c r="J2075" s="2" t="s">
        <v>49</v>
      </c>
      <c r="K2075" s="2" t="s">
        <v>35</v>
      </c>
    </row>
    <row r="2076" spans="1:11" x14ac:dyDescent="0.3">
      <c r="A2076" s="2" t="s">
        <v>2463</v>
      </c>
      <c r="B2076" s="2" t="s">
        <v>468</v>
      </c>
      <c r="C2076" s="3">
        <v>45830.569444444453</v>
      </c>
      <c r="D2076" s="2" t="s">
        <v>28</v>
      </c>
      <c r="E2076" s="4">
        <v>27447.99</v>
      </c>
      <c r="F2076" s="2" t="s">
        <v>14</v>
      </c>
      <c r="G2076" s="5">
        <v>50</v>
      </c>
      <c r="H2076" s="2" t="s">
        <v>29</v>
      </c>
      <c r="I2076" s="2" t="s">
        <v>25</v>
      </c>
      <c r="J2076" s="2" t="s">
        <v>17</v>
      </c>
      <c r="K2076" s="2" t="s">
        <v>18</v>
      </c>
    </row>
    <row r="2077" spans="1:11" x14ac:dyDescent="0.3">
      <c r="A2077" s="2" t="s">
        <v>2464</v>
      </c>
      <c r="B2077" s="2" t="s">
        <v>431</v>
      </c>
      <c r="C2077" s="3">
        <v>45971.767361111109</v>
      </c>
      <c r="D2077" s="2" t="s">
        <v>28</v>
      </c>
      <c r="E2077" s="4">
        <v>2421.62</v>
      </c>
      <c r="F2077" s="2" t="s">
        <v>14</v>
      </c>
      <c r="G2077" s="5">
        <v>51</v>
      </c>
      <c r="H2077" s="2" t="s">
        <v>15</v>
      </c>
      <c r="I2077" s="2" t="s">
        <v>21</v>
      </c>
      <c r="J2077" s="2" t="s">
        <v>49</v>
      </c>
      <c r="K2077" s="2" t="s">
        <v>18</v>
      </c>
    </row>
    <row r="2078" spans="1:11" x14ac:dyDescent="0.3">
      <c r="A2078" s="2" t="s">
        <v>2465</v>
      </c>
      <c r="B2078" s="2" t="s">
        <v>605</v>
      </c>
      <c r="C2078" s="3">
        <v>45694.090277777781</v>
      </c>
      <c r="D2078" s="2" t="s">
        <v>28</v>
      </c>
      <c r="E2078" s="4">
        <v>16556.88</v>
      </c>
      <c r="F2078" s="2" t="s">
        <v>14</v>
      </c>
      <c r="G2078" s="5">
        <v>29</v>
      </c>
      <c r="H2078" s="2" t="s">
        <v>29</v>
      </c>
      <c r="I2078" s="2" t="s">
        <v>60</v>
      </c>
      <c r="J2078" s="2" t="s">
        <v>17</v>
      </c>
      <c r="K2078" s="2" t="s">
        <v>45</v>
      </c>
    </row>
    <row r="2079" spans="1:11" x14ac:dyDescent="0.3">
      <c r="A2079" s="2" t="s">
        <v>2466</v>
      </c>
      <c r="B2079" s="2" t="s">
        <v>597</v>
      </c>
      <c r="C2079" s="3">
        <v>45833.305555555547</v>
      </c>
      <c r="D2079" s="2" t="s">
        <v>28</v>
      </c>
      <c r="E2079" s="4">
        <v>101032.63</v>
      </c>
      <c r="F2079" s="2" t="s">
        <v>14</v>
      </c>
      <c r="G2079" s="5">
        <v>43</v>
      </c>
      <c r="H2079" s="2" t="s">
        <v>15</v>
      </c>
      <c r="I2079" s="2" t="s">
        <v>48</v>
      </c>
      <c r="J2079" s="2" t="s">
        <v>49</v>
      </c>
      <c r="K2079" s="2" t="s">
        <v>18</v>
      </c>
    </row>
    <row r="2080" spans="1:11" x14ac:dyDescent="0.3">
      <c r="A2080" s="2" t="s">
        <v>2467</v>
      </c>
      <c r="B2080" s="2" t="s">
        <v>366</v>
      </c>
      <c r="C2080" s="3">
        <v>45820.845833333333</v>
      </c>
      <c r="D2080" s="2" t="s">
        <v>38</v>
      </c>
      <c r="E2080" s="4">
        <v>5003.21</v>
      </c>
      <c r="F2080" s="2" t="s">
        <v>14</v>
      </c>
      <c r="G2080" s="5">
        <v>28</v>
      </c>
      <c r="H2080" s="2" t="s">
        <v>15</v>
      </c>
      <c r="I2080" s="2" t="s">
        <v>34</v>
      </c>
      <c r="J2080" s="2" t="s">
        <v>49</v>
      </c>
      <c r="K2080" s="2" t="s">
        <v>45</v>
      </c>
    </row>
    <row r="2081" spans="1:11" x14ac:dyDescent="0.3">
      <c r="A2081" s="2" t="s">
        <v>2468</v>
      </c>
      <c r="B2081" s="2" t="s">
        <v>947</v>
      </c>
      <c r="C2081" s="3">
        <v>46021.359722222223</v>
      </c>
      <c r="D2081" s="2" t="s">
        <v>33</v>
      </c>
      <c r="E2081" s="4">
        <v>11351.32</v>
      </c>
      <c r="F2081" s="2" t="s">
        <v>14</v>
      </c>
      <c r="G2081" s="5">
        <v>25</v>
      </c>
      <c r="H2081" s="2" t="s">
        <v>29</v>
      </c>
      <c r="I2081" s="2" t="s">
        <v>34</v>
      </c>
      <c r="J2081" s="2" t="s">
        <v>17</v>
      </c>
      <c r="K2081" s="2" t="s">
        <v>22</v>
      </c>
    </row>
    <row r="2082" spans="1:11" x14ac:dyDescent="0.3">
      <c r="A2082" s="2" t="s">
        <v>2469</v>
      </c>
      <c r="B2082" s="2" t="s">
        <v>309</v>
      </c>
      <c r="C2082" s="3">
        <v>45988.511805555558</v>
      </c>
      <c r="D2082" s="2" t="s">
        <v>28</v>
      </c>
      <c r="E2082" s="4">
        <v>19391.59</v>
      </c>
      <c r="F2082" s="2" t="s">
        <v>14</v>
      </c>
      <c r="G2082" s="5">
        <v>51</v>
      </c>
      <c r="H2082" s="2" t="s">
        <v>29</v>
      </c>
      <c r="I2082" s="2" t="s">
        <v>25</v>
      </c>
      <c r="J2082" s="2" t="s">
        <v>49</v>
      </c>
      <c r="K2082" s="2" t="s">
        <v>35</v>
      </c>
    </row>
    <row r="2083" spans="1:11" x14ac:dyDescent="0.3">
      <c r="A2083" s="2" t="s">
        <v>2470</v>
      </c>
      <c r="B2083" s="2" t="s">
        <v>192</v>
      </c>
      <c r="C2083" s="3">
        <v>45885.490972222222</v>
      </c>
      <c r="D2083" s="2" t="s">
        <v>38</v>
      </c>
      <c r="E2083" s="4">
        <v>19994.41</v>
      </c>
      <c r="F2083" s="2" t="s">
        <v>14</v>
      </c>
      <c r="G2083" s="5">
        <v>48</v>
      </c>
      <c r="H2083" s="2" t="s">
        <v>29</v>
      </c>
      <c r="I2083" s="2" t="s">
        <v>60</v>
      </c>
      <c r="J2083" s="2" t="s">
        <v>49</v>
      </c>
      <c r="K2083" s="2" t="s">
        <v>35</v>
      </c>
    </row>
    <row r="2084" spans="1:11" x14ac:dyDescent="0.3">
      <c r="A2084" s="2" t="s">
        <v>2471</v>
      </c>
      <c r="B2084" s="2" t="s">
        <v>217</v>
      </c>
      <c r="C2084" s="3">
        <v>45958.686111111107</v>
      </c>
      <c r="D2084" s="2" t="s">
        <v>13</v>
      </c>
      <c r="E2084" s="4">
        <v>416.64</v>
      </c>
      <c r="F2084" s="2" t="s">
        <v>14</v>
      </c>
      <c r="G2084" s="5">
        <v>57</v>
      </c>
      <c r="H2084" s="2" t="s">
        <v>15</v>
      </c>
      <c r="I2084" s="2" t="s">
        <v>34</v>
      </c>
      <c r="J2084" s="2" t="s">
        <v>44</v>
      </c>
      <c r="K2084" s="2" t="s">
        <v>45</v>
      </c>
    </row>
    <row r="2085" spans="1:11" x14ac:dyDescent="0.3">
      <c r="A2085" s="2" t="s">
        <v>2472</v>
      </c>
      <c r="B2085" s="2" t="s">
        <v>138</v>
      </c>
      <c r="C2085" s="3">
        <v>45869.21597222222</v>
      </c>
      <c r="D2085" s="2" t="s">
        <v>13</v>
      </c>
      <c r="E2085" s="4">
        <v>2029.33</v>
      </c>
      <c r="F2085" s="2" t="s">
        <v>14</v>
      </c>
      <c r="G2085" s="5">
        <v>39</v>
      </c>
      <c r="H2085" s="2" t="s">
        <v>15</v>
      </c>
      <c r="I2085" s="2" t="s">
        <v>21</v>
      </c>
      <c r="J2085" s="2" t="s">
        <v>52</v>
      </c>
      <c r="K2085" s="2" t="s">
        <v>45</v>
      </c>
    </row>
    <row r="2086" spans="1:11" x14ac:dyDescent="0.3">
      <c r="A2086" s="2" t="s">
        <v>2473</v>
      </c>
      <c r="B2086" s="2" t="s">
        <v>1859</v>
      </c>
      <c r="C2086" s="3">
        <v>45669.198611111111</v>
      </c>
      <c r="D2086" s="2" t="s">
        <v>33</v>
      </c>
      <c r="E2086" s="4">
        <v>2844.62</v>
      </c>
      <c r="F2086" s="2" t="s">
        <v>14</v>
      </c>
      <c r="G2086" s="5">
        <v>28</v>
      </c>
      <c r="H2086" s="2" t="s">
        <v>29</v>
      </c>
      <c r="I2086" s="2" t="s">
        <v>48</v>
      </c>
      <c r="J2086" s="2" t="s">
        <v>17</v>
      </c>
      <c r="K2086" s="2" t="s">
        <v>18</v>
      </c>
    </row>
    <row r="2087" spans="1:11" x14ac:dyDescent="0.3">
      <c r="A2087" s="2" t="s">
        <v>2474</v>
      </c>
      <c r="B2087" s="2" t="s">
        <v>433</v>
      </c>
      <c r="C2087" s="3">
        <v>45778.886111111111</v>
      </c>
      <c r="D2087" s="2" t="s">
        <v>13</v>
      </c>
      <c r="E2087" s="4">
        <v>2650.13</v>
      </c>
      <c r="F2087" s="2" t="s">
        <v>14</v>
      </c>
      <c r="G2087" s="5">
        <v>25</v>
      </c>
      <c r="H2087" s="2" t="s">
        <v>15</v>
      </c>
      <c r="I2087" s="2" t="s">
        <v>34</v>
      </c>
      <c r="J2087" s="2" t="s">
        <v>49</v>
      </c>
      <c r="K2087" s="2" t="s">
        <v>45</v>
      </c>
    </row>
    <row r="2088" spans="1:11" x14ac:dyDescent="0.3">
      <c r="A2088" s="2" t="s">
        <v>2475</v>
      </c>
      <c r="B2088" s="2" t="s">
        <v>315</v>
      </c>
      <c r="C2088" s="3">
        <v>46016.961805555547</v>
      </c>
      <c r="D2088" s="2" t="s">
        <v>28</v>
      </c>
      <c r="E2088" s="4">
        <v>16270.66</v>
      </c>
      <c r="F2088" s="2" t="s">
        <v>14</v>
      </c>
      <c r="G2088" s="5">
        <v>40</v>
      </c>
      <c r="H2088" s="2" t="s">
        <v>15</v>
      </c>
      <c r="I2088" s="2" t="s">
        <v>34</v>
      </c>
      <c r="J2088" s="2" t="s">
        <v>17</v>
      </c>
      <c r="K2088" s="2" t="s">
        <v>18</v>
      </c>
    </row>
    <row r="2089" spans="1:11" x14ac:dyDescent="0.3">
      <c r="A2089" s="2" t="s">
        <v>2476</v>
      </c>
      <c r="B2089" s="2" t="s">
        <v>354</v>
      </c>
      <c r="C2089" s="3">
        <v>45765.225694444453</v>
      </c>
      <c r="D2089" s="2" t="s">
        <v>13</v>
      </c>
      <c r="E2089" s="4">
        <v>1580.61</v>
      </c>
      <c r="F2089" s="2" t="s">
        <v>14</v>
      </c>
      <c r="G2089" s="5">
        <v>22</v>
      </c>
      <c r="H2089" s="2" t="s">
        <v>29</v>
      </c>
      <c r="I2089" s="2" t="s">
        <v>16</v>
      </c>
      <c r="J2089" s="2" t="s">
        <v>17</v>
      </c>
      <c r="K2089" s="2" t="s">
        <v>45</v>
      </c>
    </row>
    <row r="2090" spans="1:11" x14ac:dyDescent="0.3">
      <c r="A2090" s="2" t="s">
        <v>2477</v>
      </c>
      <c r="B2090" s="2" t="s">
        <v>917</v>
      </c>
      <c r="C2090" s="3">
        <v>45710.12777777778</v>
      </c>
      <c r="D2090" s="2" t="s">
        <v>13</v>
      </c>
      <c r="E2090" s="4">
        <v>3353.75</v>
      </c>
      <c r="F2090" s="2" t="s">
        <v>14</v>
      </c>
      <c r="G2090" s="5">
        <v>38</v>
      </c>
      <c r="H2090" s="2" t="s">
        <v>29</v>
      </c>
      <c r="I2090" s="2" t="s">
        <v>95</v>
      </c>
      <c r="J2090" s="2" t="s">
        <v>49</v>
      </c>
      <c r="K2090" s="2" t="s">
        <v>45</v>
      </c>
    </row>
    <row r="2091" spans="1:11" x14ac:dyDescent="0.3">
      <c r="A2091" s="2" t="s">
        <v>2478</v>
      </c>
      <c r="B2091" s="2" t="s">
        <v>117</v>
      </c>
      <c r="C2091" s="3">
        <v>45900.710416666669</v>
      </c>
      <c r="D2091" s="2" t="s">
        <v>13</v>
      </c>
      <c r="E2091" s="4">
        <v>933.83</v>
      </c>
      <c r="F2091" s="2" t="s">
        <v>57</v>
      </c>
      <c r="G2091" s="5">
        <v>47</v>
      </c>
      <c r="H2091" s="2" t="s">
        <v>29</v>
      </c>
      <c r="I2091" s="2" t="s">
        <v>34</v>
      </c>
      <c r="J2091" s="2" t="s">
        <v>17</v>
      </c>
      <c r="K2091" s="2" t="s">
        <v>18</v>
      </c>
    </row>
    <row r="2092" spans="1:11" x14ac:dyDescent="0.3">
      <c r="A2092" s="2" t="s">
        <v>2479</v>
      </c>
      <c r="B2092" s="2" t="s">
        <v>896</v>
      </c>
      <c r="C2092" s="3">
        <v>45671.522916666669</v>
      </c>
      <c r="D2092" s="2" t="s">
        <v>38</v>
      </c>
      <c r="E2092" s="4">
        <v>1789.15</v>
      </c>
      <c r="F2092" s="2" t="s">
        <v>14</v>
      </c>
      <c r="G2092" s="5">
        <v>50</v>
      </c>
      <c r="H2092" s="2" t="s">
        <v>15</v>
      </c>
      <c r="I2092" s="2" t="s">
        <v>78</v>
      </c>
      <c r="J2092" s="2" t="s">
        <v>49</v>
      </c>
      <c r="K2092" s="2" t="s">
        <v>45</v>
      </c>
    </row>
    <row r="2093" spans="1:11" x14ac:dyDescent="0.3">
      <c r="A2093" s="2" t="s">
        <v>2480</v>
      </c>
      <c r="B2093" s="2" t="s">
        <v>1049</v>
      </c>
      <c r="C2093" s="3">
        <v>45700.136111111111</v>
      </c>
      <c r="D2093" s="2" t="s">
        <v>28</v>
      </c>
      <c r="E2093" s="4">
        <v>3684.04</v>
      </c>
      <c r="F2093" s="2" t="s">
        <v>14</v>
      </c>
      <c r="G2093" s="5">
        <v>40</v>
      </c>
      <c r="H2093" s="2" t="s">
        <v>15</v>
      </c>
      <c r="I2093" s="2" t="s">
        <v>34</v>
      </c>
      <c r="J2093" s="2" t="s">
        <v>52</v>
      </c>
      <c r="K2093" s="2" t="s">
        <v>35</v>
      </c>
    </row>
    <row r="2094" spans="1:11" x14ac:dyDescent="0.3">
      <c r="A2094" s="2" t="s">
        <v>2481</v>
      </c>
      <c r="B2094" s="2" t="s">
        <v>211</v>
      </c>
      <c r="C2094" s="3">
        <v>45974.170138888891</v>
      </c>
      <c r="D2094" s="2" t="s">
        <v>33</v>
      </c>
      <c r="E2094" s="4">
        <v>8903.41</v>
      </c>
      <c r="F2094" s="2" t="s">
        <v>14</v>
      </c>
      <c r="G2094" s="5">
        <v>30</v>
      </c>
      <c r="H2094" s="2" t="s">
        <v>15</v>
      </c>
      <c r="I2094" s="2" t="s">
        <v>16</v>
      </c>
      <c r="J2094" s="2" t="s">
        <v>17</v>
      </c>
      <c r="K2094" s="2" t="s">
        <v>45</v>
      </c>
    </row>
    <row r="2095" spans="1:11" x14ac:dyDescent="0.3">
      <c r="A2095" s="2" t="s">
        <v>2482</v>
      </c>
      <c r="B2095" s="2" t="s">
        <v>988</v>
      </c>
      <c r="C2095" s="3">
        <v>45993.513194444437</v>
      </c>
      <c r="D2095" s="2" t="s">
        <v>28</v>
      </c>
      <c r="E2095" s="4">
        <v>40198.879999999997</v>
      </c>
      <c r="F2095" s="2" t="s">
        <v>14</v>
      </c>
      <c r="G2095" s="5">
        <v>35</v>
      </c>
      <c r="H2095" s="2" t="s">
        <v>29</v>
      </c>
      <c r="I2095" s="2" t="s">
        <v>34</v>
      </c>
      <c r="J2095" s="2" t="s">
        <v>49</v>
      </c>
      <c r="K2095" s="2" t="s">
        <v>45</v>
      </c>
    </row>
    <row r="2096" spans="1:11" x14ac:dyDescent="0.3">
      <c r="A2096" s="2" t="s">
        <v>2483</v>
      </c>
      <c r="B2096" s="2" t="s">
        <v>232</v>
      </c>
      <c r="C2096" s="3">
        <v>45775.324305555558</v>
      </c>
      <c r="D2096" s="2" t="s">
        <v>28</v>
      </c>
      <c r="E2096" s="4">
        <v>33897.5</v>
      </c>
      <c r="F2096" s="2" t="s">
        <v>14</v>
      </c>
      <c r="G2096" s="5">
        <v>36</v>
      </c>
      <c r="H2096" s="2" t="s">
        <v>15</v>
      </c>
      <c r="I2096" s="2" t="s">
        <v>34</v>
      </c>
      <c r="J2096" s="2" t="s">
        <v>44</v>
      </c>
      <c r="K2096" s="2" t="s">
        <v>35</v>
      </c>
    </row>
    <row r="2097" spans="1:11" x14ac:dyDescent="0.3">
      <c r="A2097" s="2" t="s">
        <v>2484</v>
      </c>
      <c r="B2097" s="2" t="s">
        <v>336</v>
      </c>
      <c r="C2097" s="3">
        <v>45803.611111111109</v>
      </c>
      <c r="D2097" s="2" t="s">
        <v>28</v>
      </c>
      <c r="E2097" s="4">
        <v>9186.26</v>
      </c>
      <c r="F2097" s="2" t="s">
        <v>14</v>
      </c>
      <c r="G2097" s="5">
        <v>32</v>
      </c>
      <c r="H2097" s="2" t="s">
        <v>29</v>
      </c>
      <c r="I2097" s="2" t="s">
        <v>78</v>
      </c>
      <c r="J2097" s="2" t="s">
        <v>52</v>
      </c>
      <c r="K2097" s="2" t="s">
        <v>35</v>
      </c>
    </row>
    <row r="2098" spans="1:11" x14ac:dyDescent="0.3">
      <c r="A2098" s="2" t="s">
        <v>2485</v>
      </c>
      <c r="B2098" s="2" t="s">
        <v>156</v>
      </c>
      <c r="C2098" s="3">
        <v>45722.189583333333</v>
      </c>
      <c r="D2098" s="2" t="s">
        <v>13</v>
      </c>
      <c r="E2098" s="4">
        <v>713.91</v>
      </c>
      <c r="F2098" s="2" t="s">
        <v>14</v>
      </c>
      <c r="G2098" s="5">
        <v>22</v>
      </c>
      <c r="H2098" s="2" t="s">
        <v>29</v>
      </c>
      <c r="I2098" s="2" t="s">
        <v>34</v>
      </c>
      <c r="J2098" s="2" t="s">
        <v>52</v>
      </c>
      <c r="K2098" s="2" t="s">
        <v>18</v>
      </c>
    </row>
    <row r="2099" spans="1:11" x14ac:dyDescent="0.3">
      <c r="A2099" s="2" t="s">
        <v>2486</v>
      </c>
      <c r="B2099" s="2" t="s">
        <v>329</v>
      </c>
      <c r="C2099" s="3">
        <v>45745.001388888893</v>
      </c>
      <c r="D2099" s="2" t="s">
        <v>33</v>
      </c>
      <c r="E2099" s="4">
        <v>4602.04</v>
      </c>
      <c r="F2099" s="2" t="s">
        <v>14</v>
      </c>
      <c r="G2099" s="5">
        <v>31</v>
      </c>
      <c r="H2099" s="2" t="s">
        <v>15</v>
      </c>
      <c r="I2099" s="2" t="s">
        <v>34</v>
      </c>
      <c r="J2099" s="2" t="s">
        <v>49</v>
      </c>
      <c r="K2099" s="2" t="s">
        <v>18</v>
      </c>
    </row>
    <row r="2100" spans="1:11" x14ac:dyDescent="0.3">
      <c r="A2100" s="2" t="s">
        <v>2487</v>
      </c>
      <c r="B2100" s="2" t="s">
        <v>743</v>
      </c>
      <c r="C2100" s="3">
        <v>45997.496527777781</v>
      </c>
      <c r="D2100" s="2" t="s">
        <v>28</v>
      </c>
      <c r="E2100" s="4">
        <v>22546.14</v>
      </c>
      <c r="F2100" s="2" t="s">
        <v>14</v>
      </c>
      <c r="G2100" s="5">
        <v>38</v>
      </c>
      <c r="H2100" s="2" t="s">
        <v>29</v>
      </c>
      <c r="I2100" s="2" t="s">
        <v>95</v>
      </c>
      <c r="J2100" s="2" t="s">
        <v>17</v>
      </c>
      <c r="K2100" s="2" t="s">
        <v>35</v>
      </c>
    </row>
    <row r="2101" spans="1:11" x14ac:dyDescent="0.3">
      <c r="A2101" s="2" t="s">
        <v>2488</v>
      </c>
      <c r="B2101" s="2" t="s">
        <v>642</v>
      </c>
      <c r="C2101" s="3">
        <v>45824.645138888889</v>
      </c>
      <c r="D2101" s="2" t="s">
        <v>13</v>
      </c>
      <c r="E2101" s="4">
        <v>912.23</v>
      </c>
      <c r="F2101" s="2" t="s">
        <v>14</v>
      </c>
      <c r="G2101" s="5">
        <v>23</v>
      </c>
      <c r="H2101" s="2" t="s">
        <v>29</v>
      </c>
      <c r="I2101" s="2" t="s">
        <v>16</v>
      </c>
      <c r="J2101" s="2" t="s">
        <v>44</v>
      </c>
      <c r="K2101" s="2" t="s">
        <v>18</v>
      </c>
    </row>
    <row r="2102" spans="1:11" x14ac:dyDescent="0.3">
      <c r="A2102" s="2" t="s">
        <v>2489</v>
      </c>
      <c r="B2102" s="2" t="s">
        <v>765</v>
      </c>
      <c r="C2102" s="3">
        <v>45934.357638888891</v>
      </c>
      <c r="D2102" s="2" t="s">
        <v>33</v>
      </c>
      <c r="E2102" s="4">
        <v>4554.8</v>
      </c>
      <c r="F2102" s="2" t="s">
        <v>14</v>
      </c>
      <c r="G2102" s="5">
        <v>30</v>
      </c>
      <c r="H2102" s="2" t="s">
        <v>15</v>
      </c>
      <c r="I2102" s="2" t="s">
        <v>34</v>
      </c>
      <c r="J2102" s="2" t="s">
        <v>49</v>
      </c>
      <c r="K2102" s="2" t="s">
        <v>18</v>
      </c>
    </row>
    <row r="2103" spans="1:11" x14ac:dyDescent="0.3">
      <c r="A2103" s="2" t="s">
        <v>2490</v>
      </c>
      <c r="B2103" s="2" t="s">
        <v>963</v>
      </c>
      <c r="C2103" s="3">
        <v>45885.197222222218</v>
      </c>
      <c r="D2103" s="2" t="s">
        <v>33</v>
      </c>
      <c r="E2103" s="4">
        <v>19243.22</v>
      </c>
      <c r="F2103" s="2" t="s">
        <v>14</v>
      </c>
      <c r="G2103" s="5">
        <v>51</v>
      </c>
      <c r="H2103" s="2" t="s">
        <v>29</v>
      </c>
      <c r="I2103" s="2" t="s">
        <v>48</v>
      </c>
      <c r="J2103" s="2" t="s">
        <v>49</v>
      </c>
      <c r="K2103" s="2" t="s">
        <v>18</v>
      </c>
    </row>
    <row r="2104" spans="1:11" x14ac:dyDescent="0.3">
      <c r="A2104" s="2" t="s">
        <v>2491</v>
      </c>
      <c r="B2104" s="2" t="s">
        <v>545</v>
      </c>
      <c r="C2104" s="3">
        <v>45934.234027777777</v>
      </c>
      <c r="D2104" s="2" t="s">
        <v>13</v>
      </c>
      <c r="E2104" s="4">
        <v>4981.13</v>
      </c>
      <c r="F2104" s="2" t="s">
        <v>14</v>
      </c>
      <c r="G2104" s="5">
        <v>36</v>
      </c>
      <c r="H2104" s="2" t="s">
        <v>29</v>
      </c>
      <c r="I2104" s="2" t="s">
        <v>21</v>
      </c>
      <c r="J2104" s="2" t="s">
        <v>17</v>
      </c>
      <c r="K2104" s="2" t="s">
        <v>45</v>
      </c>
    </row>
    <row r="2105" spans="1:11" x14ac:dyDescent="0.3">
      <c r="A2105" s="2" t="s">
        <v>2492</v>
      </c>
      <c r="B2105" s="2" t="s">
        <v>1403</v>
      </c>
      <c r="C2105" s="3">
        <v>45963.611111111109</v>
      </c>
      <c r="D2105" s="2" t="s">
        <v>28</v>
      </c>
      <c r="E2105" s="4">
        <v>4157.6099999999997</v>
      </c>
      <c r="F2105" s="2" t="s">
        <v>14</v>
      </c>
      <c r="G2105" s="5">
        <v>37</v>
      </c>
      <c r="H2105" s="2" t="s">
        <v>15</v>
      </c>
      <c r="I2105" s="2" t="s">
        <v>30</v>
      </c>
      <c r="J2105" s="2" t="s">
        <v>49</v>
      </c>
      <c r="K2105" s="2" t="s">
        <v>45</v>
      </c>
    </row>
    <row r="2106" spans="1:11" x14ac:dyDescent="0.3">
      <c r="A2106" s="2" t="s">
        <v>2493</v>
      </c>
      <c r="B2106" s="2" t="s">
        <v>124</v>
      </c>
      <c r="C2106" s="3">
        <v>45983.768750000003</v>
      </c>
      <c r="D2106" s="2" t="s">
        <v>13</v>
      </c>
      <c r="E2106" s="4">
        <v>1180.94</v>
      </c>
      <c r="F2106" s="2" t="s">
        <v>14</v>
      </c>
      <c r="G2106" s="5">
        <v>39</v>
      </c>
      <c r="H2106" s="2" t="s">
        <v>15</v>
      </c>
      <c r="I2106" s="2" t="s">
        <v>16</v>
      </c>
      <c r="J2106" s="2" t="s">
        <v>52</v>
      </c>
      <c r="K2106" s="2" t="s">
        <v>18</v>
      </c>
    </row>
    <row r="2107" spans="1:11" x14ac:dyDescent="0.3">
      <c r="A2107" s="2" t="s">
        <v>2494</v>
      </c>
      <c r="B2107" s="2" t="s">
        <v>692</v>
      </c>
      <c r="C2107" s="3">
        <v>45926.861111111109</v>
      </c>
      <c r="D2107" s="2" t="s">
        <v>28</v>
      </c>
      <c r="E2107" s="4">
        <v>25775.3</v>
      </c>
      <c r="F2107" s="2" t="s">
        <v>57</v>
      </c>
      <c r="G2107" s="5">
        <v>41</v>
      </c>
      <c r="H2107" s="2" t="s">
        <v>15</v>
      </c>
      <c r="I2107" s="2" t="s">
        <v>25</v>
      </c>
      <c r="J2107" s="2" t="s">
        <v>17</v>
      </c>
      <c r="K2107" s="2" t="s">
        <v>18</v>
      </c>
    </row>
    <row r="2108" spans="1:11" x14ac:dyDescent="0.3">
      <c r="A2108" s="2" t="s">
        <v>2495</v>
      </c>
      <c r="B2108" s="2" t="s">
        <v>1877</v>
      </c>
      <c r="C2108" s="3">
        <v>45931.415277777778</v>
      </c>
      <c r="D2108" s="2" t="s">
        <v>28</v>
      </c>
      <c r="E2108" s="4">
        <v>16874.7</v>
      </c>
      <c r="F2108" s="2" t="s">
        <v>57</v>
      </c>
      <c r="G2108" s="5">
        <v>27</v>
      </c>
      <c r="H2108" s="2" t="s">
        <v>15</v>
      </c>
      <c r="I2108" s="2" t="s">
        <v>21</v>
      </c>
      <c r="J2108" s="2" t="s">
        <v>49</v>
      </c>
      <c r="K2108" s="2" t="s">
        <v>35</v>
      </c>
    </row>
    <row r="2109" spans="1:11" x14ac:dyDescent="0.3">
      <c r="A2109" s="2" t="s">
        <v>2496</v>
      </c>
      <c r="B2109" s="2" t="s">
        <v>126</v>
      </c>
      <c r="C2109" s="3">
        <v>45835.648611111108</v>
      </c>
      <c r="D2109" s="2" t="s">
        <v>13</v>
      </c>
      <c r="E2109" s="4">
        <v>1251.19</v>
      </c>
      <c r="F2109" s="2" t="s">
        <v>14</v>
      </c>
      <c r="G2109" s="5">
        <v>49</v>
      </c>
      <c r="H2109" s="2" t="s">
        <v>29</v>
      </c>
      <c r="I2109" s="2" t="s">
        <v>16</v>
      </c>
      <c r="J2109" s="2" t="s">
        <v>17</v>
      </c>
      <c r="K2109" s="2" t="s">
        <v>35</v>
      </c>
    </row>
    <row r="2110" spans="1:11" x14ac:dyDescent="0.3">
      <c r="A2110" s="2" t="s">
        <v>2497</v>
      </c>
      <c r="B2110" s="2" t="s">
        <v>1760</v>
      </c>
      <c r="C2110" s="3">
        <v>45774.102777777778</v>
      </c>
      <c r="D2110" s="2" t="s">
        <v>154</v>
      </c>
      <c r="E2110" s="4">
        <v>2000</v>
      </c>
      <c r="F2110" s="2" t="s">
        <v>14</v>
      </c>
      <c r="G2110" s="5">
        <v>30</v>
      </c>
      <c r="H2110" s="2" t="s">
        <v>15</v>
      </c>
      <c r="I2110" s="2" t="s">
        <v>21</v>
      </c>
      <c r="J2110" s="2" t="s">
        <v>49</v>
      </c>
      <c r="K2110" s="2" t="s">
        <v>18</v>
      </c>
    </row>
    <row r="2111" spans="1:11" x14ac:dyDescent="0.3">
      <c r="A2111" s="2" t="s">
        <v>2498</v>
      </c>
      <c r="B2111" s="2" t="s">
        <v>313</v>
      </c>
      <c r="C2111" s="3">
        <v>45815.476388888892</v>
      </c>
      <c r="D2111" s="2" t="s">
        <v>13</v>
      </c>
      <c r="E2111" s="4">
        <v>2358.7600000000002</v>
      </c>
      <c r="F2111" s="2" t="s">
        <v>14</v>
      </c>
      <c r="G2111" s="5">
        <v>24</v>
      </c>
      <c r="H2111" s="2" t="s">
        <v>15</v>
      </c>
      <c r="I2111" s="2" t="s">
        <v>48</v>
      </c>
      <c r="J2111" s="2" t="s">
        <v>17</v>
      </c>
      <c r="K2111" s="2" t="s">
        <v>18</v>
      </c>
    </row>
    <row r="2112" spans="1:11" x14ac:dyDescent="0.3">
      <c r="A2112" s="2" t="s">
        <v>2499</v>
      </c>
      <c r="B2112" s="2" t="s">
        <v>92</v>
      </c>
      <c r="C2112" s="3">
        <v>45791.179861111108</v>
      </c>
      <c r="D2112" s="2" t="s">
        <v>38</v>
      </c>
      <c r="E2112" s="4">
        <v>23831.88</v>
      </c>
      <c r="F2112" s="2" t="s">
        <v>14</v>
      </c>
      <c r="G2112" s="5">
        <v>31</v>
      </c>
      <c r="H2112" s="2" t="s">
        <v>29</v>
      </c>
      <c r="I2112" s="2" t="s">
        <v>60</v>
      </c>
      <c r="J2112" s="2" t="s">
        <v>44</v>
      </c>
      <c r="K2112" s="2" t="s">
        <v>18</v>
      </c>
    </row>
    <row r="2113" spans="1:11" x14ac:dyDescent="0.3">
      <c r="A2113" s="2" t="s">
        <v>2500</v>
      </c>
      <c r="B2113" s="2" t="s">
        <v>872</v>
      </c>
      <c r="C2113" s="3">
        <v>45663.022916666669</v>
      </c>
      <c r="D2113" s="2" t="s">
        <v>28</v>
      </c>
      <c r="E2113" s="4">
        <v>19086.09</v>
      </c>
      <c r="F2113" s="2" t="s">
        <v>14</v>
      </c>
      <c r="G2113" s="5">
        <v>28</v>
      </c>
      <c r="H2113" s="2" t="s">
        <v>15</v>
      </c>
      <c r="I2113" s="2" t="s">
        <v>34</v>
      </c>
      <c r="J2113" s="2" t="s">
        <v>17</v>
      </c>
      <c r="K2113" s="2" t="s">
        <v>18</v>
      </c>
    </row>
    <row r="2114" spans="1:11" x14ac:dyDescent="0.3">
      <c r="A2114" s="2" t="s">
        <v>2501</v>
      </c>
      <c r="B2114" s="2" t="s">
        <v>1021</v>
      </c>
      <c r="C2114" s="3">
        <v>45727.470833333333</v>
      </c>
      <c r="D2114" s="2" t="s">
        <v>28</v>
      </c>
      <c r="E2114" s="4">
        <v>2842.64</v>
      </c>
      <c r="F2114" s="2" t="s">
        <v>14</v>
      </c>
      <c r="G2114" s="5">
        <v>46</v>
      </c>
      <c r="H2114" s="2" t="s">
        <v>15</v>
      </c>
      <c r="I2114" s="2" t="s">
        <v>34</v>
      </c>
      <c r="J2114" s="2" t="s">
        <v>17</v>
      </c>
      <c r="K2114" s="2" t="s">
        <v>18</v>
      </c>
    </row>
    <row r="2115" spans="1:11" x14ac:dyDescent="0.3">
      <c r="A2115" s="2" t="s">
        <v>2502</v>
      </c>
      <c r="B2115" s="2" t="s">
        <v>564</v>
      </c>
      <c r="C2115" s="3">
        <v>45898.708333333343</v>
      </c>
      <c r="D2115" s="2" t="s">
        <v>13</v>
      </c>
      <c r="E2115" s="4">
        <v>249.27</v>
      </c>
      <c r="F2115" s="2" t="s">
        <v>14</v>
      </c>
      <c r="G2115" s="5">
        <v>46</v>
      </c>
      <c r="H2115" s="2" t="s">
        <v>15</v>
      </c>
      <c r="I2115" s="2" t="s">
        <v>25</v>
      </c>
      <c r="J2115" s="2" t="s">
        <v>44</v>
      </c>
      <c r="K2115" s="2" t="s">
        <v>18</v>
      </c>
    </row>
    <row r="2116" spans="1:11" x14ac:dyDescent="0.3">
      <c r="A2116" s="2" t="s">
        <v>2503</v>
      </c>
      <c r="B2116" s="2" t="s">
        <v>1337</v>
      </c>
      <c r="C2116" s="3">
        <v>46010.658333333333</v>
      </c>
      <c r="D2116" s="2" t="s">
        <v>13</v>
      </c>
      <c r="E2116" s="4">
        <v>988.27</v>
      </c>
      <c r="F2116" s="2" t="s">
        <v>14</v>
      </c>
      <c r="G2116" s="5">
        <v>38</v>
      </c>
      <c r="H2116" s="2" t="s">
        <v>15</v>
      </c>
      <c r="I2116" s="2" t="s">
        <v>21</v>
      </c>
      <c r="J2116" s="2" t="s">
        <v>17</v>
      </c>
      <c r="K2116" s="2" t="s">
        <v>18</v>
      </c>
    </row>
    <row r="2117" spans="1:11" x14ac:dyDescent="0.3">
      <c r="A2117" s="2" t="s">
        <v>2504</v>
      </c>
      <c r="B2117" s="2" t="s">
        <v>296</v>
      </c>
      <c r="C2117" s="3">
        <v>45902.375</v>
      </c>
      <c r="D2117" s="2" t="s">
        <v>154</v>
      </c>
      <c r="E2117" s="4">
        <v>40000</v>
      </c>
      <c r="F2117" s="2" t="s">
        <v>14</v>
      </c>
      <c r="G2117" s="5">
        <v>31</v>
      </c>
      <c r="H2117" s="2" t="s">
        <v>15</v>
      </c>
      <c r="I2117" s="2" t="s">
        <v>34</v>
      </c>
      <c r="J2117" s="2" t="s">
        <v>52</v>
      </c>
      <c r="K2117" s="2" t="s">
        <v>45</v>
      </c>
    </row>
    <row r="2118" spans="1:11" x14ac:dyDescent="0.3">
      <c r="A2118" s="2" t="s">
        <v>2505</v>
      </c>
      <c r="B2118" s="2" t="s">
        <v>121</v>
      </c>
      <c r="C2118" s="3">
        <v>45878.401388888888</v>
      </c>
      <c r="D2118" s="2" t="s">
        <v>28</v>
      </c>
      <c r="E2118" s="4">
        <v>3476.86</v>
      </c>
      <c r="F2118" s="2" t="s">
        <v>14</v>
      </c>
      <c r="G2118" s="5">
        <v>21</v>
      </c>
      <c r="H2118" s="2" t="s">
        <v>29</v>
      </c>
      <c r="I2118" s="2" t="s">
        <v>16</v>
      </c>
      <c r="J2118" s="2" t="s">
        <v>17</v>
      </c>
      <c r="K2118" s="2" t="s">
        <v>18</v>
      </c>
    </row>
    <row r="2119" spans="1:11" x14ac:dyDescent="0.3">
      <c r="A2119" s="2" t="s">
        <v>2506</v>
      </c>
      <c r="B2119" s="2" t="s">
        <v>452</v>
      </c>
      <c r="C2119" s="3">
        <v>45776.024305555547</v>
      </c>
      <c r="D2119" s="2" t="s">
        <v>28</v>
      </c>
      <c r="E2119" s="4">
        <v>11671.85</v>
      </c>
      <c r="F2119" s="2" t="s">
        <v>14</v>
      </c>
      <c r="G2119" s="5">
        <v>47</v>
      </c>
      <c r="H2119" s="2" t="s">
        <v>15</v>
      </c>
      <c r="I2119" s="2" t="s">
        <v>34</v>
      </c>
      <c r="J2119" s="2" t="s">
        <v>17</v>
      </c>
      <c r="K2119" s="2" t="s">
        <v>35</v>
      </c>
    </row>
    <row r="2120" spans="1:11" x14ac:dyDescent="0.3">
      <c r="A2120" s="2" t="s">
        <v>2507</v>
      </c>
      <c r="B2120" s="2" t="s">
        <v>716</v>
      </c>
      <c r="C2120" s="3">
        <v>45849.268055555563</v>
      </c>
      <c r="D2120" s="2" t="s">
        <v>33</v>
      </c>
      <c r="E2120" s="4">
        <v>512.55999999999995</v>
      </c>
      <c r="F2120" s="2" t="s">
        <v>14</v>
      </c>
      <c r="G2120" s="5">
        <v>33</v>
      </c>
      <c r="H2120" s="2" t="s">
        <v>15</v>
      </c>
      <c r="I2120" s="2" t="s">
        <v>34</v>
      </c>
      <c r="J2120" s="2" t="s">
        <v>49</v>
      </c>
      <c r="K2120" s="2" t="s">
        <v>22</v>
      </c>
    </row>
    <row r="2121" spans="1:11" x14ac:dyDescent="0.3">
      <c r="A2121" s="2" t="s">
        <v>2508</v>
      </c>
      <c r="B2121" s="2" t="s">
        <v>86</v>
      </c>
      <c r="C2121" s="3">
        <v>45945.559027777781</v>
      </c>
      <c r="D2121" s="2" t="s">
        <v>28</v>
      </c>
      <c r="E2121" s="4">
        <v>43514.05</v>
      </c>
      <c r="F2121" s="2" t="s">
        <v>14</v>
      </c>
      <c r="G2121" s="5">
        <v>41</v>
      </c>
      <c r="H2121" s="2" t="s">
        <v>29</v>
      </c>
      <c r="I2121" s="2" t="s">
        <v>60</v>
      </c>
      <c r="J2121" s="2" t="s">
        <v>17</v>
      </c>
      <c r="K2121" s="2" t="s">
        <v>35</v>
      </c>
    </row>
    <row r="2122" spans="1:11" x14ac:dyDescent="0.3">
      <c r="A2122" s="2" t="s">
        <v>2509</v>
      </c>
      <c r="B2122" s="2" t="s">
        <v>1013</v>
      </c>
      <c r="C2122" s="3">
        <v>45785.239583333343</v>
      </c>
      <c r="D2122" s="2" t="s">
        <v>38</v>
      </c>
      <c r="E2122" s="4">
        <v>3688.9</v>
      </c>
      <c r="F2122" s="2" t="s">
        <v>14</v>
      </c>
      <c r="G2122" s="5">
        <v>39</v>
      </c>
      <c r="H2122" s="2" t="s">
        <v>15</v>
      </c>
      <c r="I2122" s="2" t="s">
        <v>21</v>
      </c>
      <c r="J2122" s="2" t="s">
        <v>49</v>
      </c>
      <c r="K2122" s="2" t="s">
        <v>45</v>
      </c>
    </row>
    <row r="2123" spans="1:11" x14ac:dyDescent="0.3">
      <c r="A2123" s="2" t="s">
        <v>2510</v>
      </c>
      <c r="B2123" s="2" t="s">
        <v>549</v>
      </c>
      <c r="C2123" s="3">
        <v>45988.536805555559</v>
      </c>
      <c r="D2123" s="2" t="s">
        <v>33</v>
      </c>
      <c r="E2123" s="4">
        <v>1759.65</v>
      </c>
      <c r="F2123" s="2" t="s">
        <v>14</v>
      </c>
      <c r="G2123" s="5">
        <v>53</v>
      </c>
      <c r="H2123" s="2" t="s">
        <v>29</v>
      </c>
      <c r="I2123" s="2" t="s">
        <v>21</v>
      </c>
      <c r="J2123" s="2" t="s">
        <v>17</v>
      </c>
      <c r="K2123" s="2" t="s">
        <v>18</v>
      </c>
    </row>
    <row r="2124" spans="1:11" x14ac:dyDescent="0.3">
      <c r="A2124" s="2" t="s">
        <v>2511</v>
      </c>
      <c r="B2124" s="2" t="s">
        <v>853</v>
      </c>
      <c r="C2124" s="3">
        <v>45851.302777777782</v>
      </c>
      <c r="D2124" s="2" t="s">
        <v>154</v>
      </c>
      <c r="E2124" s="4">
        <v>40000</v>
      </c>
      <c r="F2124" s="2" t="s">
        <v>122</v>
      </c>
      <c r="G2124" s="5">
        <v>45</v>
      </c>
      <c r="H2124" s="2" t="s">
        <v>29</v>
      </c>
      <c r="I2124" s="2" t="s">
        <v>34</v>
      </c>
      <c r="J2124" s="2" t="s">
        <v>49</v>
      </c>
      <c r="K2124" s="2" t="s">
        <v>18</v>
      </c>
    </row>
    <row r="2125" spans="1:11" x14ac:dyDescent="0.3">
      <c r="A2125" s="2" t="s">
        <v>2512</v>
      </c>
      <c r="B2125" s="2" t="s">
        <v>109</v>
      </c>
      <c r="C2125" s="3">
        <v>45698.569444444453</v>
      </c>
      <c r="D2125" s="2" t="s">
        <v>28</v>
      </c>
      <c r="E2125" s="4">
        <v>32598.19</v>
      </c>
      <c r="F2125" s="2" t="s">
        <v>14</v>
      </c>
      <c r="G2125" s="5">
        <v>38</v>
      </c>
      <c r="H2125" s="2" t="s">
        <v>15</v>
      </c>
      <c r="I2125" s="2" t="s">
        <v>21</v>
      </c>
      <c r="J2125" s="2" t="s">
        <v>17</v>
      </c>
      <c r="K2125" s="2" t="s">
        <v>18</v>
      </c>
    </row>
    <row r="2126" spans="1:11" x14ac:dyDescent="0.3">
      <c r="A2126" s="2" t="s">
        <v>2513</v>
      </c>
      <c r="B2126" s="2" t="s">
        <v>662</v>
      </c>
      <c r="C2126" s="3">
        <v>45780.7</v>
      </c>
      <c r="D2126" s="2" t="s">
        <v>28</v>
      </c>
      <c r="E2126" s="4">
        <v>4011.3</v>
      </c>
      <c r="F2126" s="2" t="s">
        <v>14</v>
      </c>
      <c r="G2126" s="5">
        <v>45</v>
      </c>
      <c r="H2126" s="2" t="s">
        <v>15</v>
      </c>
      <c r="I2126" s="2" t="s">
        <v>34</v>
      </c>
      <c r="J2126" s="2" t="s">
        <v>52</v>
      </c>
      <c r="K2126" s="2" t="s">
        <v>18</v>
      </c>
    </row>
    <row r="2127" spans="1:11" x14ac:dyDescent="0.3">
      <c r="A2127" s="2" t="s">
        <v>2514</v>
      </c>
      <c r="B2127" s="2" t="s">
        <v>368</v>
      </c>
      <c r="C2127" s="3">
        <v>45971.946527777778</v>
      </c>
      <c r="D2127" s="2" t="s">
        <v>28</v>
      </c>
      <c r="E2127" s="4">
        <v>4559.92</v>
      </c>
      <c r="F2127" s="2" t="s">
        <v>14</v>
      </c>
      <c r="G2127" s="5">
        <v>52</v>
      </c>
      <c r="H2127" s="2" t="s">
        <v>15</v>
      </c>
      <c r="I2127" s="2" t="s">
        <v>34</v>
      </c>
      <c r="J2127" s="2" t="s">
        <v>17</v>
      </c>
      <c r="K2127" s="2" t="s">
        <v>45</v>
      </c>
    </row>
    <row r="2128" spans="1:11" x14ac:dyDescent="0.3">
      <c r="A2128" s="2" t="s">
        <v>2515</v>
      </c>
      <c r="B2128" s="2" t="s">
        <v>1026</v>
      </c>
      <c r="C2128" s="3">
        <v>45797.40347222222</v>
      </c>
      <c r="D2128" s="2" t="s">
        <v>28</v>
      </c>
      <c r="E2128" s="4">
        <v>6505.87</v>
      </c>
      <c r="F2128" s="2" t="s">
        <v>14</v>
      </c>
      <c r="G2128" s="5">
        <v>43</v>
      </c>
      <c r="H2128" s="2" t="s">
        <v>15</v>
      </c>
      <c r="I2128" s="2" t="s">
        <v>78</v>
      </c>
      <c r="J2128" s="2" t="s">
        <v>17</v>
      </c>
      <c r="K2128" s="2" t="s">
        <v>45</v>
      </c>
    </row>
    <row r="2129" spans="1:11" x14ac:dyDescent="0.3">
      <c r="A2129" s="2" t="s">
        <v>2516</v>
      </c>
      <c r="B2129" s="2" t="s">
        <v>954</v>
      </c>
      <c r="C2129" s="3">
        <v>45930.351388888892</v>
      </c>
      <c r="D2129" s="2" t="s">
        <v>28</v>
      </c>
      <c r="E2129" s="4">
        <v>73251</v>
      </c>
      <c r="F2129" s="2" t="s">
        <v>14</v>
      </c>
      <c r="G2129" s="5">
        <v>39</v>
      </c>
      <c r="H2129" s="2" t="s">
        <v>29</v>
      </c>
      <c r="I2129" s="2" t="s">
        <v>21</v>
      </c>
      <c r="J2129" s="2" t="s">
        <v>17</v>
      </c>
      <c r="K2129" s="2" t="s">
        <v>22</v>
      </c>
    </row>
    <row r="2130" spans="1:11" x14ac:dyDescent="0.3">
      <c r="A2130" s="2" t="s">
        <v>2517</v>
      </c>
      <c r="B2130" s="2" t="s">
        <v>338</v>
      </c>
      <c r="C2130" s="3">
        <v>45754.09097222222</v>
      </c>
      <c r="D2130" s="2" t="s">
        <v>13</v>
      </c>
      <c r="E2130" s="4">
        <v>2342.35</v>
      </c>
      <c r="F2130" s="2" t="s">
        <v>14</v>
      </c>
      <c r="G2130" s="5">
        <v>31</v>
      </c>
      <c r="H2130" s="2" t="s">
        <v>15</v>
      </c>
      <c r="I2130" s="2" t="s">
        <v>30</v>
      </c>
      <c r="J2130" s="2" t="s">
        <v>49</v>
      </c>
      <c r="K2130" s="2" t="s">
        <v>35</v>
      </c>
    </row>
    <row r="2131" spans="1:11" x14ac:dyDescent="0.3">
      <c r="A2131" s="2" t="s">
        <v>2518</v>
      </c>
      <c r="B2131" s="2" t="s">
        <v>362</v>
      </c>
      <c r="C2131" s="3">
        <v>45727.379861111112</v>
      </c>
      <c r="D2131" s="2" t="s">
        <v>28</v>
      </c>
      <c r="E2131" s="4">
        <v>26653.21</v>
      </c>
      <c r="F2131" s="2" t="s">
        <v>14</v>
      </c>
      <c r="G2131" s="5">
        <v>25</v>
      </c>
      <c r="H2131" s="2" t="s">
        <v>29</v>
      </c>
      <c r="I2131" s="2" t="s">
        <v>34</v>
      </c>
      <c r="J2131" s="2" t="s">
        <v>44</v>
      </c>
      <c r="K2131" s="2" t="s">
        <v>18</v>
      </c>
    </row>
    <row r="2132" spans="1:11" x14ac:dyDescent="0.3">
      <c r="A2132" s="2" t="s">
        <v>2519</v>
      </c>
      <c r="B2132" s="2" t="s">
        <v>62</v>
      </c>
      <c r="C2132" s="3">
        <v>45984.61041666667</v>
      </c>
      <c r="D2132" s="2" t="s">
        <v>38</v>
      </c>
      <c r="E2132" s="4">
        <v>1110.5</v>
      </c>
      <c r="F2132" s="2" t="s">
        <v>14</v>
      </c>
      <c r="G2132" s="5">
        <v>32</v>
      </c>
      <c r="H2132" s="2" t="s">
        <v>29</v>
      </c>
      <c r="I2132" s="2" t="s">
        <v>25</v>
      </c>
      <c r="J2132" s="2" t="s">
        <v>17</v>
      </c>
      <c r="K2132" s="2" t="s">
        <v>45</v>
      </c>
    </row>
    <row r="2133" spans="1:11" x14ac:dyDescent="0.3">
      <c r="A2133" s="2" t="s">
        <v>2520</v>
      </c>
      <c r="B2133" s="2" t="s">
        <v>575</v>
      </c>
      <c r="C2133" s="3">
        <v>45889.363888888889</v>
      </c>
      <c r="D2133" s="2" t="s">
        <v>154</v>
      </c>
      <c r="E2133" s="4">
        <v>10000</v>
      </c>
      <c r="F2133" s="2" t="s">
        <v>14</v>
      </c>
      <c r="G2133" s="5">
        <v>48</v>
      </c>
      <c r="H2133" s="2" t="s">
        <v>29</v>
      </c>
      <c r="I2133" s="2" t="s">
        <v>34</v>
      </c>
      <c r="J2133" s="2" t="s">
        <v>17</v>
      </c>
      <c r="K2133" s="2" t="s">
        <v>18</v>
      </c>
    </row>
    <row r="2134" spans="1:11" x14ac:dyDescent="0.3">
      <c r="A2134" s="2" t="s">
        <v>2521</v>
      </c>
      <c r="B2134" s="2" t="s">
        <v>101</v>
      </c>
      <c r="C2134" s="3">
        <v>45976.633333333331</v>
      </c>
      <c r="D2134" s="2" t="s">
        <v>28</v>
      </c>
      <c r="E2134" s="4">
        <v>29746.19</v>
      </c>
      <c r="F2134" s="2" t="s">
        <v>14</v>
      </c>
      <c r="G2134" s="5">
        <v>45</v>
      </c>
      <c r="H2134" s="2" t="s">
        <v>29</v>
      </c>
      <c r="I2134" s="2" t="s">
        <v>34</v>
      </c>
      <c r="J2134" s="2" t="s">
        <v>17</v>
      </c>
      <c r="K2134" s="2" t="s">
        <v>18</v>
      </c>
    </row>
    <row r="2135" spans="1:11" x14ac:dyDescent="0.3">
      <c r="A2135" s="2" t="s">
        <v>2522</v>
      </c>
      <c r="B2135" s="2" t="s">
        <v>228</v>
      </c>
      <c r="C2135" s="3">
        <v>45822.006249999999</v>
      </c>
      <c r="D2135" s="2" t="s">
        <v>28</v>
      </c>
      <c r="E2135" s="4">
        <v>23362.6</v>
      </c>
      <c r="F2135" s="2" t="s">
        <v>14</v>
      </c>
      <c r="G2135" s="5">
        <v>45</v>
      </c>
      <c r="H2135" s="2" t="s">
        <v>15</v>
      </c>
      <c r="I2135" s="2" t="s">
        <v>48</v>
      </c>
      <c r="J2135" s="2" t="s">
        <v>44</v>
      </c>
      <c r="K2135" s="2" t="s">
        <v>18</v>
      </c>
    </row>
    <row r="2136" spans="1:11" x14ac:dyDescent="0.3">
      <c r="A2136" s="2" t="s">
        <v>2523</v>
      </c>
      <c r="B2136" s="2" t="s">
        <v>94</v>
      </c>
      <c r="C2136" s="3">
        <v>45683.709027777782</v>
      </c>
      <c r="D2136" s="2" t="s">
        <v>28</v>
      </c>
      <c r="E2136" s="4">
        <v>36620</v>
      </c>
      <c r="F2136" s="2" t="s">
        <v>14</v>
      </c>
      <c r="G2136" s="5">
        <v>36</v>
      </c>
      <c r="H2136" s="2" t="s">
        <v>15</v>
      </c>
      <c r="I2136" s="2" t="s">
        <v>95</v>
      </c>
      <c r="J2136" s="2" t="s">
        <v>17</v>
      </c>
      <c r="K2136" s="2" t="s">
        <v>45</v>
      </c>
    </row>
    <row r="2137" spans="1:11" x14ac:dyDescent="0.3">
      <c r="A2137" s="2" t="s">
        <v>2524</v>
      </c>
      <c r="B2137" s="2" t="s">
        <v>213</v>
      </c>
      <c r="C2137" s="3">
        <v>45753.137499999997</v>
      </c>
      <c r="D2137" s="2" t="s">
        <v>28</v>
      </c>
      <c r="E2137" s="4">
        <v>18226.150000000001</v>
      </c>
      <c r="F2137" s="2" t="s">
        <v>14</v>
      </c>
      <c r="G2137" s="5">
        <v>50</v>
      </c>
      <c r="H2137" s="2" t="s">
        <v>29</v>
      </c>
      <c r="I2137" s="2" t="s">
        <v>25</v>
      </c>
      <c r="J2137" s="2" t="s">
        <v>49</v>
      </c>
      <c r="K2137" s="2" t="s">
        <v>45</v>
      </c>
    </row>
    <row r="2138" spans="1:11" x14ac:dyDescent="0.3">
      <c r="A2138" s="2" t="s">
        <v>2525</v>
      </c>
      <c r="B2138" s="2" t="s">
        <v>806</v>
      </c>
      <c r="C2138" s="3">
        <v>45795.197916666657</v>
      </c>
      <c r="D2138" s="2" t="s">
        <v>28</v>
      </c>
      <c r="E2138" s="4">
        <v>3708.86</v>
      </c>
      <c r="F2138" s="2" t="s">
        <v>14</v>
      </c>
      <c r="G2138" s="5">
        <v>35</v>
      </c>
      <c r="H2138" s="2" t="s">
        <v>29</v>
      </c>
      <c r="I2138" s="2" t="s">
        <v>21</v>
      </c>
      <c r="J2138" s="2" t="s">
        <v>52</v>
      </c>
      <c r="K2138" s="2" t="s">
        <v>22</v>
      </c>
    </row>
    <row r="2139" spans="1:11" x14ac:dyDescent="0.3">
      <c r="A2139" s="2" t="s">
        <v>2526</v>
      </c>
      <c r="B2139" s="2" t="s">
        <v>209</v>
      </c>
      <c r="C2139" s="3">
        <v>45882.958333333343</v>
      </c>
      <c r="D2139" s="2" t="s">
        <v>154</v>
      </c>
      <c r="E2139" s="4">
        <v>10000</v>
      </c>
      <c r="F2139" s="2" t="s">
        <v>14</v>
      </c>
      <c r="G2139" s="5">
        <v>50</v>
      </c>
      <c r="H2139" s="2" t="s">
        <v>15</v>
      </c>
      <c r="I2139" s="2" t="s">
        <v>60</v>
      </c>
      <c r="J2139" s="2" t="s">
        <v>44</v>
      </c>
      <c r="K2139" s="2" t="s">
        <v>22</v>
      </c>
    </row>
    <row r="2140" spans="1:11" x14ac:dyDescent="0.3">
      <c r="A2140" s="2" t="s">
        <v>2527</v>
      </c>
      <c r="B2140" s="2" t="s">
        <v>103</v>
      </c>
      <c r="C2140" s="3">
        <v>45777.089583333327</v>
      </c>
      <c r="D2140" s="2" t="s">
        <v>38</v>
      </c>
      <c r="E2140" s="4">
        <v>8553.42</v>
      </c>
      <c r="F2140" s="2" t="s">
        <v>14</v>
      </c>
      <c r="G2140" s="5">
        <v>43</v>
      </c>
      <c r="H2140" s="2" t="s">
        <v>29</v>
      </c>
      <c r="I2140" s="2" t="s">
        <v>34</v>
      </c>
      <c r="J2140" s="2" t="s">
        <v>17</v>
      </c>
      <c r="K2140" s="2" t="s">
        <v>18</v>
      </c>
    </row>
    <row r="2141" spans="1:11" x14ac:dyDescent="0.3">
      <c r="A2141" s="2" t="s">
        <v>2528</v>
      </c>
      <c r="B2141" s="2" t="s">
        <v>834</v>
      </c>
      <c r="C2141" s="3">
        <v>45665.634027777778</v>
      </c>
      <c r="D2141" s="2" t="s">
        <v>28</v>
      </c>
      <c r="E2141" s="4">
        <v>4303.04</v>
      </c>
      <c r="F2141" s="2" t="s">
        <v>14</v>
      </c>
      <c r="G2141" s="5">
        <v>28</v>
      </c>
      <c r="H2141" s="2" t="s">
        <v>29</v>
      </c>
      <c r="I2141" s="2" t="s">
        <v>34</v>
      </c>
      <c r="J2141" s="2" t="s">
        <v>17</v>
      </c>
      <c r="K2141" s="2" t="s">
        <v>45</v>
      </c>
    </row>
    <row r="2142" spans="1:11" x14ac:dyDescent="0.3">
      <c r="A2142" s="2" t="s">
        <v>2529</v>
      </c>
      <c r="B2142" s="2" t="s">
        <v>293</v>
      </c>
      <c r="C2142" s="3">
        <v>45833.554861111108</v>
      </c>
      <c r="D2142" s="2" t="s">
        <v>13</v>
      </c>
      <c r="E2142" s="4">
        <v>2080.17</v>
      </c>
      <c r="F2142" s="2" t="s">
        <v>14</v>
      </c>
      <c r="G2142" s="5">
        <v>36</v>
      </c>
      <c r="H2142" s="2" t="s">
        <v>15</v>
      </c>
      <c r="I2142" s="2" t="s">
        <v>34</v>
      </c>
      <c r="J2142" s="2" t="s">
        <v>17</v>
      </c>
      <c r="K2142" s="2" t="s">
        <v>18</v>
      </c>
    </row>
    <row r="2143" spans="1:11" x14ac:dyDescent="0.3">
      <c r="A2143" s="2" t="s">
        <v>2530</v>
      </c>
      <c r="B2143" s="2" t="s">
        <v>845</v>
      </c>
      <c r="C2143" s="3">
        <v>45913.478472222218</v>
      </c>
      <c r="D2143" s="2" t="s">
        <v>28</v>
      </c>
      <c r="E2143" s="4">
        <v>11922.61</v>
      </c>
      <c r="F2143" s="2" t="s">
        <v>14</v>
      </c>
      <c r="G2143" s="5">
        <v>46</v>
      </c>
      <c r="H2143" s="2" t="s">
        <v>29</v>
      </c>
      <c r="I2143" s="2" t="s">
        <v>43</v>
      </c>
      <c r="J2143" s="2" t="s">
        <v>17</v>
      </c>
      <c r="K2143" s="2" t="s">
        <v>18</v>
      </c>
    </row>
    <row r="2144" spans="1:11" x14ac:dyDescent="0.3">
      <c r="A2144" s="2" t="s">
        <v>2531</v>
      </c>
      <c r="B2144" s="2" t="s">
        <v>152</v>
      </c>
      <c r="C2144" s="3">
        <v>46014.056250000001</v>
      </c>
      <c r="D2144" s="2" t="s">
        <v>28</v>
      </c>
      <c r="E2144" s="4">
        <v>16396.939999999999</v>
      </c>
      <c r="F2144" s="2" t="s">
        <v>14</v>
      </c>
      <c r="G2144" s="5">
        <v>31</v>
      </c>
      <c r="H2144" s="2" t="s">
        <v>15</v>
      </c>
      <c r="I2144" s="2" t="s">
        <v>34</v>
      </c>
      <c r="J2144" s="2" t="s">
        <v>49</v>
      </c>
      <c r="K2144" s="2" t="s">
        <v>45</v>
      </c>
    </row>
    <row r="2145" spans="1:11" x14ac:dyDescent="0.3">
      <c r="A2145" s="2" t="s">
        <v>2532</v>
      </c>
      <c r="B2145" s="2" t="s">
        <v>1717</v>
      </c>
      <c r="C2145" s="3">
        <v>45699.168749999997</v>
      </c>
      <c r="D2145" s="2" t="s">
        <v>13</v>
      </c>
      <c r="E2145" s="4">
        <v>239.87</v>
      </c>
      <c r="F2145" s="2" t="s">
        <v>14</v>
      </c>
      <c r="G2145" s="5">
        <v>42</v>
      </c>
      <c r="H2145" s="2" t="s">
        <v>15</v>
      </c>
      <c r="I2145" s="2" t="s">
        <v>43</v>
      </c>
      <c r="J2145" s="2" t="s">
        <v>49</v>
      </c>
      <c r="K2145" s="2" t="s">
        <v>22</v>
      </c>
    </row>
    <row r="2146" spans="1:11" x14ac:dyDescent="0.3">
      <c r="A2146" s="2" t="s">
        <v>2533</v>
      </c>
      <c r="B2146" s="2" t="s">
        <v>1859</v>
      </c>
      <c r="C2146" s="3">
        <v>45794.50277777778</v>
      </c>
      <c r="D2146" s="2" t="s">
        <v>28</v>
      </c>
      <c r="E2146" s="4">
        <v>14567.47</v>
      </c>
      <c r="F2146" s="2" t="s">
        <v>14</v>
      </c>
      <c r="G2146" s="5">
        <v>28</v>
      </c>
      <c r="H2146" s="2" t="s">
        <v>29</v>
      </c>
      <c r="I2146" s="2" t="s">
        <v>48</v>
      </c>
      <c r="J2146" s="2" t="s">
        <v>17</v>
      </c>
      <c r="K2146" s="2" t="s">
        <v>18</v>
      </c>
    </row>
    <row r="2147" spans="1:11" x14ac:dyDescent="0.3">
      <c r="A2147" s="2" t="s">
        <v>2534</v>
      </c>
      <c r="B2147" s="2" t="s">
        <v>619</v>
      </c>
      <c r="C2147" s="3">
        <v>45936.632638888892</v>
      </c>
      <c r="D2147" s="2" t="s">
        <v>33</v>
      </c>
      <c r="E2147" s="4">
        <v>9026.5300000000007</v>
      </c>
      <c r="F2147" s="2" t="s">
        <v>14</v>
      </c>
      <c r="G2147" s="5">
        <v>51</v>
      </c>
      <c r="H2147" s="2" t="s">
        <v>15</v>
      </c>
      <c r="I2147" s="2" t="s">
        <v>34</v>
      </c>
      <c r="J2147" s="2" t="s">
        <v>17</v>
      </c>
      <c r="K2147" s="2" t="s">
        <v>18</v>
      </c>
    </row>
    <row r="2148" spans="1:11" x14ac:dyDescent="0.3">
      <c r="A2148" s="2" t="s">
        <v>2535</v>
      </c>
      <c r="B2148" s="2" t="s">
        <v>338</v>
      </c>
      <c r="C2148" s="3">
        <v>45756.369444444441</v>
      </c>
      <c r="D2148" s="2" t="s">
        <v>33</v>
      </c>
      <c r="E2148" s="4">
        <v>3531.48</v>
      </c>
      <c r="F2148" s="2" t="s">
        <v>14</v>
      </c>
      <c r="G2148" s="5">
        <v>31</v>
      </c>
      <c r="H2148" s="2" t="s">
        <v>15</v>
      </c>
      <c r="I2148" s="2" t="s">
        <v>30</v>
      </c>
      <c r="J2148" s="2" t="s">
        <v>49</v>
      </c>
      <c r="K2148" s="2" t="s">
        <v>45</v>
      </c>
    </row>
    <row r="2149" spans="1:11" x14ac:dyDescent="0.3">
      <c r="A2149" s="2" t="s">
        <v>2536</v>
      </c>
      <c r="B2149" s="2" t="s">
        <v>377</v>
      </c>
      <c r="C2149" s="3">
        <v>45853.004861111112</v>
      </c>
      <c r="D2149" s="2" t="s">
        <v>28</v>
      </c>
      <c r="E2149" s="4">
        <v>10622.12</v>
      </c>
      <c r="F2149" s="2" t="s">
        <v>14</v>
      </c>
      <c r="G2149" s="5">
        <v>39</v>
      </c>
      <c r="H2149" s="2" t="s">
        <v>15</v>
      </c>
      <c r="I2149" s="2" t="s">
        <v>43</v>
      </c>
      <c r="J2149" s="2" t="s">
        <v>17</v>
      </c>
      <c r="K2149" s="2" t="s">
        <v>18</v>
      </c>
    </row>
    <row r="2150" spans="1:11" x14ac:dyDescent="0.3">
      <c r="A2150" s="2" t="s">
        <v>2537</v>
      </c>
      <c r="B2150" s="2" t="s">
        <v>949</v>
      </c>
      <c r="C2150" s="3">
        <v>45785.53402777778</v>
      </c>
      <c r="D2150" s="2" t="s">
        <v>28</v>
      </c>
      <c r="E2150" s="4">
        <v>12393.12</v>
      </c>
      <c r="F2150" s="2" t="s">
        <v>14</v>
      </c>
      <c r="G2150" s="5">
        <v>45</v>
      </c>
      <c r="H2150" s="2" t="s">
        <v>29</v>
      </c>
      <c r="I2150" s="2" t="s">
        <v>34</v>
      </c>
      <c r="J2150" s="2" t="s">
        <v>17</v>
      </c>
      <c r="K2150" s="2" t="s">
        <v>45</v>
      </c>
    </row>
    <row r="2151" spans="1:11" x14ac:dyDescent="0.3">
      <c r="A2151" s="2" t="s">
        <v>2538</v>
      </c>
      <c r="B2151" s="2" t="s">
        <v>256</v>
      </c>
      <c r="C2151" s="3">
        <v>45884.324305555558</v>
      </c>
      <c r="D2151" s="2" t="s">
        <v>28</v>
      </c>
      <c r="E2151" s="4">
        <v>23048.36</v>
      </c>
      <c r="F2151" s="2" t="s">
        <v>14</v>
      </c>
      <c r="G2151" s="5">
        <v>26</v>
      </c>
      <c r="H2151" s="2" t="s">
        <v>29</v>
      </c>
      <c r="I2151" s="2" t="s">
        <v>78</v>
      </c>
      <c r="J2151" s="2" t="s">
        <v>17</v>
      </c>
      <c r="K2151" s="2" t="s">
        <v>18</v>
      </c>
    </row>
    <row r="2152" spans="1:11" x14ac:dyDescent="0.3">
      <c r="A2152" s="2" t="s">
        <v>2539</v>
      </c>
      <c r="B2152" s="2" t="s">
        <v>62</v>
      </c>
      <c r="C2152" s="3">
        <v>45675.270138888889</v>
      </c>
      <c r="D2152" s="2" t="s">
        <v>28</v>
      </c>
      <c r="E2152" s="4">
        <v>8052.96</v>
      </c>
      <c r="F2152" s="2" t="s">
        <v>14</v>
      </c>
      <c r="G2152" s="5">
        <v>32</v>
      </c>
      <c r="H2152" s="2" t="s">
        <v>29</v>
      </c>
      <c r="I2152" s="2" t="s">
        <v>25</v>
      </c>
      <c r="J2152" s="2" t="s">
        <v>17</v>
      </c>
      <c r="K2152" s="2" t="s">
        <v>18</v>
      </c>
    </row>
    <row r="2153" spans="1:11" x14ac:dyDescent="0.3">
      <c r="A2153" s="2" t="s">
        <v>2540</v>
      </c>
      <c r="B2153" s="2" t="s">
        <v>716</v>
      </c>
      <c r="C2153" s="3">
        <v>45706.695833333331</v>
      </c>
      <c r="D2153" s="2" t="s">
        <v>38</v>
      </c>
      <c r="E2153" s="4">
        <v>862.41</v>
      </c>
      <c r="F2153" s="2" t="s">
        <v>14</v>
      </c>
      <c r="G2153" s="5">
        <v>33</v>
      </c>
      <c r="H2153" s="2" t="s">
        <v>15</v>
      </c>
      <c r="I2153" s="2" t="s">
        <v>34</v>
      </c>
      <c r="J2153" s="2" t="s">
        <v>49</v>
      </c>
      <c r="K2153" s="2" t="s">
        <v>22</v>
      </c>
    </row>
    <row r="2154" spans="1:11" x14ac:dyDescent="0.3">
      <c r="A2154" s="2" t="s">
        <v>2541</v>
      </c>
      <c r="B2154" s="2" t="s">
        <v>798</v>
      </c>
      <c r="C2154" s="3">
        <v>45764.64166666667</v>
      </c>
      <c r="D2154" s="2" t="s">
        <v>13</v>
      </c>
      <c r="E2154" s="4">
        <v>943.67</v>
      </c>
      <c r="F2154" s="2" t="s">
        <v>14</v>
      </c>
      <c r="G2154" s="5">
        <v>22</v>
      </c>
      <c r="H2154" s="2" t="s">
        <v>29</v>
      </c>
      <c r="I2154" s="2" t="s">
        <v>25</v>
      </c>
      <c r="J2154" s="2" t="s">
        <v>49</v>
      </c>
      <c r="K2154" s="2" t="s">
        <v>18</v>
      </c>
    </row>
    <row r="2155" spans="1:11" x14ac:dyDescent="0.3">
      <c r="A2155" s="2" t="s">
        <v>2542</v>
      </c>
      <c r="B2155" s="2" t="s">
        <v>772</v>
      </c>
      <c r="C2155" s="3">
        <v>46006.415972222218</v>
      </c>
      <c r="D2155" s="2" t="s">
        <v>13</v>
      </c>
      <c r="E2155" s="4">
        <v>513.83000000000004</v>
      </c>
      <c r="F2155" s="2" t="s">
        <v>14</v>
      </c>
      <c r="G2155" s="5">
        <v>31</v>
      </c>
      <c r="H2155" s="2" t="s">
        <v>15</v>
      </c>
      <c r="I2155" s="2" t="s">
        <v>34</v>
      </c>
      <c r="J2155" s="2" t="s">
        <v>52</v>
      </c>
      <c r="K2155" s="2" t="s">
        <v>18</v>
      </c>
    </row>
    <row r="2156" spans="1:11" x14ac:dyDescent="0.3">
      <c r="A2156" s="2" t="s">
        <v>2543</v>
      </c>
      <c r="B2156" s="2" t="s">
        <v>47</v>
      </c>
      <c r="C2156" s="3">
        <v>45823.236111111109</v>
      </c>
      <c r="D2156" s="2" t="s">
        <v>28</v>
      </c>
      <c r="E2156" s="4">
        <v>36612.15</v>
      </c>
      <c r="F2156" s="2" t="s">
        <v>14</v>
      </c>
      <c r="G2156" s="5">
        <v>53</v>
      </c>
      <c r="H2156" s="2" t="s">
        <v>15</v>
      </c>
      <c r="I2156" s="2" t="s">
        <v>48</v>
      </c>
      <c r="J2156" s="2" t="s">
        <v>49</v>
      </c>
      <c r="K2156" s="2" t="s">
        <v>18</v>
      </c>
    </row>
    <row r="2157" spans="1:11" x14ac:dyDescent="0.3">
      <c r="A2157" s="2" t="s">
        <v>2544</v>
      </c>
      <c r="B2157" s="2" t="s">
        <v>837</v>
      </c>
      <c r="C2157" s="3">
        <v>45679.999305555553</v>
      </c>
      <c r="D2157" s="2" t="s">
        <v>28</v>
      </c>
      <c r="E2157" s="4">
        <v>42292.99</v>
      </c>
      <c r="F2157" s="2" t="s">
        <v>14</v>
      </c>
      <c r="G2157" s="5">
        <v>37</v>
      </c>
      <c r="H2157" s="2" t="s">
        <v>15</v>
      </c>
      <c r="I2157" s="2" t="s">
        <v>78</v>
      </c>
      <c r="J2157" s="2" t="s">
        <v>17</v>
      </c>
      <c r="K2157" s="2" t="s">
        <v>35</v>
      </c>
    </row>
    <row r="2158" spans="1:11" x14ac:dyDescent="0.3">
      <c r="A2158" s="2" t="s">
        <v>2545</v>
      </c>
      <c r="B2158" s="2" t="s">
        <v>1457</v>
      </c>
      <c r="C2158" s="3">
        <v>45939.671527777777</v>
      </c>
      <c r="D2158" s="2" t="s">
        <v>28</v>
      </c>
      <c r="E2158" s="4">
        <v>2429.7199999999998</v>
      </c>
      <c r="F2158" s="2" t="s">
        <v>14</v>
      </c>
      <c r="G2158" s="5">
        <v>37</v>
      </c>
      <c r="H2158" s="2" t="s">
        <v>15</v>
      </c>
      <c r="I2158" s="2" t="s">
        <v>43</v>
      </c>
      <c r="J2158" s="2" t="s">
        <v>17</v>
      </c>
      <c r="K2158" s="2" t="s">
        <v>18</v>
      </c>
    </row>
    <row r="2159" spans="1:11" x14ac:dyDescent="0.3">
      <c r="A2159" s="2" t="s">
        <v>2546</v>
      </c>
      <c r="B2159" s="2" t="s">
        <v>117</v>
      </c>
      <c r="C2159" s="3">
        <v>45787.652777777781</v>
      </c>
      <c r="D2159" s="2" t="s">
        <v>28</v>
      </c>
      <c r="E2159" s="4">
        <v>56300.91</v>
      </c>
      <c r="F2159" s="2" t="s">
        <v>14</v>
      </c>
      <c r="G2159" s="5">
        <v>47</v>
      </c>
      <c r="H2159" s="2" t="s">
        <v>29</v>
      </c>
      <c r="I2159" s="2" t="s">
        <v>34</v>
      </c>
      <c r="J2159" s="2" t="s">
        <v>17</v>
      </c>
      <c r="K2159" s="2" t="s">
        <v>18</v>
      </c>
    </row>
    <row r="2160" spans="1:11" x14ac:dyDescent="0.3">
      <c r="A2160" s="2" t="s">
        <v>2547</v>
      </c>
      <c r="B2160" s="2" t="s">
        <v>374</v>
      </c>
      <c r="C2160" s="3">
        <v>45810.265972222223</v>
      </c>
      <c r="D2160" s="2" t="s">
        <v>13</v>
      </c>
      <c r="E2160" s="4">
        <v>713.58</v>
      </c>
      <c r="F2160" s="2" t="s">
        <v>14</v>
      </c>
      <c r="G2160" s="5">
        <v>28</v>
      </c>
      <c r="H2160" s="2" t="s">
        <v>29</v>
      </c>
      <c r="I2160" s="2" t="s">
        <v>21</v>
      </c>
      <c r="J2160" s="2" t="s">
        <v>17</v>
      </c>
      <c r="K2160" s="2" t="s">
        <v>18</v>
      </c>
    </row>
    <row r="2161" spans="1:11" x14ac:dyDescent="0.3">
      <c r="A2161" s="2" t="s">
        <v>2548</v>
      </c>
      <c r="B2161" s="2" t="s">
        <v>148</v>
      </c>
      <c r="C2161" s="3">
        <v>45684.884027777778</v>
      </c>
      <c r="D2161" s="2" t="s">
        <v>13</v>
      </c>
      <c r="E2161" s="4">
        <v>884.57</v>
      </c>
      <c r="F2161" s="2" t="s">
        <v>14</v>
      </c>
      <c r="G2161" s="5">
        <v>56</v>
      </c>
      <c r="H2161" s="2" t="s">
        <v>29</v>
      </c>
      <c r="I2161" s="2" t="s">
        <v>43</v>
      </c>
      <c r="J2161" s="2" t="s">
        <v>17</v>
      </c>
      <c r="K2161" s="2" t="s">
        <v>18</v>
      </c>
    </row>
    <row r="2162" spans="1:11" x14ac:dyDescent="0.3">
      <c r="A2162" s="2" t="s">
        <v>2549</v>
      </c>
      <c r="B2162" s="2" t="s">
        <v>228</v>
      </c>
      <c r="C2162" s="3">
        <v>45715.319444444453</v>
      </c>
      <c r="D2162" s="2" t="s">
        <v>28</v>
      </c>
      <c r="E2162" s="4">
        <v>11927.96</v>
      </c>
      <c r="F2162" s="2" t="s">
        <v>14</v>
      </c>
      <c r="G2162" s="5">
        <v>45</v>
      </c>
      <c r="H2162" s="2" t="s">
        <v>15</v>
      </c>
      <c r="I2162" s="2" t="s">
        <v>48</v>
      </c>
      <c r="J2162" s="2" t="s">
        <v>44</v>
      </c>
      <c r="K2162" s="2" t="s">
        <v>45</v>
      </c>
    </row>
    <row r="2163" spans="1:11" x14ac:dyDescent="0.3">
      <c r="A2163" s="2" t="s">
        <v>2550</v>
      </c>
      <c r="B2163" s="2" t="s">
        <v>909</v>
      </c>
      <c r="C2163" s="3">
        <v>45880.416666666657</v>
      </c>
      <c r="D2163" s="2" t="s">
        <v>13</v>
      </c>
      <c r="E2163" s="4">
        <v>944.14</v>
      </c>
      <c r="F2163" s="2" t="s">
        <v>14</v>
      </c>
      <c r="G2163" s="5">
        <v>39</v>
      </c>
      <c r="H2163" s="2" t="s">
        <v>29</v>
      </c>
      <c r="I2163" s="2" t="s">
        <v>48</v>
      </c>
      <c r="J2163" s="2" t="s">
        <v>44</v>
      </c>
      <c r="K2163" s="2" t="s">
        <v>18</v>
      </c>
    </row>
    <row r="2164" spans="1:11" x14ac:dyDescent="0.3">
      <c r="A2164" s="2" t="s">
        <v>2551</v>
      </c>
      <c r="B2164" s="2" t="s">
        <v>872</v>
      </c>
      <c r="C2164" s="3">
        <v>45743.359027777777</v>
      </c>
      <c r="D2164" s="2" t="s">
        <v>38</v>
      </c>
      <c r="E2164" s="4">
        <v>4526.76</v>
      </c>
      <c r="F2164" s="2" t="s">
        <v>14</v>
      </c>
      <c r="G2164" s="5">
        <v>28</v>
      </c>
      <c r="H2164" s="2" t="s">
        <v>15</v>
      </c>
      <c r="I2164" s="2" t="s">
        <v>34</v>
      </c>
      <c r="J2164" s="2" t="s">
        <v>17</v>
      </c>
      <c r="K2164" s="2" t="s">
        <v>18</v>
      </c>
    </row>
    <row r="2165" spans="1:11" x14ac:dyDescent="0.3">
      <c r="A2165" s="2" t="s">
        <v>2552</v>
      </c>
      <c r="B2165" s="2" t="s">
        <v>662</v>
      </c>
      <c r="C2165" s="3">
        <v>45719.534722222219</v>
      </c>
      <c r="D2165" s="2" t="s">
        <v>28</v>
      </c>
      <c r="E2165" s="4">
        <v>16897.150000000001</v>
      </c>
      <c r="F2165" s="2" t="s">
        <v>14</v>
      </c>
      <c r="G2165" s="5">
        <v>45</v>
      </c>
      <c r="H2165" s="2" t="s">
        <v>15</v>
      </c>
      <c r="I2165" s="2" t="s">
        <v>34</v>
      </c>
      <c r="J2165" s="2" t="s">
        <v>52</v>
      </c>
      <c r="K2165" s="2" t="s">
        <v>18</v>
      </c>
    </row>
    <row r="2166" spans="1:11" x14ac:dyDescent="0.3">
      <c r="A2166" s="2" t="s">
        <v>2553</v>
      </c>
      <c r="B2166" s="2" t="s">
        <v>194</v>
      </c>
      <c r="C2166" s="3">
        <v>45782.001388888893</v>
      </c>
      <c r="D2166" s="2" t="s">
        <v>13</v>
      </c>
      <c r="E2166" s="4">
        <v>1702.37</v>
      </c>
      <c r="F2166" s="2" t="s">
        <v>14</v>
      </c>
      <c r="G2166" s="5">
        <v>31</v>
      </c>
      <c r="H2166" s="2" t="s">
        <v>29</v>
      </c>
      <c r="I2166" s="2" t="s">
        <v>16</v>
      </c>
      <c r="J2166" s="2" t="s">
        <v>17</v>
      </c>
      <c r="K2166" s="2" t="s">
        <v>18</v>
      </c>
    </row>
    <row r="2167" spans="1:11" x14ac:dyDescent="0.3">
      <c r="A2167" s="2" t="s">
        <v>2554</v>
      </c>
      <c r="B2167" s="2" t="s">
        <v>262</v>
      </c>
      <c r="C2167" s="3">
        <v>45955.9375</v>
      </c>
      <c r="D2167" s="2" t="s">
        <v>28</v>
      </c>
      <c r="E2167" s="4">
        <v>23690.74</v>
      </c>
      <c r="F2167" s="2" t="s">
        <v>14</v>
      </c>
      <c r="G2167" s="5">
        <v>50</v>
      </c>
      <c r="H2167" s="2" t="s">
        <v>29</v>
      </c>
      <c r="I2167" s="2" t="s">
        <v>60</v>
      </c>
      <c r="J2167" s="2" t="s">
        <v>49</v>
      </c>
      <c r="K2167" s="2" t="s">
        <v>18</v>
      </c>
    </row>
    <row r="2168" spans="1:11" x14ac:dyDescent="0.3">
      <c r="A2168" s="2" t="s">
        <v>2555</v>
      </c>
      <c r="B2168" s="2" t="s">
        <v>163</v>
      </c>
      <c r="C2168" s="3">
        <v>46010.79791666667</v>
      </c>
      <c r="D2168" s="2" t="s">
        <v>33</v>
      </c>
      <c r="E2168" s="4">
        <v>8073.57</v>
      </c>
      <c r="F2168" s="2" t="s">
        <v>14</v>
      </c>
      <c r="G2168" s="5">
        <v>31</v>
      </c>
      <c r="H2168" s="2" t="s">
        <v>29</v>
      </c>
      <c r="I2168" s="2" t="s">
        <v>25</v>
      </c>
      <c r="J2168" s="2" t="s">
        <v>49</v>
      </c>
      <c r="K2168" s="2" t="s">
        <v>18</v>
      </c>
    </row>
    <row r="2169" spans="1:11" x14ac:dyDescent="0.3">
      <c r="A2169" s="2" t="s">
        <v>2556</v>
      </c>
      <c r="B2169" s="2" t="s">
        <v>551</v>
      </c>
      <c r="C2169" s="3">
        <v>45848.09375</v>
      </c>
      <c r="D2169" s="2" t="s">
        <v>28</v>
      </c>
      <c r="E2169" s="4">
        <v>19646.080000000002</v>
      </c>
      <c r="F2169" s="2" t="s">
        <v>14</v>
      </c>
      <c r="G2169" s="5">
        <v>32</v>
      </c>
      <c r="H2169" s="2" t="s">
        <v>15</v>
      </c>
      <c r="I2169" s="2" t="s">
        <v>34</v>
      </c>
      <c r="J2169" s="2" t="s">
        <v>44</v>
      </c>
      <c r="K2169" s="2" t="s">
        <v>18</v>
      </c>
    </row>
    <row r="2170" spans="1:11" x14ac:dyDescent="0.3">
      <c r="A2170" s="2" t="s">
        <v>2557</v>
      </c>
      <c r="B2170" s="2" t="s">
        <v>1387</v>
      </c>
      <c r="C2170" s="3">
        <v>45738.628472222219</v>
      </c>
      <c r="D2170" s="2" t="s">
        <v>28</v>
      </c>
      <c r="E2170" s="4">
        <v>11774.43</v>
      </c>
      <c r="F2170" s="2" t="s">
        <v>14</v>
      </c>
      <c r="G2170" s="5">
        <v>29</v>
      </c>
      <c r="H2170" s="2" t="s">
        <v>29</v>
      </c>
      <c r="I2170" s="2" t="s">
        <v>25</v>
      </c>
      <c r="J2170" s="2" t="s">
        <v>17</v>
      </c>
      <c r="K2170" s="2" t="s">
        <v>45</v>
      </c>
    </row>
    <row r="2171" spans="1:11" x14ac:dyDescent="0.3">
      <c r="A2171" s="2" t="s">
        <v>2558</v>
      </c>
      <c r="B2171" s="2" t="s">
        <v>132</v>
      </c>
      <c r="C2171" s="3">
        <v>46009.806250000001</v>
      </c>
      <c r="D2171" s="2" t="s">
        <v>33</v>
      </c>
      <c r="E2171" s="4">
        <v>4847.16</v>
      </c>
      <c r="F2171" s="2" t="s">
        <v>14</v>
      </c>
      <c r="G2171" s="5">
        <v>20</v>
      </c>
      <c r="H2171" s="2" t="s">
        <v>15</v>
      </c>
      <c r="I2171" s="2" t="s">
        <v>43</v>
      </c>
      <c r="J2171" s="2" t="s">
        <v>17</v>
      </c>
      <c r="K2171" s="2" t="s">
        <v>18</v>
      </c>
    </row>
    <row r="2172" spans="1:11" x14ac:dyDescent="0.3">
      <c r="A2172" s="2" t="s">
        <v>2559</v>
      </c>
      <c r="B2172" s="2" t="s">
        <v>872</v>
      </c>
      <c r="C2172" s="3">
        <v>45978.043749999997</v>
      </c>
      <c r="D2172" s="2" t="s">
        <v>28</v>
      </c>
      <c r="E2172" s="4">
        <v>36263.64</v>
      </c>
      <c r="F2172" s="2" t="s">
        <v>14</v>
      </c>
      <c r="G2172" s="5">
        <v>28</v>
      </c>
      <c r="H2172" s="2" t="s">
        <v>15</v>
      </c>
      <c r="I2172" s="2" t="s">
        <v>34</v>
      </c>
      <c r="J2172" s="2" t="s">
        <v>17</v>
      </c>
      <c r="K2172" s="2" t="s">
        <v>18</v>
      </c>
    </row>
    <row r="2173" spans="1:11" x14ac:dyDescent="0.3">
      <c r="A2173" s="2" t="s">
        <v>2560</v>
      </c>
      <c r="B2173" s="2" t="s">
        <v>142</v>
      </c>
      <c r="C2173" s="3">
        <v>45840.839583333327</v>
      </c>
      <c r="D2173" s="2" t="s">
        <v>28</v>
      </c>
      <c r="E2173" s="4">
        <v>33497.75</v>
      </c>
      <c r="F2173" s="2" t="s">
        <v>57</v>
      </c>
      <c r="G2173" s="5">
        <v>49</v>
      </c>
      <c r="H2173" s="2" t="s">
        <v>29</v>
      </c>
      <c r="I2173" s="2" t="s">
        <v>34</v>
      </c>
      <c r="J2173" s="2" t="s">
        <v>17</v>
      </c>
      <c r="K2173" s="2" t="s">
        <v>18</v>
      </c>
    </row>
    <row r="2174" spans="1:11" x14ac:dyDescent="0.3">
      <c r="A2174" s="2" t="s">
        <v>2561</v>
      </c>
      <c r="B2174" s="2" t="s">
        <v>524</v>
      </c>
      <c r="C2174" s="3">
        <v>46017.743055555547</v>
      </c>
      <c r="D2174" s="2" t="s">
        <v>28</v>
      </c>
      <c r="E2174" s="4">
        <v>6456.66</v>
      </c>
      <c r="F2174" s="2" t="s">
        <v>14</v>
      </c>
      <c r="G2174" s="5">
        <v>42</v>
      </c>
      <c r="H2174" s="2" t="s">
        <v>15</v>
      </c>
      <c r="I2174" s="2" t="s">
        <v>34</v>
      </c>
      <c r="J2174" s="2" t="s">
        <v>52</v>
      </c>
      <c r="K2174" s="2" t="s">
        <v>18</v>
      </c>
    </row>
    <row r="2175" spans="1:11" x14ac:dyDescent="0.3">
      <c r="A2175" s="2" t="s">
        <v>2562</v>
      </c>
      <c r="B2175" s="2" t="s">
        <v>446</v>
      </c>
      <c r="C2175" s="3">
        <v>45712.188194444447</v>
      </c>
      <c r="D2175" s="2" t="s">
        <v>28</v>
      </c>
      <c r="E2175" s="4">
        <v>5358.98</v>
      </c>
      <c r="F2175" s="2" t="s">
        <v>14</v>
      </c>
      <c r="G2175" s="5">
        <v>35</v>
      </c>
      <c r="H2175" s="2" t="s">
        <v>15</v>
      </c>
      <c r="I2175" s="2" t="s">
        <v>16</v>
      </c>
      <c r="J2175" s="2" t="s">
        <v>17</v>
      </c>
      <c r="K2175" s="2" t="s">
        <v>18</v>
      </c>
    </row>
    <row r="2176" spans="1:11" x14ac:dyDescent="0.3">
      <c r="A2176" s="2" t="s">
        <v>2563</v>
      </c>
      <c r="B2176" s="2" t="s">
        <v>603</v>
      </c>
      <c r="C2176" s="3">
        <v>45777.440972222219</v>
      </c>
      <c r="D2176" s="2" t="s">
        <v>33</v>
      </c>
      <c r="E2176" s="4">
        <v>28306.080000000002</v>
      </c>
      <c r="F2176" s="2" t="s">
        <v>14</v>
      </c>
      <c r="G2176" s="5">
        <v>49</v>
      </c>
      <c r="H2176" s="2" t="s">
        <v>15</v>
      </c>
      <c r="I2176" s="2" t="s">
        <v>34</v>
      </c>
      <c r="J2176" s="2" t="s">
        <v>17</v>
      </c>
      <c r="K2176" s="2" t="s">
        <v>18</v>
      </c>
    </row>
    <row r="2177" spans="1:11" x14ac:dyDescent="0.3">
      <c r="A2177" s="2" t="s">
        <v>2564</v>
      </c>
      <c r="B2177" s="2" t="s">
        <v>494</v>
      </c>
      <c r="C2177" s="3">
        <v>45988.493750000001</v>
      </c>
      <c r="D2177" s="2" t="s">
        <v>28</v>
      </c>
      <c r="E2177" s="4">
        <v>56439.55</v>
      </c>
      <c r="F2177" s="2" t="s">
        <v>14</v>
      </c>
      <c r="G2177" s="5">
        <v>42</v>
      </c>
      <c r="H2177" s="2" t="s">
        <v>29</v>
      </c>
      <c r="I2177" s="2" t="s">
        <v>34</v>
      </c>
      <c r="J2177" s="2" t="s">
        <v>17</v>
      </c>
      <c r="K2177" s="2" t="s">
        <v>18</v>
      </c>
    </row>
    <row r="2178" spans="1:11" x14ac:dyDescent="0.3">
      <c r="A2178" s="2" t="s">
        <v>2565</v>
      </c>
      <c r="B2178" s="2" t="s">
        <v>181</v>
      </c>
      <c r="C2178" s="3">
        <v>45882.966666666667</v>
      </c>
      <c r="D2178" s="2" t="s">
        <v>154</v>
      </c>
      <c r="E2178" s="4">
        <v>5000</v>
      </c>
      <c r="F2178" s="2" t="s">
        <v>14</v>
      </c>
      <c r="G2178" s="5">
        <v>34</v>
      </c>
      <c r="H2178" s="2" t="s">
        <v>15</v>
      </c>
      <c r="I2178" s="2" t="s">
        <v>48</v>
      </c>
      <c r="J2178" s="2" t="s">
        <v>17</v>
      </c>
      <c r="K2178" s="2" t="s">
        <v>35</v>
      </c>
    </row>
    <row r="2179" spans="1:11" x14ac:dyDescent="0.3">
      <c r="A2179" s="2" t="s">
        <v>2566</v>
      </c>
      <c r="B2179" s="2" t="s">
        <v>781</v>
      </c>
      <c r="C2179" s="3">
        <v>45668.933333333327</v>
      </c>
      <c r="D2179" s="2" t="s">
        <v>13</v>
      </c>
      <c r="E2179" s="4">
        <v>734.07</v>
      </c>
      <c r="F2179" s="2" t="s">
        <v>14</v>
      </c>
      <c r="G2179" s="5">
        <v>45</v>
      </c>
      <c r="H2179" s="2" t="s">
        <v>29</v>
      </c>
      <c r="I2179" s="2" t="s">
        <v>78</v>
      </c>
      <c r="J2179" s="2" t="s">
        <v>17</v>
      </c>
      <c r="K2179" s="2" t="s">
        <v>18</v>
      </c>
    </row>
    <row r="2180" spans="1:11" x14ac:dyDescent="0.3">
      <c r="A2180" s="2" t="s">
        <v>2567</v>
      </c>
      <c r="B2180" s="2" t="s">
        <v>642</v>
      </c>
      <c r="C2180" s="3">
        <v>45841.963888888888</v>
      </c>
      <c r="D2180" s="2" t="s">
        <v>38</v>
      </c>
      <c r="E2180" s="4">
        <v>15610.94</v>
      </c>
      <c r="F2180" s="2" t="s">
        <v>14</v>
      </c>
      <c r="G2180" s="5">
        <v>23</v>
      </c>
      <c r="H2180" s="2" t="s">
        <v>29</v>
      </c>
      <c r="I2180" s="2" t="s">
        <v>16</v>
      </c>
      <c r="J2180" s="2" t="s">
        <v>44</v>
      </c>
      <c r="K2180" s="2" t="s">
        <v>45</v>
      </c>
    </row>
    <row r="2181" spans="1:11" x14ac:dyDescent="0.3">
      <c r="A2181" s="2" t="s">
        <v>2568</v>
      </c>
      <c r="B2181" s="2" t="s">
        <v>380</v>
      </c>
      <c r="C2181" s="3">
        <v>45786.063194444447</v>
      </c>
      <c r="D2181" s="2" t="s">
        <v>28</v>
      </c>
      <c r="E2181" s="4">
        <v>22027.89</v>
      </c>
      <c r="F2181" s="2" t="s">
        <v>14</v>
      </c>
      <c r="G2181" s="5">
        <v>32</v>
      </c>
      <c r="H2181" s="2" t="s">
        <v>29</v>
      </c>
      <c r="I2181" s="2" t="s">
        <v>34</v>
      </c>
      <c r="J2181" s="2" t="s">
        <v>17</v>
      </c>
      <c r="K2181" s="2" t="s">
        <v>18</v>
      </c>
    </row>
    <row r="2182" spans="1:11" x14ac:dyDescent="0.3">
      <c r="A2182" s="2" t="s">
        <v>2569</v>
      </c>
      <c r="B2182" s="2" t="s">
        <v>69</v>
      </c>
      <c r="C2182" s="3">
        <v>46019.607638888891</v>
      </c>
      <c r="D2182" s="2" t="s">
        <v>28</v>
      </c>
      <c r="E2182" s="4">
        <v>5954.13</v>
      </c>
      <c r="F2182" s="2" t="s">
        <v>14</v>
      </c>
      <c r="G2182" s="5">
        <v>42</v>
      </c>
      <c r="H2182" s="2" t="s">
        <v>15</v>
      </c>
      <c r="I2182" s="2" t="s">
        <v>34</v>
      </c>
      <c r="J2182" s="2" t="s">
        <v>44</v>
      </c>
      <c r="K2182" s="2" t="s">
        <v>18</v>
      </c>
    </row>
    <row r="2183" spans="1:11" x14ac:dyDescent="0.3">
      <c r="A2183" s="2" t="s">
        <v>2570</v>
      </c>
      <c r="B2183" s="2" t="s">
        <v>357</v>
      </c>
      <c r="C2183" s="3">
        <v>45808.738888888889</v>
      </c>
      <c r="D2183" s="2" t="s">
        <v>38</v>
      </c>
      <c r="E2183" s="4">
        <v>4924.97</v>
      </c>
      <c r="F2183" s="2" t="s">
        <v>122</v>
      </c>
      <c r="G2183" s="5">
        <v>57</v>
      </c>
      <c r="H2183" s="2" t="s">
        <v>15</v>
      </c>
      <c r="I2183" s="2" t="s">
        <v>16</v>
      </c>
      <c r="J2183" s="2" t="s">
        <v>44</v>
      </c>
      <c r="K2183" s="2" t="s">
        <v>18</v>
      </c>
    </row>
    <row r="2184" spans="1:11" x14ac:dyDescent="0.3">
      <c r="A2184" s="2" t="s">
        <v>2571</v>
      </c>
      <c r="B2184" s="2" t="s">
        <v>593</v>
      </c>
      <c r="C2184" s="3">
        <v>45908.275000000001</v>
      </c>
      <c r="D2184" s="2" t="s">
        <v>28</v>
      </c>
      <c r="E2184" s="4">
        <v>7805.97</v>
      </c>
      <c r="F2184" s="2" t="s">
        <v>14</v>
      </c>
      <c r="G2184" s="5">
        <v>33</v>
      </c>
      <c r="H2184" s="2" t="s">
        <v>15</v>
      </c>
      <c r="I2184" s="2" t="s">
        <v>43</v>
      </c>
      <c r="J2184" s="2" t="s">
        <v>17</v>
      </c>
      <c r="K2184" s="2" t="s">
        <v>18</v>
      </c>
    </row>
    <row r="2185" spans="1:11" x14ac:dyDescent="0.3">
      <c r="A2185" s="2" t="s">
        <v>2572</v>
      </c>
      <c r="B2185" s="2" t="s">
        <v>86</v>
      </c>
      <c r="C2185" s="3">
        <v>45753.723611111112</v>
      </c>
      <c r="D2185" s="2" t="s">
        <v>28</v>
      </c>
      <c r="E2185" s="4">
        <v>33380.129999999997</v>
      </c>
      <c r="F2185" s="2" t="s">
        <v>122</v>
      </c>
      <c r="G2185" s="5">
        <v>41</v>
      </c>
      <c r="H2185" s="2" t="s">
        <v>29</v>
      </c>
      <c r="I2185" s="2" t="s">
        <v>60</v>
      </c>
      <c r="J2185" s="2" t="s">
        <v>17</v>
      </c>
      <c r="K2185" s="2" t="s">
        <v>22</v>
      </c>
    </row>
    <row r="2186" spans="1:11" x14ac:dyDescent="0.3">
      <c r="A2186" s="2" t="s">
        <v>2573</v>
      </c>
      <c r="B2186" s="2" t="s">
        <v>572</v>
      </c>
      <c r="C2186" s="3">
        <v>45823.978472222218</v>
      </c>
      <c r="D2186" s="2" t="s">
        <v>154</v>
      </c>
      <c r="E2186" s="4">
        <v>40000</v>
      </c>
      <c r="F2186" s="2" t="s">
        <v>14</v>
      </c>
      <c r="G2186" s="5">
        <v>57</v>
      </c>
      <c r="H2186" s="2" t="s">
        <v>15</v>
      </c>
      <c r="I2186" s="2" t="s">
        <v>95</v>
      </c>
      <c r="J2186" s="2" t="s">
        <v>17</v>
      </c>
      <c r="K2186" s="2" t="s">
        <v>45</v>
      </c>
    </row>
    <row r="2187" spans="1:11" x14ac:dyDescent="0.3">
      <c r="A2187" s="2" t="s">
        <v>2574</v>
      </c>
      <c r="B2187" s="2" t="s">
        <v>716</v>
      </c>
      <c r="C2187" s="3">
        <v>45798.831944444442</v>
      </c>
      <c r="D2187" s="2" t="s">
        <v>28</v>
      </c>
      <c r="E2187" s="4">
        <v>31094.27</v>
      </c>
      <c r="F2187" s="2" t="s">
        <v>14</v>
      </c>
      <c r="G2187" s="5">
        <v>33</v>
      </c>
      <c r="H2187" s="2" t="s">
        <v>15</v>
      </c>
      <c r="I2187" s="2" t="s">
        <v>34</v>
      </c>
      <c r="J2187" s="2" t="s">
        <v>49</v>
      </c>
      <c r="K2187" s="2" t="s">
        <v>45</v>
      </c>
    </row>
    <row r="2188" spans="1:11" x14ac:dyDescent="0.3">
      <c r="A2188" s="2" t="s">
        <v>2575</v>
      </c>
      <c r="B2188" s="2" t="s">
        <v>517</v>
      </c>
      <c r="C2188" s="3">
        <v>45941.211111111108</v>
      </c>
      <c r="D2188" s="2" t="s">
        <v>28</v>
      </c>
      <c r="E2188" s="4">
        <v>41827.33</v>
      </c>
      <c r="F2188" s="2" t="s">
        <v>14</v>
      </c>
      <c r="G2188" s="5">
        <v>34</v>
      </c>
      <c r="H2188" s="2" t="s">
        <v>15</v>
      </c>
      <c r="I2188" s="2" t="s">
        <v>48</v>
      </c>
      <c r="J2188" s="2" t="s">
        <v>17</v>
      </c>
      <c r="K2188" s="2" t="s">
        <v>22</v>
      </c>
    </row>
    <row r="2189" spans="1:11" x14ac:dyDescent="0.3">
      <c r="A2189" s="2" t="s">
        <v>2576</v>
      </c>
      <c r="B2189" s="2" t="s">
        <v>449</v>
      </c>
      <c r="C2189" s="3">
        <v>45929.186111111107</v>
      </c>
      <c r="D2189" s="2" t="s">
        <v>13</v>
      </c>
      <c r="E2189" s="4">
        <v>1518.84</v>
      </c>
      <c r="F2189" s="2" t="s">
        <v>14</v>
      </c>
      <c r="G2189" s="5">
        <v>44</v>
      </c>
      <c r="H2189" s="2" t="s">
        <v>29</v>
      </c>
      <c r="I2189" s="2" t="s">
        <v>34</v>
      </c>
      <c r="J2189" s="2" t="s">
        <v>52</v>
      </c>
      <c r="K2189" s="2" t="s">
        <v>45</v>
      </c>
    </row>
    <row r="2190" spans="1:11" x14ac:dyDescent="0.3">
      <c r="A2190" s="2" t="s">
        <v>2577</v>
      </c>
      <c r="B2190" s="2" t="s">
        <v>631</v>
      </c>
      <c r="C2190" s="3">
        <v>45809.356944444437</v>
      </c>
      <c r="D2190" s="2" t="s">
        <v>33</v>
      </c>
      <c r="E2190" s="4">
        <v>908</v>
      </c>
      <c r="F2190" s="2" t="s">
        <v>14</v>
      </c>
      <c r="G2190" s="5">
        <v>27</v>
      </c>
      <c r="H2190" s="2" t="s">
        <v>29</v>
      </c>
      <c r="I2190" s="2" t="s">
        <v>34</v>
      </c>
      <c r="J2190" s="2" t="s">
        <v>17</v>
      </c>
      <c r="K2190" s="2" t="s">
        <v>22</v>
      </c>
    </row>
    <row r="2191" spans="1:11" x14ac:dyDescent="0.3">
      <c r="A2191" s="2" t="s">
        <v>2578</v>
      </c>
      <c r="B2191" s="2" t="s">
        <v>317</v>
      </c>
      <c r="C2191" s="3">
        <v>45845.583333333343</v>
      </c>
      <c r="D2191" s="2" t="s">
        <v>13</v>
      </c>
      <c r="E2191" s="4">
        <v>2650.66</v>
      </c>
      <c r="F2191" s="2" t="s">
        <v>14</v>
      </c>
      <c r="G2191" s="5">
        <v>55</v>
      </c>
      <c r="H2191" s="2" t="s">
        <v>15</v>
      </c>
      <c r="I2191" s="2" t="s">
        <v>34</v>
      </c>
      <c r="J2191" s="2" t="s">
        <v>49</v>
      </c>
      <c r="K2191" s="2" t="s">
        <v>45</v>
      </c>
    </row>
    <row r="2192" spans="1:11" x14ac:dyDescent="0.3">
      <c r="A2192" s="2" t="s">
        <v>2579</v>
      </c>
      <c r="B2192" s="2" t="s">
        <v>236</v>
      </c>
      <c r="C2192" s="3">
        <v>45984.683333333327</v>
      </c>
      <c r="D2192" s="2" t="s">
        <v>13</v>
      </c>
      <c r="E2192" s="4">
        <v>2914.85</v>
      </c>
      <c r="F2192" s="2" t="s">
        <v>14</v>
      </c>
      <c r="G2192" s="5">
        <v>27</v>
      </c>
      <c r="H2192" s="2" t="s">
        <v>29</v>
      </c>
      <c r="I2192" s="2" t="s">
        <v>34</v>
      </c>
      <c r="J2192" s="2" t="s">
        <v>17</v>
      </c>
      <c r="K2192" s="2" t="s">
        <v>45</v>
      </c>
    </row>
    <row r="2193" spans="1:11" x14ac:dyDescent="0.3">
      <c r="A2193" s="2" t="s">
        <v>2580</v>
      </c>
      <c r="B2193" s="2" t="s">
        <v>277</v>
      </c>
      <c r="C2193" s="3">
        <v>45752.027083333327</v>
      </c>
      <c r="D2193" s="2" t="s">
        <v>13</v>
      </c>
      <c r="E2193" s="4">
        <v>1232.02</v>
      </c>
      <c r="F2193" s="2" t="s">
        <v>57</v>
      </c>
      <c r="G2193" s="5">
        <v>50</v>
      </c>
      <c r="H2193" s="2" t="s">
        <v>15</v>
      </c>
      <c r="I2193" s="2" t="s">
        <v>21</v>
      </c>
      <c r="J2193" s="2" t="s">
        <v>44</v>
      </c>
      <c r="K2193" s="2" t="s">
        <v>45</v>
      </c>
    </row>
    <row r="2194" spans="1:11" x14ac:dyDescent="0.3">
      <c r="A2194" s="2" t="s">
        <v>2581</v>
      </c>
      <c r="B2194" s="2" t="s">
        <v>2037</v>
      </c>
      <c r="C2194" s="3">
        <v>45844.802083333343</v>
      </c>
      <c r="D2194" s="2" t="s">
        <v>33</v>
      </c>
      <c r="E2194" s="4">
        <v>17373.05</v>
      </c>
      <c r="F2194" s="2" t="s">
        <v>14</v>
      </c>
      <c r="G2194" s="5">
        <v>46</v>
      </c>
      <c r="H2194" s="2" t="s">
        <v>29</v>
      </c>
      <c r="I2194" s="2" t="s">
        <v>60</v>
      </c>
      <c r="J2194" s="2" t="s">
        <v>17</v>
      </c>
      <c r="K2194" s="2" t="s">
        <v>18</v>
      </c>
    </row>
    <row r="2195" spans="1:11" x14ac:dyDescent="0.3">
      <c r="A2195" s="2" t="s">
        <v>2582</v>
      </c>
      <c r="B2195" s="2" t="s">
        <v>111</v>
      </c>
      <c r="C2195" s="3">
        <v>45822.961111111108</v>
      </c>
      <c r="D2195" s="2" t="s">
        <v>33</v>
      </c>
      <c r="E2195" s="4">
        <v>59863.46</v>
      </c>
      <c r="F2195" s="2" t="s">
        <v>14</v>
      </c>
      <c r="G2195" s="5">
        <v>45</v>
      </c>
      <c r="H2195" s="2" t="s">
        <v>15</v>
      </c>
      <c r="I2195" s="2" t="s">
        <v>48</v>
      </c>
      <c r="J2195" s="2" t="s">
        <v>17</v>
      </c>
      <c r="K2195" s="2" t="s">
        <v>18</v>
      </c>
    </row>
    <row r="2196" spans="1:11" x14ac:dyDescent="0.3">
      <c r="A2196" s="2" t="s">
        <v>2583</v>
      </c>
      <c r="B2196" s="2" t="s">
        <v>722</v>
      </c>
      <c r="C2196" s="3">
        <v>45995.744444444441</v>
      </c>
      <c r="D2196" s="2" t="s">
        <v>28</v>
      </c>
      <c r="E2196" s="4">
        <v>15186.49</v>
      </c>
      <c r="F2196" s="2" t="s">
        <v>14</v>
      </c>
      <c r="G2196" s="5">
        <v>42</v>
      </c>
      <c r="H2196" s="2" t="s">
        <v>29</v>
      </c>
      <c r="I2196" s="2" t="s">
        <v>25</v>
      </c>
      <c r="J2196" s="2" t="s">
        <v>44</v>
      </c>
      <c r="K2196" s="2" t="s">
        <v>18</v>
      </c>
    </row>
    <row r="2197" spans="1:11" x14ac:dyDescent="0.3">
      <c r="A2197" s="2" t="s">
        <v>2584</v>
      </c>
      <c r="B2197" s="2" t="s">
        <v>1077</v>
      </c>
      <c r="C2197" s="3">
        <v>45856.272916666669</v>
      </c>
      <c r="D2197" s="2" t="s">
        <v>13</v>
      </c>
      <c r="E2197" s="4">
        <v>1238.99</v>
      </c>
      <c r="F2197" s="2" t="s">
        <v>14</v>
      </c>
      <c r="G2197" s="5">
        <v>30</v>
      </c>
      <c r="H2197" s="2" t="s">
        <v>29</v>
      </c>
      <c r="I2197" s="2" t="s">
        <v>60</v>
      </c>
      <c r="J2197" s="2" t="s">
        <v>49</v>
      </c>
      <c r="K2197" s="2" t="s">
        <v>45</v>
      </c>
    </row>
    <row r="2198" spans="1:11" x14ac:dyDescent="0.3">
      <c r="A2198" s="2" t="s">
        <v>2585</v>
      </c>
      <c r="B2198" s="2" t="s">
        <v>454</v>
      </c>
      <c r="C2198" s="3">
        <v>46007.65902777778</v>
      </c>
      <c r="D2198" s="2" t="s">
        <v>38</v>
      </c>
      <c r="E2198" s="4">
        <v>5451.36</v>
      </c>
      <c r="F2198" s="2" t="s">
        <v>14</v>
      </c>
      <c r="G2198" s="5">
        <v>35</v>
      </c>
      <c r="H2198" s="2" t="s">
        <v>15</v>
      </c>
      <c r="I2198" s="2" t="s">
        <v>21</v>
      </c>
      <c r="J2198" s="2" t="s">
        <v>17</v>
      </c>
      <c r="K2198" s="2" t="s">
        <v>18</v>
      </c>
    </row>
    <row r="2199" spans="1:11" x14ac:dyDescent="0.3">
      <c r="A2199" s="2" t="s">
        <v>2586</v>
      </c>
      <c r="B2199" s="2" t="s">
        <v>1290</v>
      </c>
      <c r="C2199" s="3">
        <v>45940.193749999999</v>
      </c>
      <c r="D2199" s="2" t="s">
        <v>33</v>
      </c>
      <c r="E2199" s="4">
        <v>3034.86</v>
      </c>
      <c r="F2199" s="2" t="s">
        <v>14</v>
      </c>
      <c r="G2199" s="5">
        <v>32</v>
      </c>
      <c r="H2199" s="2" t="s">
        <v>15</v>
      </c>
      <c r="I2199" s="2" t="s">
        <v>34</v>
      </c>
      <c r="J2199" s="2" t="s">
        <v>44</v>
      </c>
      <c r="K2199" s="2" t="s">
        <v>18</v>
      </c>
    </row>
    <row r="2200" spans="1:11" x14ac:dyDescent="0.3">
      <c r="A2200" s="2" t="s">
        <v>2587</v>
      </c>
      <c r="B2200" s="2" t="s">
        <v>654</v>
      </c>
      <c r="C2200" s="3">
        <v>45802.43472222222</v>
      </c>
      <c r="D2200" s="2" t="s">
        <v>13</v>
      </c>
      <c r="E2200" s="4">
        <v>704.18</v>
      </c>
      <c r="F2200" s="2" t="s">
        <v>14</v>
      </c>
      <c r="G2200" s="5">
        <v>55</v>
      </c>
      <c r="H2200" s="2" t="s">
        <v>15</v>
      </c>
      <c r="I2200" s="2" t="s">
        <v>30</v>
      </c>
      <c r="J2200" s="2" t="s">
        <v>44</v>
      </c>
      <c r="K2200" s="2" t="s">
        <v>18</v>
      </c>
    </row>
    <row r="2201" spans="1:11" x14ac:dyDescent="0.3">
      <c r="A2201" s="2" t="s">
        <v>2588</v>
      </c>
      <c r="B2201" s="2" t="s">
        <v>272</v>
      </c>
      <c r="C2201" s="3">
        <v>45986.421527777777</v>
      </c>
      <c r="D2201" s="2" t="s">
        <v>28</v>
      </c>
      <c r="E2201" s="4">
        <v>52643.74</v>
      </c>
      <c r="F2201" s="2" t="s">
        <v>14</v>
      </c>
      <c r="G2201" s="5">
        <v>42</v>
      </c>
      <c r="H2201" s="2" t="s">
        <v>29</v>
      </c>
      <c r="I2201" s="2" t="s">
        <v>60</v>
      </c>
      <c r="J2201" s="2" t="s">
        <v>17</v>
      </c>
      <c r="K2201" s="2" t="s">
        <v>22</v>
      </c>
    </row>
    <row r="2202" spans="1:11" x14ac:dyDescent="0.3">
      <c r="A2202" s="2" t="s">
        <v>2589</v>
      </c>
      <c r="B2202" s="2" t="s">
        <v>567</v>
      </c>
      <c r="C2202" s="3">
        <v>45707.695833333331</v>
      </c>
      <c r="D2202" s="2" t="s">
        <v>28</v>
      </c>
      <c r="E2202" s="4">
        <v>2354.42</v>
      </c>
      <c r="F2202" s="2" t="s">
        <v>14</v>
      </c>
      <c r="G2202" s="5">
        <v>39</v>
      </c>
      <c r="H2202" s="2" t="s">
        <v>15</v>
      </c>
      <c r="I2202" s="2" t="s">
        <v>48</v>
      </c>
      <c r="J2202" s="2" t="s">
        <v>17</v>
      </c>
      <c r="K2202" s="2" t="s">
        <v>35</v>
      </c>
    </row>
    <row r="2203" spans="1:11" x14ac:dyDescent="0.3">
      <c r="A2203" s="2" t="s">
        <v>2590</v>
      </c>
      <c r="B2203" s="2" t="s">
        <v>605</v>
      </c>
      <c r="C2203" s="3">
        <v>45692.078472222223</v>
      </c>
      <c r="D2203" s="2" t="s">
        <v>13</v>
      </c>
      <c r="E2203" s="4">
        <v>1317.15</v>
      </c>
      <c r="F2203" s="2" t="s">
        <v>14</v>
      </c>
      <c r="G2203" s="5">
        <v>29</v>
      </c>
      <c r="H2203" s="2" t="s">
        <v>29</v>
      </c>
      <c r="I2203" s="2" t="s">
        <v>60</v>
      </c>
      <c r="J2203" s="2" t="s">
        <v>17</v>
      </c>
      <c r="K2203" s="2" t="s">
        <v>45</v>
      </c>
    </row>
    <row r="2204" spans="1:11" x14ac:dyDescent="0.3">
      <c r="A2204" s="2" t="s">
        <v>2591</v>
      </c>
      <c r="B2204" s="2" t="s">
        <v>597</v>
      </c>
      <c r="C2204" s="3">
        <v>45724.246527777781</v>
      </c>
      <c r="D2204" s="2" t="s">
        <v>33</v>
      </c>
      <c r="E2204" s="4">
        <v>1831</v>
      </c>
      <c r="F2204" s="2" t="s">
        <v>14</v>
      </c>
      <c r="G2204" s="5">
        <v>43</v>
      </c>
      <c r="H2204" s="2" t="s">
        <v>15</v>
      </c>
      <c r="I2204" s="2" t="s">
        <v>48</v>
      </c>
      <c r="J2204" s="2" t="s">
        <v>49</v>
      </c>
      <c r="K2204" s="2" t="s">
        <v>45</v>
      </c>
    </row>
    <row r="2205" spans="1:11" x14ac:dyDescent="0.3">
      <c r="A2205" s="2" t="s">
        <v>2592</v>
      </c>
      <c r="B2205" s="2" t="s">
        <v>562</v>
      </c>
      <c r="C2205" s="3">
        <v>45674.254166666673</v>
      </c>
      <c r="D2205" s="2" t="s">
        <v>28</v>
      </c>
      <c r="E2205" s="4">
        <v>6722.22</v>
      </c>
      <c r="F2205" s="2" t="s">
        <v>14</v>
      </c>
      <c r="G2205" s="5">
        <v>47</v>
      </c>
      <c r="H2205" s="2" t="s">
        <v>15</v>
      </c>
      <c r="I2205" s="2" t="s">
        <v>34</v>
      </c>
      <c r="J2205" s="2" t="s">
        <v>17</v>
      </c>
      <c r="K2205" s="2" t="s">
        <v>18</v>
      </c>
    </row>
    <row r="2206" spans="1:11" x14ac:dyDescent="0.3">
      <c r="A2206" s="2" t="s">
        <v>2593</v>
      </c>
      <c r="B2206" s="2" t="s">
        <v>246</v>
      </c>
      <c r="C2206" s="3">
        <v>45906.254166666673</v>
      </c>
      <c r="D2206" s="2" t="s">
        <v>13</v>
      </c>
      <c r="E2206" s="4">
        <v>445.38</v>
      </c>
      <c r="F2206" s="2" t="s">
        <v>14</v>
      </c>
      <c r="G2206" s="5">
        <v>30</v>
      </c>
      <c r="H2206" s="2" t="s">
        <v>15</v>
      </c>
      <c r="I2206" s="2" t="s">
        <v>60</v>
      </c>
      <c r="J2206" s="2" t="s">
        <v>49</v>
      </c>
      <c r="K2206" s="2" t="s">
        <v>45</v>
      </c>
    </row>
    <row r="2207" spans="1:11" x14ac:dyDescent="0.3">
      <c r="A2207" s="2" t="s">
        <v>2594</v>
      </c>
      <c r="B2207" s="2" t="s">
        <v>435</v>
      </c>
      <c r="C2207" s="3">
        <v>45674.77847222222</v>
      </c>
      <c r="D2207" s="2" t="s">
        <v>28</v>
      </c>
      <c r="E2207" s="4">
        <v>43831.22</v>
      </c>
      <c r="F2207" s="2" t="s">
        <v>14</v>
      </c>
      <c r="G2207" s="5">
        <v>30</v>
      </c>
      <c r="H2207" s="2" t="s">
        <v>15</v>
      </c>
      <c r="I2207" s="2" t="s">
        <v>48</v>
      </c>
      <c r="J2207" s="2" t="s">
        <v>44</v>
      </c>
      <c r="K2207" s="2" t="s">
        <v>18</v>
      </c>
    </row>
    <row r="2208" spans="1:11" x14ac:dyDescent="0.3">
      <c r="A2208" s="2" t="s">
        <v>2595</v>
      </c>
      <c r="B2208" s="2" t="s">
        <v>722</v>
      </c>
      <c r="C2208" s="3">
        <v>45856.896527777782</v>
      </c>
      <c r="D2208" s="2" t="s">
        <v>28</v>
      </c>
      <c r="E2208" s="4">
        <v>17420.55</v>
      </c>
      <c r="F2208" s="2" t="s">
        <v>14</v>
      </c>
      <c r="G2208" s="5">
        <v>42</v>
      </c>
      <c r="H2208" s="2" t="s">
        <v>29</v>
      </c>
      <c r="I2208" s="2" t="s">
        <v>25</v>
      </c>
      <c r="J2208" s="2" t="s">
        <v>44</v>
      </c>
      <c r="K2208" s="2" t="s">
        <v>18</v>
      </c>
    </row>
    <row r="2209" spans="1:11" x14ac:dyDescent="0.3">
      <c r="A2209" s="2" t="s">
        <v>2596</v>
      </c>
      <c r="B2209" s="2" t="s">
        <v>476</v>
      </c>
      <c r="C2209" s="3">
        <v>45927.822222222218</v>
      </c>
      <c r="D2209" s="2" t="s">
        <v>154</v>
      </c>
      <c r="E2209" s="4">
        <v>20000</v>
      </c>
      <c r="F2209" s="2" t="s">
        <v>14</v>
      </c>
      <c r="G2209" s="5">
        <v>27</v>
      </c>
      <c r="H2209" s="2" t="s">
        <v>29</v>
      </c>
      <c r="I2209" s="2" t="s">
        <v>21</v>
      </c>
      <c r="J2209" s="2" t="s">
        <v>17</v>
      </c>
      <c r="K2209" s="2" t="s">
        <v>18</v>
      </c>
    </row>
    <row r="2210" spans="1:11" x14ac:dyDescent="0.3">
      <c r="A2210" s="2" t="s">
        <v>2597</v>
      </c>
      <c r="B2210" s="2" t="s">
        <v>113</v>
      </c>
      <c r="C2210" s="3">
        <v>45960.335416666669</v>
      </c>
      <c r="D2210" s="2" t="s">
        <v>33</v>
      </c>
      <c r="E2210" s="4">
        <v>9541.61</v>
      </c>
      <c r="F2210" s="2" t="s">
        <v>14</v>
      </c>
      <c r="G2210" s="5">
        <v>60</v>
      </c>
      <c r="H2210" s="2" t="s">
        <v>29</v>
      </c>
      <c r="I2210" s="2" t="s">
        <v>78</v>
      </c>
      <c r="J2210" s="2" t="s">
        <v>17</v>
      </c>
      <c r="K2210" s="2" t="s">
        <v>18</v>
      </c>
    </row>
    <row r="2211" spans="1:11" x14ac:dyDescent="0.3">
      <c r="A2211" s="2" t="s">
        <v>2598</v>
      </c>
      <c r="B2211" s="2" t="s">
        <v>839</v>
      </c>
      <c r="C2211" s="3">
        <v>45845.318055555559</v>
      </c>
      <c r="D2211" s="2" t="s">
        <v>38</v>
      </c>
      <c r="E2211" s="4">
        <v>9560.89</v>
      </c>
      <c r="F2211" s="2" t="s">
        <v>14</v>
      </c>
      <c r="G2211" s="5">
        <v>26</v>
      </c>
      <c r="H2211" s="2" t="s">
        <v>29</v>
      </c>
      <c r="I2211" s="2" t="s">
        <v>78</v>
      </c>
      <c r="J2211" s="2" t="s">
        <v>17</v>
      </c>
      <c r="K2211" s="2" t="s">
        <v>45</v>
      </c>
    </row>
    <row r="2212" spans="1:11" x14ac:dyDescent="0.3">
      <c r="A2212" s="2" t="s">
        <v>2599</v>
      </c>
      <c r="B2212" s="2" t="s">
        <v>228</v>
      </c>
      <c r="C2212" s="3">
        <v>45694.040972222218</v>
      </c>
      <c r="D2212" s="2" t="s">
        <v>28</v>
      </c>
      <c r="E2212" s="4">
        <v>10692.54</v>
      </c>
      <c r="F2212" s="2" t="s">
        <v>14</v>
      </c>
      <c r="G2212" s="5">
        <v>45</v>
      </c>
      <c r="H2212" s="2" t="s">
        <v>15</v>
      </c>
      <c r="I2212" s="2" t="s">
        <v>48</v>
      </c>
      <c r="J2212" s="2" t="s">
        <v>44</v>
      </c>
      <c r="K2212" s="2" t="s">
        <v>22</v>
      </c>
    </row>
    <row r="2213" spans="1:11" x14ac:dyDescent="0.3">
      <c r="A2213" s="2" t="s">
        <v>2600</v>
      </c>
      <c r="B2213" s="2" t="s">
        <v>485</v>
      </c>
      <c r="C2213" s="3">
        <v>45764.854861111111</v>
      </c>
      <c r="D2213" s="2" t="s">
        <v>33</v>
      </c>
      <c r="E2213" s="4">
        <v>4800.2</v>
      </c>
      <c r="F2213" s="2" t="s">
        <v>14</v>
      </c>
      <c r="G2213" s="5">
        <v>20</v>
      </c>
      <c r="H2213" s="2" t="s">
        <v>15</v>
      </c>
      <c r="I2213" s="2" t="s">
        <v>60</v>
      </c>
      <c r="J2213" s="2" t="s">
        <v>17</v>
      </c>
      <c r="K2213" s="2" t="s">
        <v>45</v>
      </c>
    </row>
    <row r="2214" spans="1:11" x14ac:dyDescent="0.3">
      <c r="A2214" s="2" t="s">
        <v>2601</v>
      </c>
      <c r="B2214" s="2" t="s">
        <v>40</v>
      </c>
      <c r="C2214" s="3">
        <v>45698.618750000001</v>
      </c>
      <c r="D2214" s="2" t="s">
        <v>28</v>
      </c>
      <c r="E2214" s="4">
        <v>1350.7</v>
      </c>
      <c r="F2214" s="2" t="s">
        <v>14</v>
      </c>
      <c r="G2214" s="5">
        <v>36</v>
      </c>
      <c r="H2214" s="2" t="s">
        <v>29</v>
      </c>
      <c r="I2214" s="2" t="s">
        <v>34</v>
      </c>
      <c r="J2214" s="2" t="s">
        <v>17</v>
      </c>
      <c r="K2214" s="2" t="s">
        <v>18</v>
      </c>
    </row>
    <row r="2215" spans="1:11" x14ac:dyDescent="0.3">
      <c r="A2215" s="2" t="s">
        <v>2602</v>
      </c>
      <c r="B2215" s="2" t="s">
        <v>32</v>
      </c>
      <c r="C2215" s="3">
        <v>45985.057638888888</v>
      </c>
      <c r="D2215" s="2" t="s">
        <v>28</v>
      </c>
      <c r="E2215" s="4">
        <v>2251.2800000000002</v>
      </c>
      <c r="F2215" s="2" t="s">
        <v>14</v>
      </c>
      <c r="G2215" s="5">
        <v>53</v>
      </c>
      <c r="H2215" s="2" t="s">
        <v>15</v>
      </c>
      <c r="I2215" s="2" t="s">
        <v>34</v>
      </c>
      <c r="J2215" s="2" t="s">
        <v>17</v>
      </c>
      <c r="K2215" s="2" t="s">
        <v>18</v>
      </c>
    </row>
    <row r="2216" spans="1:11" x14ac:dyDescent="0.3">
      <c r="A2216" s="2" t="s">
        <v>2603</v>
      </c>
      <c r="B2216" s="2" t="s">
        <v>386</v>
      </c>
      <c r="C2216" s="3">
        <v>45943.99722222222</v>
      </c>
      <c r="D2216" s="2" t="s">
        <v>13</v>
      </c>
      <c r="E2216" s="4">
        <v>739.6</v>
      </c>
      <c r="F2216" s="2" t="s">
        <v>14</v>
      </c>
      <c r="G2216" s="5">
        <v>26</v>
      </c>
      <c r="H2216" s="2" t="s">
        <v>15</v>
      </c>
      <c r="I2216" s="2" t="s">
        <v>25</v>
      </c>
      <c r="J2216" s="2" t="s">
        <v>17</v>
      </c>
      <c r="K2216" s="2" t="s">
        <v>18</v>
      </c>
    </row>
    <row r="2217" spans="1:11" x14ac:dyDescent="0.3">
      <c r="A2217" s="2" t="s">
        <v>2604</v>
      </c>
      <c r="B2217" s="2" t="s">
        <v>111</v>
      </c>
      <c r="C2217" s="3">
        <v>45870.493055555547</v>
      </c>
      <c r="D2217" s="2" t="s">
        <v>13</v>
      </c>
      <c r="E2217" s="4">
        <v>2817.4</v>
      </c>
      <c r="F2217" s="2" t="s">
        <v>14</v>
      </c>
      <c r="G2217" s="5">
        <v>45</v>
      </c>
      <c r="H2217" s="2" t="s">
        <v>15</v>
      </c>
      <c r="I2217" s="2" t="s">
        <v>48</v>
      </c>
      <c r="J2217" s="2" t="s">
        <v>17</v>
      </c>
      <c r="K2217" s="2" t="s">
        <v>35</v>
      </c>
    </row>
    <row r="2218" spans="1:11" x14ac:dyDescent="0.3">
      <c r="A2218" s="2" t="s">
        <v>2605</v>
      </c>
      <c r="B2218" s="2" t="s">
        <v>84</v>
      </c>
      <c r="C2218" s="3">
        <v>46020.077777777777</v>
      </c>
      <c r="D2218" s="2" t="s">
        <v>33</v>
      </c>
      <c r="E2218" s="4">
        <v>607.79999999999995</v>
      </c>
      <c r="F2218" s="2" t="s">
        <v>14</v>
      </c>
      <c r="G2218" s="5">
        <v>33</v>
      </c>
      <c r="H2218" s="2" t="s">
        <v>15</v>
      </c>
      <c r="I2218" s="2" t="s">
        <v>34</v>
      </c>
      <c r="J2218" s="2" t="s">
        <v>17</v>
      </c>
      <c r="K2218" s="2" t="s">
        <v>18</v>
      </c>
    </row>
    <row r="2219" spans="1:11" x14ac:dyDescent="0.3">
      <c r="A2219" s="2" t="s">
        <v>2606</v>
      </c>
      <c r="B2219" s="2" t="s">
        <v>1028</v>
      </c>
      <c r="C2219" s="3">
        <v>45973.356249999997</v>
      </c>
      <c r="D2219" s="2" t="s">
        <v>28</v>
      </c>
      <c r="E2219" s="4">
        <v>64652.84</v>
      </c>
      <c r="F2219" s="2" t="s">
        <v>14</v>
      </c>
      <c r="G2219" s="5">
        <v>24</v>
      </c>
      <c r="H2219" s="2" t="s">
        <v>15</v>
      </c>
      <c r="I2219" s="2" t="s">
        <v>25</v>
      </c>
      <c r="J2219" s="2" t="s">
        <v>17</v>
      </c>
      <c r="K2219" s="2" t="s">
        <v>18</v>
      </c>
    </row>
    <row r="2220" spans="1:11" x14ac:dyDescent="0.3">
      <c r="A2220" s="2" t="s">
        <v>2607</v>
      </c>
      <c r="B2220" s="2" t="s">
        <v>1306</v>
      </c>
      <c r="C2220" s="3">
        <v>45678.961111111108</v>
      </c>
      <c r="D2220" s="2" t="s">
        <v>13</v>
      </c>
      <c r="E2220" s="4">
        <v>5612.45</v>
      </c>
      <c r="F2220" s="2" t="s">
        <v>14</v>
      </c>
      <c r="G2220" s="5">
        <v>40</v>
      </c>
      <c r="H2220" s="2" t="s">
        <v>29</v>
      </c>
      <c r="I2220" s="2" t="s">
        <v>48</v>
      </c>
      <c r="J2220" s="2" t="s">
        <v>17</v>
      </c>
      <c r="K2220" s="2" t="s">
        <v>18</v>
      </c>
    </row>
    <row r="2221" spans="1:11" x14ac:dyDescent="0.3">
      <c r="A2221" s="2" t="s">
        <v>2608</v>
      </c>
      <c r="B2221" s="2" t="s">
        <v>1205</v>
      </c>
      <c r="C2221" s="3">
        <v>45813.092361111107</v>
      </c>
      <c r="D2221" s="2" t="s">
        <v>13</v>
      </c>
      <c r="E2221" s="4">
        <v>5406.59</v>
      </c>
      <c r="F2221" s="2" t="s">
        <v>14</v>
      </c>
      <c r="G2221" s="5">
        <v>42</v>
      </c>
      <c r="H2221" s="2" t="s">
        <v>29</v>
      </c>
      <c r="I2221" s="2" t="s">
        <v>21</v>
      </c>
      <c r="J2221" s="2" t="s">
        <v>17</v>
      </c>
      <c r="K2221" s="2" t="s">
        <v>18</v>
      </c>
    </row>
    <row r="2222" spans="1:11" x14ac:dyDescent="0.3">
      <c r="A2222" s="2" t="s">
        <v>2609</v>
      </c>
      <c r="B2222" s="2" t="s">
        <v>549</v>
      </c>
      <c r="C2222" s="3">
        <v>45923.129166666673</v>
      </c>
      <c r="D2222" s="2" t="s">
        <v>13</v>
      </c>
      <c r="E2222" s="4">
        <v>2071.54</v>
      </c>
      <c r="F2222" s="2" t="s">
        <v>14</v>
      </c>
      <c r="G2222" s="5">
        <v>53</v>
      </c>
      <c r="H2222" s="2" t="s">
        <v>29</v>
      </c>
      <c r="I2222" s="2" t="s">
        <v>21</v>
      </c>
      <c r="J2222" s="2" t="s">
        <v>17</v>
      </c>
      <c r="K2222" s="2" t="s">
        <v>35</v>
      </c>
    </row>
    <row r="2223" spans="1:11" x14ac:dyDescent="0.3">
      <c r="A2223" s="2" t="s">
        <v>2610</v>
      </c>
      <c r="B2223" s="2" t="s">
        <v>489</v>
      </c>
      <c r="C2223" s="3">
        <v>45776.724999999999</v>
      </c>
      <c r="D2223" s="2" t="s">
        <v>13</v>
      </c>
      <c r="E2223" s="4">
        <v>299</v>
      </c>
      <c r="F2223" s="2" t="s">
        <v>14</v>
      </c>
      <c r="G2223" s="5">
        <v>28</v>
      </c>
      <c r="H2223" s="2" t="s">
        <v>15</v>
      </c>
      <c r="I2223" s="2" t="s">
        <v>30</v>
      </c>
      <c r="J2223" s="2" t="s">
        <v>17</v>
      </c>
      <c r="K2223" s="2" t="s">
        <v>45</v>
      </c>
    </row>
    <row r="2224" spans="1:11" x14ac:dyDescent="0.3">
      <c r="A2224" s="2" t="s">
        <v>2611</v>
      </c>
      <c r="B2224" s="2" t="s">
        <v>250</v>
      </c>
      <c r="C2224" s="3">
        <v>45755.272916666669</v>
      </c>
      <c r="D2224" s="2" t="s">
        <v>28</v>
      </c>
      <c r="E2224" s="4">
        <v>18824.05</v>
      </c>
      <c r="F2224" s="2" t="s">
        <v>14</v>
      </c>
      <c r="G2224" s="5">
        <v>29</v>
      </c>
      <c r="H2224" s="2" t="s">
        <v>15</v>
      </c>
      <c r="I2224" s="2" t="s">
        <v>25</v>
      </c>
      <c r="J2224" s="2" t="s">
        <v>17</v>
      </c>
      <c r="K2224" s="2" t="s">
        <v>35</v>
      </c>
    </row>
    <row r="2225" spans="1:11" x14ac:dyDescent="0.3">
      <c r="A2225" s="2" t="s">
        <v>2612</v>
      </c>
      <c r="B2225" s="2" t="s">
        <v>629</v>
      </c>
      <c r="C2225" s="3">
        <v>45994.316666666673</v>
      </c>
      <c r="D2225" s="2" t="s">
        <v>33</v>
      </c>
      <c r="E2225" s="4">
        <v>8553.64</v>
      </c>
      <c r="F2225" s="2" t="s">
        <v>14</v>
      </c>
      <c r="G2225" s="5">
        <v>22</v>
      </c>
      <c r="H2225" s="2" t="s">
        <v>15</v>
      </c>
      <c r="I2225" s="2" t="s">
        <v>21</v>
      </c>
      <c r="J2225" s="2" t="s">
        <v>49</v>
      </c>
      <c r="K2225" s="2" t="s">
        <v>35</v>
      </c>
    </row>
    <row r="2226" spans="1:11" x14ac:dyDescent="0.3">
      <c r="A2226" s="2" t="s">
        <v>2613</v>
      </c>
      <c r="B2226" s="2" t="s">
        <v>156</v>
      </c>
      <c r="C2226" s="3">
        <v>45978.232638888891</v>
      </c>
      <c r="D2226" s="2" t="s">
        <v>38</v>
      </c>
      <c r="E2226" s="4">
        <v>16615.919999999998</v>
      </c>
      <c r="F2226" s="2" t="s">
        <v>14</v>
      </c>
      <c r="G2226" s="5">
        <v>22</v>
      </c>
      <c r="H2226" s="2" t="s">
        <v>29</v>
      </c>
      <c r="I2226" s="2" t="s">
        <v>34</v>
      </c>
      <c r="J2226" s="2" t="s">
        <v>52</v>
      </c>
      <c r="K2226" s="2" t="s">
        <v>45</v>
      </c>
    </row>
    <row r="2227" spans="1:11" x14ac:dyDescent="0.3">
      <c r="A2227" s="2" t="s">
        <v>2614</v>
      </c>
      <c r="B2227" s="2" t="s">
        <v>109</v>
      </c>
      <c r="C2227" s="3">
        <v>45943.574305555558</v>
      </c>
      <c r="D2227" s="2" t="s">
        <v>28</v>
      </c>
      <c r="E2227" s="4">
        <v>38935.69</v>
      </c>
      <c r="F2227" s="2" t="s">
        <v>14</v>
      </c>
      <c r="G2227" s="5">
        <v>38</v>
      </c>
      <c r="H2227" s="2" t="s">
        <v>15</v>
      </c>
      <c r="I2227" s="2" t="s">
        <v>21</v>
      </c>
      <c r="J2227" s="2" t="s">
        <v>17</v>
      </c>
      <c r="K2227" s="2" t="s">
        <v>35</v>
      </c>
    </row>
    <row r="2228" spans="1:11" x14ac:dyDescent="0.3">
      <c r="A2228" s="2" t="s">
        <v>2615</v>
      </c>
      <c r="B2228" s="2" t="s">
        <v>88</v>
      </c>
      <c r="C2228" s="3">
        <v>45712.85833333333</v>
      </c>
      <c r="D2228" s="2" t="s">
        <v>28</v>
      </c>
      <c r="E2228" s="4">
        <v>41871.58</v>
      </c>
      <c r="F2228" s="2" t="s">
        <v>14</v>
      </c>
      <c r="G2228" s="5">
        <v>25</v>
      </c>
      <c r="H2228" s="2" t="s">
        <v>29</v>
      </c>
      <c r="I2228" s="2" t="s">
        <v>34</v>
      </c>
      <c r="J2228" s="2" t="s">
        <v>49</v>
      </c>
      <c r="K2228" s="2" t="s">
        <v>45</v>
      </c>
    </row>
    <row r="2229" spans="1:11" x14ac:dyDescent="0.3">
      <c r="A2229" s="2" t="s">
        <v>2616</v>
      </c>
      <c r="B2229" s="2" t="s">
        <v>619</v>
      </c>
      <c r="C2229" s="3">
        <v>45841.895138888889</v>
      </c>
      <c r="D2229" s="2" t="s">
        <v>28</v>
      </c>
      <c r="E2229" s="4">
        <v>49915.29</v>
      </c>
      <c r="F2229" s="2" t="s">
        <v>14</v>
      </c>
      <c r="G2229" s="5">
        <v>51</v>
      </c>
      <c r="H2229" s="2" t="s">
        <v>15</v>
      </c>
      <c r="I2229" s="2" t="s">
        <v>34</v>
      </c>
      <c r="J2229" s="2" t="s">
        <v>17</v>
      </c>
      <c r="K2229" s="2" t="s">
        <v>22</v>
      </c>
    </row>
    <row r="2230" spans="1:11" x14ac:dyDescent="0.3">
      <c r="A2230" s="2" t="s">
        <v>2617</v>
      </c>
      <c r="B2230" s="2" t="s">
        <v>810</v>
      </c>
      <c r="C2230" s="3">
        <v>46017.893750000003</v>
      </c>
      <c r="D2230" s="2" t="s">
        <v>28</v>
      </c>
      <c r="E2230" s="4">
        <v>3726.01</v>
      </c>
      <c r="F2230" s="2" t="s">
        <v>14</v>
      </c>
      <c r="G2230" s="5">
        <v>54</v>
      </c>
      <c r="H2230" s="2" t="s">
        <v>15</v>
      </c>
      <c r="I2230" s="2" t="s">
        <v>34</v>
      </c>
      <c r="J2230" s="2" t="s">
        <v>17</v>
      </c>
      <c r="K2230" s="2" t="s">
        <v>18</v>
      </c>
    </row>
    <row r="2231" spans="1:11" x14ac:dyDescent="0.3">
      <c r="A2231" s="2" t="s">
        <v>2618</v>
      </c>
      <c r="B2231" s="2" t="s">
        <v>223</v>
      </c>
      <c r="C2231" s="3">
        <v>45711.243055555547</v>
      </c>
      <c r="D2231" s="2" t="s">
        <v>13</v>
      </c>
      <c r="E2231" s="4">
        <v>543.46</v>
      </c>
      <c r="F2231" s="2" t="s">
        <v>14</v>
      </c>
      <c r="G2231" s="5">
        <v>40</v>
      </c>
      <c r="H2231" s="2" t="s">
        <v>15</v>
      </c>
      <c r="I2231" s="2" t="s">
        <v>34</v>
      </c>
      <c r="J2231" s="2" t="s">
        <v>49</v>
      </c>
      <c r="K2231" s="2" t="s">
        <v>18</v>
      </c>
    </row>
    <row r="2232" spans="1:11" x14ac:dyDescent="0.3">
      <c r="A2232" s="2" t="s">
        <v>2619</v>
      </c>
      <c r="B2232" s="2" t="s">
        <v>816</v>
      </c>
      <c r="C2232" s="3">
        <v>45750.725694444453</v>
      </c>
      <c r="D2232" s="2" t="s">
        <v>13</v>
      </c>
      <c r="E2232" s="4">
        <v>220.89</v>
      </c>
      <c r="F2232" s="2" t="s">
        <v>14</v>
      </c>
      <c r="G2232" s="5">
        <v>37</v>
      </c>
      <c r="H2232" s="2" t="s">
        <v>15</v>
      </c>
      <c r="I2232" s="2" t="s">
        <v>60</v>
      </c>
      <c r="J2232" s="2" t="s">
        <v>44</v>
      </c>
      <c r="K2232" s="2" t="s">
        <v>18</v>
      </c>
    </row>
    <row r="2233" spans="1:11" x14ac:dyDescent="0.3">
      <c r="A2233" s="2" t="s">
        <v>2620</v>
      </c>
      <c r="B2233" s="2" t="s">
        <v>388</v>
      </c>
      <c r="C2233" s="3">
        <v>45916.445833333331</v>
      </c>
      <c r="D2233" s="2" t="s">
        <v>28</v>
      </c>
      <c r="E2233" s="4">
        <v>32980.660000000003</v>
      </c>
      <c r="F2233" s="2" t="s">
        <v>14</v>
      </c>
      <c r="G2233" s="5">
        <v>31</v>
      </c>
      <c r="H2233" s="2" t="s">
        <v>15</v>
      </c>
      <c r="I2233" s="2" t="s">
        <v>34</v>
      </c>
      <c r="J2233" s="2" t="s">
        <v>17</v>
      </c>
      <c r="K2233" s="2" t="s">
        <v>18</v>
      </c>
    </row>
    <row r="2234" spans="1:11" x14ac:dyDescent="0.3">
      <c r="A2234" s="2" t="s">
        <v>2621</v>
      </c>
      <c r="B2234" s="2" t="s">
        <v>215</v>
      </c>
      <c r="C2234" s="3">
        <v>45738.734722222223</v>
      </c>
      <c r="D2234" s="2" t="s">
        <v>13</v>
      </c>
      <c r="E2234" s="4">
        <v>2763.95</v>
      </c>
      <c r="F2234" s="2" t="s">
        <v>14</v>
      </c>
      <c r="G2234" s="5">
        <v>28</v>
      </c>
      <c r="H2234" s="2" t="s">
        <v>15</v>
      </c>
      <c r="I2234" s="2" t="s">
        <v>30</v>
      </c>
      <c r="J2234" s="2" t="s">
        <v>17</v>
      </c>
      <c r="K2234" s="2" t="s">
        <v>35</v>
      </c>
    </row>
    <row r="2235" spans="1:11" x14ac:dyDescent="0.3">
      <c r="A2235" s="2" t="s">
        <v>2622</v>
      </c>
      <c r="B2235" s="2" t="s">
        <v>1191</v>
      </c>
      <c r="C2235" s="3">
        <v>45884.497916666667</v>
      </c>
      <c r="D2235" s="2" t="s">
        <v>33</v>
      </c>
      <c r="E2235" s="4">
        <v>7751.4</v>
      </c>
      <c r="F2235" s="2" t="s">
        <v>14</v>
      </c>
      <c r="G2235" s="5">
        <v>25</v>
      </c>
      <c r="H2235" s="2" t="s">
        <v>29</v>
      </c>
      <c r="I2235" s="2" t="s">
        <v>34</v>
      </c>
      <c r="J2235" s="2" t="s">
        <v>17</v>
      </c>
      <c r="K2235" s="2" t="s">
        <v>18</v>
      </c>
    </row>
    <row r="2236" spans="1:11" x14ac:dyDescent="0.3">
      <c r="A2236" s="2" t="s">
        <v>2623</v>
      </c>
      <c r="B2236" s="2" t="s">
        <v>872</v>
      </c>
      <c r="C2236" s="3">
        <v>45819.722222222219</v>
      </c>
      <c r="D2236" s="2" t="s">
        <v>38</v>
      </c>
      <c r="E2236" s="4">
        <v>2321.15</v>
      </c>
      <c r="F2236" s="2" t="s">
        <v>14</v>
      </c>
      <c r="G2236" s="5">
        <v>28</v>
      </c>
      <c r="H2236" s="2" t="s">
        <v>15</v>
      </c>
      <c r="I2236" s="2" t="s">
        <v>34</v>
      </c>
      <c r="J2236" s="2" t="s">
        <v>17</v>
      </c>
      <c r="K2236" s="2" t="s">
        <v>18</v>
      </c>
    </row>
    <row r="2237" spans="1:11" x14ac:dyDescent="0.3">
      <c r="A2237" s="2" t="s">
        <v>2624</v>
      </c>
      <c r="B2237" s="2" t="s">
        <v>581</v>
      </c>
      <c r="C2237" s="3">
        <v>45848.574999999997</v>
      </c>
      <c r="D2237" s="2" t="s">
        <v>28</v>
      </c>
      <c r="E2237" s="4">
        <v>5666.15</v>
      </c>
      <c r="F2237" s="2" t="s">
        <v>14</v>
      </c>
      <c r="G2237" s="5">
        <v>42</v>
      </c>
      <c r="H2237" s="2" t="s">
        <v>15</v>
      </c>
      <c r="I2237" s="2" t="s">
        <v>21</v>
      </c>
      <c r="J2237" s="2" t="s">
        <v>17</v>
      </c>
      <c r="K2237" s="2" t="s">
        <v>18</v>
      </c>
    </row>
    <row r="2238" spans="1:11" x14ac:dyDescent="0.3">
      <c r="A2238" s="2" t="s">
        <v>2625</v>
      </c>
      <c r="B2238" s="2" t="s">
        <v>746</v>
      </c>
      <c r="C2238" s="3">
        <v>45982.577777777777</v>
      </c>
      <c r="D2238" s="2" t="s">
        <v>33</v>
      </c>
      <c r="E2238" s="4">
        <v>2188.37</v>
      </c>
      <c r="F2238" s="2" t="s">
        <v>14</v>
      </c>
      <c r="G2238" s="5">
        <v>44</v>
      </c>
      <c r="H2238" s="2" t="s">
        <v>15</v>
      </c>
      <c r="I2238" s="2" t="s">
        <v>21</v>
      </c>
      <c r="J2238" s="2" t="s">
        <v>17</v>
      </c>
      <c r="K2238" s="2" t="s">
        <v>18</v>
      </c>
    </row>
    <row r="2239" spans="1:11" x14ac:dyDescent="0.3">
      <c r="A2239" s="2" t="s">
        <v>2626</v>
      </c>
      <c r="B2239" s="2" t="s">
        <v>71</v>
      </c>
      <c r="C2239" s="3">
        <v>45823.802083333343</v>
      </c>
      <c r="D2239" s="2" t="s">
        <v>13</v>
      </c>
      <c r="E2239" s="4">
        <v>609.97</v>
      </c>
      <c r="F2239" s="2" t="s">
        <v>14</v>
      </c>
      <c r="G2239" s="5">
        <v>42</v>
      </c>
      <c r="H2239" s="2" t="s">
        <v>15</v>
      </c>
      <c r="I2239" s="2" t="s">
        <v>60</v>
      </c>
      <c r="J2239" s="2" t="s">
        <v>17</v>
      </c>
      <c r="K2239" s="2" t="s">
        <v>18</v>
      </c>
    </row>
    <row r="2240" spans="1:11" x14ac:dyDescent="0.3">
      <c r="A2240" s="2" t="s">
        <v>2627</v>
      </c>
      <c r="B2240" s="2" t="s">
        <v>343</v>
      </c>
      <c r="C2240" s="3">
        <v>45946.717361111107</v>
      </c>
      <c r="D2240" s="2" t="s">
        <v>28</v>
      </c>
      <c r="E2240" s="4">
        <v>24440.95</v>
      </c>
      <c r="F2240" s="2" t="s">
        <v>57</v>
      </c>
      <c r="G2240" s="5">
        <v>38</v>
      </c>
      <c r="H2240" s="2" t="s">
        <v>15</v>
      </c>
      <c r="I2240" s="2" t="s">
        <v>34</v>
      </c>
      <c r="J2240" s="2" t="s">
        <v>17</v>
      </c>
      <c r="K2240" s="2" t="s">
        <v>45</v>
      </c>
    </row>
    <row r="2241" spans="1:11" x14ac:dyDescent="0.3">
      <c r="A2241" s="2" t="s">
        <v>2628</v>
      </c>
      <c r="B2241" s="2" t="s">
        <v>756</v>
      </c>
      <c r="C2241" s="3">
        <v>45850.749305555553</v>
      </c>
      <c r="D2241" s="2" t="s">
        <v>28</v>
      </c>
      <c r="E2241" s="4">
        <v>3839.89</v>
      </c>
      <c r="F2241" s="2" t="s">
        <v>14</v>
      </c>
      <c r="G2241" s="5">
        <v>40</v>
      </c>
      <c r="H2241" s="2" t="s">
        <v>15</v>
      </c>
      <c r="I2241" s="2" t="s">
        <v>16</v>
      </c>
      <c r="J2241" s="2" t="s">
        <v>17</v>
      </c>
      <c r="K2241" s="2" t="s">
        <v>22</v>
      </c>
    </row>
    <row r="2242" spans="1:11" x14ac:dyDescent="0.3">
      <c r="A2242" s="2" t="s">
        <v>2629</v>
      </c>
      <c r="B2242" s="2" t="s">
        <v>623</v>
      </c>
      <c r="C2242" s="3">
        <v>45788.477777777778</v>
      </c>
      <c r="D2242" s="2" t="s">
        <v>13</v>
      </c>
      <c r="E2242" s="4">
        <v>8314.64</v>
      </c>
      <c r="F2242" s="2" t="s">
        <v>122</v>
      </c>
      <c r="G2242" s="5">
        <v>47</v>
      </c>
      <c r="H2242" s="2" t="s">
        <v>15</v>
      </c>
      <c r="I2242" s="2" t="s">
        <v>48</v>
      </c>
      <c r="J2242" s="2" t="s">
        <v>49</v>
      </c>
      <c r="K2242" s="2" t="s">
        <v>35</v>
      </c>
    </row>
    <row r="2243" spans="1:11" x14ac:dyDescent="0.3">
      <c r="A2243" s="2" t="s">
        <v>2630</v>
      </c>
      <c r="B2243" s="2" t="s">
        <v>784</v>
      </c>
      <c r="C2243" s="3">
        <v>45887.5</v>
      </c>
      <c r="D2243" s="2" t="s">
        <v>154</v>
      </c>
      <c r="E2243" s="4">
        <v>10000</v>
      </c>
      <c r="F2243" s="2" t="s">
        <v>14</v>
      </c>
      <c r="G2243" s="5">
        <v>24</v>
      </c>
      <c r="H2243" s="2" t="s">
        <v>15</v>
      </c>
      <c r="I2243" s="2" t="s">
        <v>34</v>
      </c>
      <c r="J2243" s="2" t="s">
        <v>17</v>
      </c>
      <c r="K2243" s="2" t="s">
        <v>18</v>
      </c>
    </row>
    <row r="2244" spans="1:11" x14ac:dyDescent="0.3">
      <c r="A2244" s="2" t="s">
        <v>2631</v>
      </c>
      <c r="B2244" s="2" t="s">
        <v>1068</v>
      </c>
      <c r="C2244" s="3">
        <v>45675.401388888888</v>
      </c>
      <c r="D2244" s="2" t="s">
        <v>28</v>
      </c>
      <c r="E2244" s="4">
        <v>43610.82</v>
      </c>
      <c r="F2244" s="2" t="s">
        <v>57</v>
      </c>
      <c r="G2244" s="5">
        <v>40</v>
      </c>
      <c r="H2244" s="2" t="s">
        <v>29</v>
      </c>
      <c r="I2244" s="2" t="s">
        <v>60</v>
      </c>
      <c r="J2244" s="2" t="s">
        <v>44</v>
      </c>
      <c r="K2244" s="2" t="s">
        <v>35</v>
      </c>
    </row>
    <row r="2245" spans="1:11" x14ac:dyDescent="0.3">
      <c r="A2245" s="2" t="s">
        <v>2632</v>
      </c>
      <c r="B2245" s="2" t="s">
        <v>623</v>
      </c>
      <c r="C2245" s="3">
        <v>45666.672222222223</v>
      </c>
      <c r="D2245" s="2" t="s">
        <v>28</v>
      </c>
      <c r="E2245" s="4">
        <v>44834.18</v>
      </c>
      <c r="F2245" s="2" t="s">
        <v>14</v>
      </c>
      <c r="G2245" s="5">
        <v>47</v>
      </c>
      <c r="H2245" s="2" t="s">
        <v>15</v>
      </c>
      <c r="I2245" s="2" t="s">
        <v>48</v>
      </c>
      <c r="J2245" s="2" t="s">
        <v>49</v>
      </c>
      <c r="K2245" s="2" t="s">
        <v>45</v>
      </c>
    </row>
    <row r="2246" spans="1:11" x14ac:dyDescent="0.3">
      <c r="A2246" s="2" t="s">
        <v>2633</v>
      </c>
      <c r="B2246" s="2" t="s">
        <v>1408</v>
      </c>
      <c r="C2246" s="3">
        <v>45812.013194444437</v>
      </c>
      <c r="D2246" s="2" t="s">
        <v>33</v>
      </c>
      <c r="E2246" s="4">
        <v>4254.09</v>
      </c>
      <c r="F2246" s="2" t="s">
        <v>14</v>
      </c>
      <c r="G2246" s="5">
        <v>39</v>
      </c>
      <c r="H2246" s="2" t="s">
        <v>15</v>
      </c>
      <c r="I2246" s="2" t="s">
        <v>25</v>
      </c>
      <c r="J2246" s="2" t="s">
        <v>52</v>
      </c>
      <c r="K2246" s="2" t="s">
        <v>18</v>
      </c>
    </row>
    <row r="2247" spans="1:11" x14ac:dyDescent="0.3">
      <c r="A2247" s="2" t="s">
        <v>2634</v>
      </c>
      <c r="B2247" s="2" t="s">
        <v>42</v>
      </c>
      <c r="C2247" s="3">
        <v>45771.287499999999</v>
      </c>
      <c r="D2247" s="2" t="s">
        <v>33</v>
      </c>
      <c r="E2247" s="4">
        <v>3952.42</v>
      </c>
      <c r="F2247" s="2" t="s">
        <v>14</v>
      </c>
      <c r="G2247" s="5">
        <v>35</v>
      </c>
      <c r="H2247" s="2" t="s">
        <v>15</v>
      </c>
      <c r="I2247" s="2" t="s">
        <v>43</v>
      </c>
      <c r="J2247" s="2" t="s">
        <v>44</v>
      </c>
      <c r="K2247" s="2" t="s">
        <v>18</v>
      </c>
    </row>
    <row r="2248" spans="1:11" x14ac:dyDescent="0.3">
      <c r="A2248" s="2" t="s">
        <v>2635</v>
      </c>
      <c r="B2248" s="2" t="s">
        <v>260</v>
      </c>
      <c r="C2248" s="3">
        <v>45819.03402777778</v>
      </c>
      <c r="D2248" s="2" t="s">
        <v>13</v>
      </c>
      <c r="E2248" s="4">
        <v>1787.43</v>
      </c>
      <c r="F2248" s="2" t="s">
        <v>14</v>
      </c>
      <c r="G2248" s="5">
        <v>39</v>
      </c>
      <c r="H2248" s="2" t="s">
        <v>15</v>
      </c>
      <c r="I2248" s="2" t="s">
        <v>21</v>
      </c>
      <c r="J2248" s="2" t="s">
        <v>17</v>
      </c>
      <c r="K2248" s="2" t="s">
        <v>18</v>
      </c>
    </row>
    <row r="2249" spans="1:11" x14ac:dyDescent="0.3">
      <c r="A2249" s="2" t="s">
        <v>2636</v>
      </c>
      <c r="B2249" s="2" t="s">
        <v>759</v>
      </c>
      <c r="C2249" s="3">
        <v>46011.373611111107</v>
      </c>
      <c r="D2249" s="2" t="s">
        <v>33</v>
      </c>
      <c r="E2249" s="4">
        <v>7397.01</v>
      </c>
      <c r="F2249" s="2" t="s">
        <v>14</v>
      </c>
      <c r="G2249" s="5">
        <v>28</v>
      </c>
      <c r="H2249" s="2" t="s">
        <v>29</v>
      </c>
      <c r="I2249" s="2" t="s">
        <v>60</v>
      </c>
      <c r="J2249" s="2" t="s">
        <v>17</v>
      </c>
      <c r="K2249" s="2" t="s">
        <v>18</v>
      </c>
    </row>
    <row r="2250" spans="1:11" x14ac:dyDescent="0.3">
      <c r="A2250" s="2" t="s">
        <v>2637</v>
      </c>
      <c r="B2250" s="2" t="s">
        <v>654</v>
      </c>
      <c r="C2250" s="3">
        <v>45941.690972222219</v>
      </c>
      <c r="D2250" s="2" t="s">
        <v>33</v>
      </c>
      <c r="E2250" s="4">
        <v>7605.46</v>
      </c>
      <c r="F2250" s="2" t="s">
        <v>14</v>
      </c>
      <c r="G2250" s="5">
        <v>55</v>
      </c>
      <c r="H2250" s="2" t="s">
        <v>15</v>
      </c>
      <c r="I2250" s="2" t="s">
        <v>30</v>
      </c>
      <c r="J2250" s="2" t="s">
        <v>44</v>
      </c>
      <c r="K2250" s="2" t="s">
        <v>18</v>
      </c>
    </row>
    <row r="2251" spans="1:11" x14ac:dyDescent="0.3">
      <c r="A2251" s="2" t="s">
        <v>2638</v>
      </c>
      <c r="B2251" s="2" t="s">
        <v>225</v>
      </c>
      <c r="C2251" s="3">
        <v>45950.756249999999</v>
      </c>
      <c r="D2251" s="2" t="s">
        <v>33</v>
      </c>
      <c r="E2251" s="4">
        <v>24134.080000000002</v>
      </c>
      <c r="F2251" s="2" t="s">
        <v>14</v>
      </c>
      <c r="G2251" s="5">
        <v>35</v>
      </c>
      <c r="H2251" s="2" t="s">
        <v>29</v>
      </c>
      <c r="I2251" s="2" t="s">
        <v>78</v>
      </c>
      <c r="J2251" s="2" t="s">
        <v>17</v>
      </c>
      <c r="K2251" s="2" t="s">
        <v>35</v>
      </c>
    </row>
    <row r="2252" spans="1:11" x14ac:dyDescent="0.3">
      <c r="A2252" s="2" t="s">
        <v>2639</v>
      </c>
      <c r="B2252" s="2" t="s">
        <v>286</v>
      </c>
      <c r="C2252" s="3">
        <v>45706.061805555553</v>
      </c>
      <c r="D2252" s="2" t="s">
        <v>28</v>
      </c>
      <c r="E2252" s="4">
        <v>26928.68</v>
      </c>
      <c r="F2252" s="2" t="s">
        <v>14</v>
      </c>
      <c r="G2252" s="5">
        <v>60</v>
      </c>
      <c r="H2252" s="2" t="s">
        <v>29</v>
      </c>
      <c r="I2252" s="2" t="s">
        <v>21</v>
      </c>
      <c r="J2252" s="2" t="s">
        <v>17</v>
      </c>
      <c r="K2252" s="2" t="s">
        <v>18</v>
      </c>
    </row>
    <row r="2253" spans="1:11" x14ac:dyDescent="0.3">
      <c r="A2253" s="2" t="s">
        <v>2640</v>
      </c>
      <c r="B2253" s="2" t="s">
        <v>296</v>
      </c>
      <c r="C2253" s="3">
        <v>45840.172222222223</v>
      </c>
      <c r="D2253" s="2" t="s">
        <v>28</v>
      </c>
      <c r="E2253" s="4">
        <v>7744.95</v>
      </c>
      <c r="F2253" s="2" t="s">
        <v>14</v>
      </c>
      <c r="G2253" s="5">
        <v>31</v>
      </c>
      <c r="H2253" s="2" t="s">
        <v>15</v>
      </c>
      <c r="I2253" s="2" t="s">
        <v>34</v>
      </c>
      <c r="J2253" s="2" t="s">
        <v>52</v>
      </c>
      <c r="K2253" s="2" t="s">
        <v>18</v>
      </c>
    </row>
    <row r="2254" spans="1:11" x14ac:dyDescent="0.3">
      <c r="A2254" s="2" t="s">
        <v>2641</v>
      </c>
      <c r="B2254" s="2" t="s">
        <v>564</v>
      </c>
      <c r="C2254" s="3">
        <v>45793.49722222222</v>
      </c>
      <c r="D2254" s="2" t="s">
        <v>28</v>
      </c>
      <c r="E2254" s="4">
        <v>22390.799999999999</v>
      </c>
      <c r="F2254" s="2" t="s">
        <v>14</v>
      </c>
      <c r="G2254" s="5">
        <v>46</v>
      </c>
      <c r="H2254" s="2" t="s">
        <v>15</v>
      </c>
      <c r="I2254" s="2" t="s">
        <v>25</v>
      </c>
      <c r="J2254" s="2" t="s">
        <v>44</v>
      </c>
      <c r="K2254" s="2" t="s">
        <v>18</v>
      </c>
    </row>
    <row r="2255" spans="1:11" x14ac:dyDescent="0.3">
      <c r="A2255" s="2" t="s">
        <v>2642</v>
      </c>
      <c r="B2255" s="2" t="s">
        <v>1430</v>
      </c>
      <c r="C2255" s="3">
        <v>45956.301388888889</v>
      </c>
      <c r="D2255" s="2" t="s">
        <v>33</v>
      </c>
      <c r="E2255" s="4">
        <v>6914.86</v>
      </c>
      <c r="F2255" s="2" t="s">
        <v>14</v>
      </c>
      <c r="G2255" s="5">
        <v>32</v>
      </c>
      <c r="H2255" s="2" t="s">
        <v>29</v>
      </c>
      <c r="I2255" s="2" t="s">
        <v>25</v>
      </c>
      <c r="J2255" s="2" t="s">
        <v>49</v>
      </c>
      <c r="K2255" s="2" t="s">
        <v>18</v>
      </c>
    </row>
    <row r="2256" spans="1:11" x14ac:dyDescent="0.3">
      <c r="A2256" s="2" t="s">
        <v>2643</v>
      </c>
      <c r="B2256" s="2" t="s">
        <v>136</v>
      </c>
      <c r="C2256" s="3">
        <v>45789.378472222219</v>
      </c>
      <c r="D2256" s="2" t="s">
        <v>13</v>
      </c>
      <c r="E2256" s="4">
        <v>1134.43</v>
      </c>
      <c r="F2256" s="2" t="s">
        <v>14</v>
      </c>
      <c r="G2256" s="5">
        <v>59</v>
      </c>
      <c r="H2256" s="2" t="s">
        <v>15</v>
      </c>
      <c r="I2256" s="2" t="s">
        <v>16</v>
      </c>
      <c r="J2256" s="2" t="s">
        <v>17</v>
      </c>
      <c r="K2256" s="2" t="s">
        <v>45</v>
      </c>
    </row>
    <row r="2257" spans="1:11" x14ac:dyDescent="0.3">
      <c r="A2257" s="2" t="s">
        <v>2644</v>
      </c>
      <c r="B2257" s="2" t="s">
        <v>429</v>
      </c>
      <c r="C2257" s="3">
        <v>45950.525000000001</v>
      </c>
      <c r="D2257" s="2" t="s">
        <v>28</v>
      </c>
      <c r="E2257" s="4">
        <v>4648.1499999999996</v>
      </c>
      <c r="F2257" s="2" t="s">
        <v>14</v>
      </c>
      <c r="G2257" s="5">
        <v>31</v>
      </c>
      <c r="H2257" s="2" t="s">
        <v>29</v>
      </c>
      <c r="I2257" s="2" t="s">
        <v>25</v>
      </c>
      <c r="J2257" s="2" t="s">
        <v>49</v>
      </c>
      <c r="K2257" s="2" t="s">
        <v>45</v>
      </c>
    </row>
    <row r="2258" spans="1:11" x14ac:dyDescent="0.3">
      <c r="A2258" s="2" t="s">
        <v>2645</v>
      </c>
      <c r="B2258" s="2" t="s">
        <v>228</v>
      </c>
      <c r="C2258" s="3">
        <v>45769.961111111108</v>
      </c>
      <c r="D2258" s="2" t="s">
        <v>28</v>
      </c>
      <c r="E2258" s="4">
        <v>62570.11</v>
      </c>
      <c r="F2258" s="2" t="s">
        <v>14</v>
      </c>
      <c r="G2258" s="5">
        <v>45</v>
      </c>
      <c r="H2258" s="2" t="s">
        <v>15</v>
      </c>
      <c r="I2258" s="2" t="s">
        <v>48</v>
      </c>
      <c r="J2258" s="2" t="s">
        <v>44</v>
      </c>
      <c r="K2258" s="2" t="s">
        <v>18</v>
      </c>
    </row>
    <row r="2259" spans="1:11" x14ac:dyDescent="0.3">
      <c r="A2259" s="2" t="s">
        <v>2646</v>
      </c>
      <c r="B2259" s="2" t="s">
        <v>774</v>
      </c>
      <c r="C2259" s="3">
        <v>45824.632638888892</v>
      </c>
      <c r="D2259" s="2" t="s">
        <v>28</v>
      </c>
      <c r="E2259" s="4">
        <v>27404.61</v>
      </c>
      <c r="F2259" s="2" t="s">
        <v>57</v>
      </c>
      <c r="G2259" s="5">
        <v>42</v>
      </c>
      <c r="H2259" s="2" t="s">
        <v>15</v>
      </c>
      <c r="I2259" s="2" t="s">
        <v>95</v>
      </c>
      <c r="J2259" s="2" t="s">
        <v>17</v>
      </c>
      <c r="K2259" s="2" t="s">
        <v>18</v>
      </c>
    </row>
    <row r="2260" spans="1:11" x14ac:dyDescent="0.3">
      <c r="A2260" s="2" t="s">
        <v>2647</v>
      </c>
      <c r="B2260" s="2" t="s">
        <v>329</v>
      </c>
      <c r="C2260" s="3">
        <v>45907.947222222218</v>
      </c>
      <c r="D2260" s="2" t="s">
        <v>28</v>
      </c>
      <c r="E2260" s="4">
        <v>7824.18</v>
      </c>
      <c r="F2260" s="2" t="s">
        <v>14</v>
      </c>
      <c r="G2260" s="5">
        <v>31</v>
      </c>
      <c r="H2260" s="2" t="s">
        <v>15</v>
      </c>
      <c r="I2260" s="2" t="s">
        <v>34</v>
      </c>
      <c r="J2260" s="2" t="s">
        <v>49</v>
      </c>
      <c r="K2260" s="2" t="s">
        <v>18</v>
      </c>
    </row>
    <row r="2261" spans="1:11" x14ac:dyDescent="0.3">
      <c r="A2261" s="2" t="s">
        <v>2648</v>
      </c>
      <c r="B2261" s="2" t="s">
        <v>115</v>
      </c>
      <c r="C2261" s="3">
        <v>45953.151388888888</v>
      </c>
      <c r="D2261" s="2" t="s">
        <v>154</v>
      </c>
      <c r="E2261" s="4">
        <v>2000</v>
      </c>
      <c r="F2261" s="2" t="s">
        <v>14</v>
      </c>
      <c r="G2261" s="5">
        <v>42</v>
      </c>
      <c r="H2261" s="2" t="s">
        <v>29</v>
      </c>
      <c r="I2261" s="2" t="s">
        <v>34</v>
      </c>
      <c r="J2261" s="2" t="s">
        <v>44</v>
      </c>
      <c r="K2261" s="2" t="s">
        <v>18</v>
      </c>
    </row>
    <row r="2262" spans="1:11" x14ac:dyDescent="0.3">
      <c r="A2262" s="2" t="s">
        <v>2649</v>
      </c>
      <c r="B2262" s="2" t="s">
        <v>88</v>
      </c>
      <c r="C2262" s="3">
        <v>45986.376388888893</v>
      </c>
      <c r="D2262" s="2" t="s">
        <v>154</v>
      </c>
      <c r="E2262" s="4">
        <v>10000</v>
      </c>
      <c r="F2262" s="2" t="s">
        <v>57</v>
      </c>
      <c r="G2262" s="5">
        <v>25</v>
      </c>
      <c r="H2262" s="2" t="s">
        <v>29</v>
      </c>
      <c r="I2262" s="2" t="s">
        <v>34</v>
      </c>
      <c r="J2262" s="2" t="s">
        <v>49</v>
      </c>
      <c r="K2262" s="2" t="s">
        <v>18</v>
      </c>
    </row>
    <row r="2263" spans="1:11" x14ac:dyDescent="0.3">
      <c r="A2263" s="2" t="s">
        <v>2650</v>
      </c>
      <c r="B2263" s="2" t="s">
        <v>54</v>
      </c>
      <c r="C2263" s="3">
        <v>45953.503472222219</v>
      </c>
      <c r="D2263" s="2" t="s">
        <v>28</v>
      </c>
      <c r="E2263" s="4">
        <v>21086.78</v>
      </c>
      <c r="F2263" s="2" t="s">
        <v>14</v>
      </c>
      <c r="G2263" s="5">
        <v>60</v>
      </c>
      <c r="H2263" s="2" t="s">
        <v>29</v>
      </c>
      <c r="I2263" s="2" t="s">
        <v>34</v>
      </c>
      <c r="J2263" s="2" t="s">
        <v>49</v>
      </c>
      <c r="K2263" s="2" t="s">
        <v>18</v>
      </c>
    </row>
    <row r="2264" spans="1:11" x14ac:dyDescent="0.3">
      <c r="A2264" s="2" t="s">
        <v>2651</v>
      </c>
      <c r="B2264" s="2" t="s">
        <v>90</v>
      </c>
      <c r="C2264" s="3">
        <v>45686.431944444441</v>
      </c>
      <c r="D2264" s="2" t="s">
        <v>154</v>
      </c>
      <c r="E2264" s="4">
        <v>40000</v>
      </c>
      <c r="F2264" s="2" t="s">
        <v>14</v>
      </c>
      <c r="G2264" s="5">
        <v>22</v>
      </c>
      <c r="H2264" s="2" t="s">
        <v>29</v>
      </c>
      <c r="I2264" s="2" t="s">
        <v>48</v>
      </c>
      <c r="J2264" s="2" t="s">
        <v>49</v>
      </c>
      <c r="K2264" s="2" t="s">
        <v>45</v>
      </c>
    </row>
    <row r="2265" spans="1:11" x14ac:dyDescent="0.3">
      <c r="A2265" s="2" t="s">
        <v>2652</v>
      </c>
      <c r="B2265" s="2" t="s">
        <v>415</v>
      </c>
      <c r="C2265" s="3">
        <v>45880.582638888889</v>
      </c>
      <c r="D2265" s="2" t="s">
        <v>28</v>
      </c>
      <c r="E2265" s="4">
        <v>38923.08</v>
      </c>
      <c r="F2265" s="2" t="s">
        <v>14</v>
      </c>
      <c r="G2265" s="5">
        <v>30</v>
      </c>
      <c r="H2265" s="2" t="s">
        <v>29</v>
      </c>
      <c r="I2265" s="2" t="s">
        <v>21</v>
      </c>
      <c r="J2265" s="2" t="s">
        <v>49</v>
      </c>
      <c r="K2265" s="2" t="s">
        <v>22</v>
      </c>
    </row>
    <row r="2266" spans="1:11" x14ac:dyDescent="0.3">
      <c r="A2266" s="2" t="s">
        <v>2653</v>
      </c>
      <c r="B2266" s="2" t="s">
        <v>282</v>
      </c>
      <c r="C2266" s="3">
        <v>45719.324305555558</v>
      </c>
      <c r="D2266" s="2" t="s">
        <v>28</v>
      </c>
      <c r="E2266" s="4">
        <v>3328.9</v>
      </c>
      <c r="F2266" s="2" t="s">
        <v>14</v>
      </c>
      <c r="G2266" s="5">
        <v>33</v>
      </c>
      <c r="H2266" s="2" t="s">
        <v>29</v>
      </c>
      <c r="I2266" s="2" t="s">
        <v>34</v>
      </c>
      <c r="J2266" s="2" t="s">
        <v>17</v>
      </c>
      <c r="K2266" s="2" t="s">
        <v>45</v>
      </c>
    </row>
    <row r="2267" spans="1:11" x14ac:dyDescent="0.3">
      <c r="A2267" s="2" t="s">
        <v>2654</v>
      </c>
      <c r="B2267" s="2" t="s">
        <v>746</v>
      </c>
      <c r="C2267" s="3">
        <v>45992.832638888889</v>
      </c>
      <c r="D2267" s="2" t="s">
        <v>33</v>
      </c>
      <c r="E2267" s="4">
        <v>9405.02</v>
      </c>
      <c r="F2267" s="2" t="s">
        <v>14</v>
      </c>
      <c r="G2267" s="5">
        <v>44</v>
      </c>
      <c r="H2267" s="2" t="s">
        <v>15</v>
      </c>
      <c r="I2267" s="2" t="s">
        <v>21</v>
      </c>
      <c r="J2267" s="2" t="s">
        <v>17</v>
      </c>
      <c r="K2267" s="2" t="s">
        <v>18</v>
      </c>
    </row>
    <row r="2268" spans="1:11" x14ac:dyDescent="0.3">
      <c r="A2268" s="2" t="s">
        <v>2655</v>
      </c>
      <c r="B2268" s="2" t="s">
        <v>662</v>
      </c>
      <c r="C2268" s="3">
        <v>45663.867361111108</v>
      </c>
      <c r="D2268" s="2" t="s">
        <v>28</v>
      </c>
      <c r="E2268" s="4">
        <v>16055.4</v>
      </c>
      <c r="F2268" s="2" t="s">
        <v>14</v>
      </c>
      <c r="G2268" s="5">
        <v>45</v>
      </c>
      <c r="H2268" s="2" t="s">
        <v>15</v>
      </c>
      <c r="I2268" s="2" t="s">
        <v>34</v>
      </c>
      <c r="J2268" s="2" t="s">
        <v>52</v>
      </c>
      <c r="K2268" s="2" t="s">
        <v>18</v>
      </c>
    </row>
    <row r="2269" spans="1:11" x14ac:dyDescent="0.3">
      <c r="A2269" s="2" t="s">
        <v>2656</v>
      </c>
      <c r="B2269" s="2" t="s">
        <v>513</v>
      </c>
      <c r="C2269" s="3">
        <v>45981.502083333333</v>
      </c>
      <c r="D2269" s="2" t="s">
        <v>13</v>
      </c>
      <c r="E2269" s="4">
        <v>1106.24</v>
      </c>
      <c r="F2269" s="2" t="s">
        <v>14</v>
      </c>
      <c r="G2269" s="5">
        <v>42</v>
      </c>
      <c r="H2269" s="2" t="s">
        <v>29</v>
      </c>
      <c r="I2269" s="2" t="s">
        <v>95</v>
      </c>
      <c r="J2269" s="2" t="s">
        <v>44</v>
      </c>
      <c r="K2269" s="2" t="s">
        <v>22</v>
      </c>
    </row>
    <row r="2270" spans="1:11" x14ac:dyDescent="0.3">
      <c r="A2270" s="2" t="s">
        <v>2657</v>
      </c>
      <c r="B2270" s="2" t="s">
        <v>176</v>
      </c>
      <c r="C2270" s="3">
        <v>45814.668055555558</v>
      </c>
      <c r="D2270" s="2" t="s">
        <v>13</v>
      </c>
      <c r="E2270" s="4">
        <v>3651.07</v>
      </c>
      <c r="F2270" s="2" t="s">
        <v>14</v>
      </c>
      <c r="G2270" s="5">
        <v>32</v>
      </c>
      <c r="H2270" s="2" t="s">
        <v>15</v>
      </c>
      <c r="I2270" s="2" t="s">
        <v>34</v>
      </c>
      <c r="J2270" s="2" t="s">
        <v>49</v>
      </c>
      <c r="K2270" s="2" t="s">
        <v>45</v>
      </c>
    </row>
    <row r="2271" spans="1:11" x14ac:dyDescent="0.3">
      <c r="A2271" s="2" t="s">
        <v>2658</v>
      </c>
      <c r="B2271" s="2" t="s">
        <v>774</v>
      </c>
      <c r="C2271" s="3">
        <v>45821.73333333333</v>
      </c>
      <c r="D2271" s="2" t="s">
        <v>28</v>
      </c>
      <c r="E2271" s="4">
        <v>22356.13</v>
      </c>
      <c r="F2271" s="2" t="s">
        <v>14</v>
      </c>
      <c r="G2271" s="5">
        <v>42</v>
      </c>
      <c r="H2271" s="2" t="s">
        <v>15</v>
      </c>
      <c r="I2271" s="2" t="s">
        <v>95</v>
      </c>
      <c r="J2271" s="2" t="s">
        <v>17</v>
      </c>
      <c r="K2271" s="2" t="s">
        <v>18</v>
      </c>
    </row>
    <row r="2272" spans="1:11" x14ac:dyDescent="0.3">
      <c r="A2272" s="2" t="s">
        <v>2659</v>
      </c>
      <c r="B2272" s="2" t="s">
        <v>171</v>
      </c>
      <c r="C2272" s="3">
        <v>45734.438888888893</v>
      </c>
      <c r="D2272" s="2" t="s">
        <v>28</v>
      </c>
      <c r="E2272" s="4">
        <v>14781.88</v>
      </c>
      <c r="F2272" s="2" t="s">
        <v>14</v>
      </c>
      <c r="G2272" s="5">
        <v>51</v>
      </c>
      <c r="H2272" s="2" t="s">
        <v>29</v>
      </c>
      <c r="I2272" s="2" t="s">
        <v>25</v>
      </c>
      <c r="J2272" s="2" t="s">
        <v>17</v>
      </c>
      <c r="K2272" s="2" t="s">
        <v>45</v>
      </c>
    </row>
    <row r="2273" spans="1:11" x14ac:dyDescent="0.3">
      <c r="A2273" s="2" t="s">
        <v>2660</v>
      </c>
      <c r="B2273" s="2" t="s">
        <v>1086</v>
      </c>
      <c r="C2273" s="3">
        <v>46015.29791666667</v>
      </c>
      <c r="D2273" s="2" t="s">
        <v>33</v>
      </c>
      <c r="E2273" s="4">
        <v>1731.02</v>
      </c>
      <c r="F2273" s="2" t="s">
        <v>57</v>
      </c>
      <c r="G2273" s="5">
        <v>60</v>
      </c>
      <c r="H2273" s="2" t="s">
        <v>15</v>
      </c>
      <c r="I2273" s="2" t="s">
        <v>34</v>
      </c>
      <c r="J2273" s="2" t="s">
        <v>44</v>
      </c>
      <c r="K2273" s="2" t="s">
        <v>18</v>
      </c>
    </row>
    <row r="2274" spans="1:11" x14ac:dyDescent="0.3">
      <c r="A2274" s="2" t="s">
        <v>2661</v>
      </c>
      <c r="B2274" s="2" t="s">
        <v>772</v>
      </c>
      <c r="C2274" s="3">
        <v>45683.906944444447</v>
      </c>
      <c r="D2274" s="2" t="s">
        <v>33</v>
      </c>
      <c r="E2274" s="4">
        <v>14701</v>
      </c>
      <c r="F2274" s="2" t="s">
        <v>14</v>
      </c>
      <c r="G2274" s="5">
        <v>31</v>
      </c>
      <c r="H2274" s="2" t="s">
        <v>15</v>
      </c>
      <c r="I2274" s="2" t="s">
        <v>34</v>
      </c>
      <c r="J2274" s="2" t="s">
        <v>52</v>
      </c>
      <c r="K2274" s="2" t="s">
        <v>45</v>
      </c>
    </row>
    <row r="2275" spans="1:11" x14ac:dyDescent="0.3">
      <c r="A2275" s="2" t="s">
        <v>2662</v>
      </c>
      <c r="B2275" s="2" t="s">
        <v>1068</v>
      </c>
      <c r="C2275" s="3">
        <v>45859.616666666669</v>
      </c>
      <c r="D2275" s="2" t="s">
        <v>13</v>
      </c>
      <c r="E2275" s="4">
        <v>2501.7199999999998</v>
      </c>
      <c r="F2275" s="2" t="s">
        <v>14</v>
      </c>
      <c r="G2275" s="5">
        <v>40</v>
      </c>
      <c r="H2275" s="2" t="s">
        <v>29</v>
      </c>
      <c r="I2275" s="2" t="s">
        <v>60</v>
      </c>
      <c r="J2275" s="2" t="s">
        <v>44</v>
      </c>
      <c r="K2275" s="2" t="s">
        <v>18</v>
      </c>
    </row>
    <row r="2276" spans="1:11" x14ac:dyDescent="0.3">
      <c r="A2276" s="2" t="s">
        <v>2663</v>
      </c>
      <c r="B2276" s="2" t="s">
        <v>299</v>
      </c>
      <c r="C2276" s="3">
        <v>45962.772222222222</v>
      </c>
      <c r="D2276" s="2" t="s">
        <v>28</v>
      </c>
      <c r="E2276" s="4">
        <v>5550.06</v>
      </c>
      <c r="F2276" s="2" t="s">
        <v>57</v>
      </c>
      <c r="G2276" s="5">
        <v>27</v>
      </c>
      <c r="H2276" s="2" t="s">
        <v>15</v>
      </c>
      <c r="I2276" s="2" t="s">
        <v>34</v>
      </c>
      <c r="J2276" s="2" t="s">
        <v>49</v>
      </c>
      <c r="K2276" s="2" t="s">
        <v>18</v>
      </c>
    </row>
    <row r="2277" spans="1:11" x14ac:dyDescent="0.3">
      <c r="A2277" s="2" t="s">
        <v>2664</v>
      </c>
      <c r="B2277" s="2" t="s">
        <v>872</v>
      </c>
      <c r="C2277" s="3">
        <v>45704.310416666667</v>
      </c>
      <c r="D2277" s="2" t="s">
        <v>13</v>
      </c>
      <c r="E2277" s="4">
        <v>1506.17</v>
      </c>
      <c r="F2277" s="2" t="s">
        <v>14</v>
      </c>
      <c r="G2277" s="5">
        <v>28</v>
      </c>
      <c r="H2277" s="2" t="s">
        <v>15</v>
      </c>
      <c r="I2277" s="2" t="s">
        <v>34</v>
      </c>
      <c r="J2277" s="2" t="s">
        <v>17</v>
      </c>
      <c r="K2277" s="2" t="s">
        <v>22</v>
      </c>
    </row>
    <row r="2278" spans="1:11" x14ac:dyDescent="0.3">
      <c r="A2278" s="2" t="s">
        <v>2665</v>
      </c>
      <c r="B2278" s="2" t="s">
        <v>415</v>
      </c>
      <c r="C2278" s="3">
        <v>45806.506249999999</v>
      </c>
      <c r="D2278" s="2" t="s">
        <v>28</v>
      </c>
      <c r="E2278" s="4">
        <v>68452.850000000006</v>
      </c>
      <c r="F2278" s="2" t="s">
        <v>14</v>
      </c>
      <c r="G2278" s="5">
        <v>30</v>
      </c>
      <c r="H2278" s="2" t="s">
        <v>29</v>
      </c>
      <c r="I2278" s="2" t="s">
        <v>21</v>
      </c>
      <c r="J2278" s="2" t="s">
        <v>49</v>
      </c>
      <c r="K2278" s="2" t="s">
        <v>18</v>
      </c>
    </row>
    <row r="2279" spans="1:11" x14ac:dyDescent="0.3">
      <c r="A2279" s="2" t="s">
        <v>2666</v>
      </c>
      <c r="B2279" s="2" t="s">
        <v>90</v>
      </c>
      <c r="C2279" s="3">
        <v>45725.420138888891</v>
      </c>
      <c r="D2279" s="2" t="s">
        <v>33</v>
      </c>
      <c r="E2279" s="4">
        <v>50271.65</v>
      </c>
      <c r="F2279" s="2" t="s">
        <v>57</v>
      </c>
      <c r="G2279" s="5">
        <v>22</v>
      </c>
      <c r="H2279" s="2" t="s">
        <v>29</v>
      </c>
      <c r="I2279" s="2" t="s">
        <v>48</v>
      </c>
      <c r="J2279" s="2" t="s">
        <v>49</v>
      </c>
      <c r="K2279" s="2" t="s">
        <v>35</v>
      </c>
    </row>
    <row r="2280" spans="1:11" x14ac:dyDescent="0.3">
      <c r="A2280" s="2" t="s">
        <v>2667</v>
      </c>
      <c r="B2280" s="2" t="s">
        <v>165</v>
      </c>
      <c r="C2280" s="3">
        <v>45901.782638888893</v>
      </c>
      <c r="D2280" s="2" t="s">
        <v>28</v>
      </c>
      <c r="E2280" s="4">
        <v>8598.33</v>
      </c>
      <c r="F2280" s="2" t="s">
        <v>14</v>
      </c>
      <c r="G2280" s="5">
        <v>31</v>
      </c>
      <c r="H2280" s="2" t="s">
        <v>29</v>
      </c>
      <c r="I2280" s="2" t="s">
        <v>30</v>
      </c>
      <c r="J2280" s="2" t="s">
        <v>52</v>
      </c>
      <c r="K2280" s="2" t="s">
        <v>18</v>
      </c>
    </row>
    <row r="2281" spans="1:11" x14ac:dyDescent="0.3">
      <c r="A2281" s="2" t="s">
        <v>2668</v>
      </c>
      <c r="B2281" s="2" t="s">
        <v>80</v>
      </c>
      <c r="C2281" s="3">
        <v>45683.725694444453</v>
      </c>
      <c r="D2281" s="2" t="s">
        <v>13</v>
      </c>
      <c r="E2281" s="4">
        <v>1559.57</v>
      </c>
      <c r="F2281" s="2" t="s">
        <v>14</v>
      </c>
      <c r="G2281" s="5">
        <v>27</v>
      </c>
      <c r="H2281" s="2" t="s">
        <v>29</v>
      </c>
      <c r="I2281" s="2" t="s">
        <v>60</v>
      </c>
      <c r="J2281" s="2" t="s">
        <v>17</v>
      </c>
      <c r="K2281" s="2" t="s">
        <v>18</v>
      </c>
    </row>
    <row r="2282" spans="1:11" x14ac:dyDescent="0.3">
      <c r="A2282" s="2" t="s">
        <v>2669</v>
      </c>
      <c r="B2282" s="2" t="s">
        <v>105</v>
      </c>
      <c r="C2282" s="3">
        <v>45792.100694444453</v>
      </c>
      <c r="D2282" s="2" t="s">
        <v>28</v>
      </c>
      <c r="E2282" s="4">
        <v>36828.46</v>
      </c>
      <c r="F2282" s="2" t="s">
        <v>14</v>
      </c>
      <c r="G2282" s="5">
        <v>42</v>
      </c>
      <c r="H2282" s="2" t="s">
        <v>15</v>
      </c>
      <c r="I2282" s="2" t="s">
        <v>34</v>
      </c>
      <c r="J2282" s="2" t="s">
        <v>49</v>
      </c>
      <c r="K2282" s="2" t="s">
        <v>18</v>
      </c>
    </row>
    <row r="2283" spans="1:11" x14ac:dyDescent="0.3">
      <c r="A2283" s="2" t="s">
        <v>2670</v>
      </c>
      <c r="B2283" s="2" t="s">
        <v>406</v>
      </c>
      <c r="C2283" s="3">
        <v>45914.575694444437</v>
      </c>
      <c r="D2283" s="2" t="s">
        <v>28</v>
      </c>
      <c r="E2283" s="4">
        <v>19778.689999999999</v>
      </c>
      <c r="F2283" s="2" t="s">
        <v>14</v>
      </c>
      <c r="G2283" s="5">
        <v>28</v>
      </c>
      <c r="H2283" s="2" t="s">
        <v>15</v>
      </c>
      <c r="I2283" s="2" t="s">
        <v>60</v>
      </c>
      <c r="J2283" s="2" t="s">
        <v>44</v>
      </c>
      <c r="K2283" s="2" t="s">
        <v>35</v>
      </c>
    </row>
    <row r="2284" spans="1:11" x14ac:dyDescent="0.3">
      <c r="A2284" s="2" t="s">
        <v>2671</v>
      </c>
      <c r="B2284" s="2" t="s">
        <v>1777</v>
      </c>
      <c r="C2284" s="3">
        <v>46015.199999999997</v>
      </c>
      <c r="D2284" s="2" t="s">
        <v>38</v>
      </c>
      <c r="E2284" s="4">
        <v>15827.81</v>
      </c>
      <c r="F2284" s="2" t="s">
        <v>14</v>
      </c>
      <c r="G2284" s="5">
        <v>46</v>
      </c>
      <c r="H2284" s="2" t="s">
        <v>15</v>
      </c>
      <c r="I2284" s="2" t="s">
        <v>95</v>
      </c>
      <c r="J2284" s="2" t="s">
        <v>52</v>
      </c>
      <c r="K2284" s="2" t="s">
        <v>22</v>
      </c>
    </row>
    <row r="2285" spans="1:11" x14ac:dyDescent="0.3">
      <c r="A2285" s="2" t="s">
        <v>2672</v>
      </c>
      <c r="B2285" s="2" t="s">
        <v>364</v>
      </c>
      <c r="C2285" s="3">
        <v>45727.649305555547</v>
      </c>
      <c r="D2285" s="2" t="s">
        <v>13</v>
      </c>
      <c r="E2285" s="4">
        <v>3729.63</v>
      </c>
      <c r="F2285" s="2" t="s">
        <v>57</v>
      </c>
      <c r="G2285" s="5">
        <v>32</v>
      </c>
      <c r="H2285" s="2" t="s">
        <v>15</v>
      </c>
      <c r="I2285" s="2" t="s">
        <v>34</v>
      </c>
      <c r="J2285" s="2" t="s">
        <v>17</v>
      </c>
      <c r="K2285" s="2" t="s">
        <v>18</v>
      </c>
    </row>
    <row r="2286" spans="1:11" x14ac:dyDescent="0.3">
      <c r="A2286" s="2" t="s">
        <v>2673</v>
      </c>
      <c r="B2286" s="2" t="s">
        <v>939</v>
      </c>
      <c r="C2286" s="3">
        <v>45759.642361111109</v>
      </c>
      <c r="D2286" s="2" t="s">
        <v>28</v>
      </c>
      <c r="E2286" s="4">
        <v>27461.72</v>
      </c>
      <c r="F2286" s="2" t="s">
        <v>14</v>
      </c>
      <c r="G2286" s="5">
        <v>29</v>
      </c>
      <c r="H2286" s="2" t="s">
        <v>15</v>
      </c>
      <c r="I2286" s="2" t="s">
        <v>21</v>
      </c>
      <c r="J2286" s="2" t="s">
        <v>17</v>
      </c>
      <c r="K2286" s="2" t="s">
        <v>45</v>
      </c>
    </row>
    <row r="2287" spans="1:11" x14ac:dyDescent="0.3">
      <c r="A2287" s="2" t="s">
        <v>2674</v>
      </c>
      <c r="B2287" s="2" t="s">
        <v>315</v>
      </c>
      <c r="C2287" s="3">
        <v>45991.758333333331</v>
      </c>
      <c r="D2287" s="2" t="s">
        <v>28</v>
      </c>
      <c r="E2287" s="4">
        <v>18914.849999999999</v>
      </c>
      <c r="F2287" s="2" t="s">
        <v>14</v>
      </c>
      <c r="G2287" s="5">
        <v>40</v>
      </c>
      <c r="H2287" s="2" t="s">
        <v>15</v>
      </c>
      <c r="I2287" s="2" t="s">
        <v>34</v>
      </c>
      <c r="J2287" s="2" t="s">
        <v>17</v>
      </c>
      <c r="K2287" s="2" t="s">
        <v>18</v>
      </c>
    </row>
    <row r="2288" spans="1:11" x14ac:dyDescent="0.3">
      <c r="A2288" s="2" t="s">
        <v>2675</v>
      </c>
      <c r="B2288" s="2" t="s">
        <v>258</v>
      </c>
      <c r="C2288" s="3">
        <v>45945.824305555558</v>
      </c>
      <c r="D2288" s="2" t="s">
        <v>28</v>
      </c>
      <c r="E2288" s="4">
        <v>19513.34</v>
      </c>
      <c r="F2288" s="2" t="s">
        <v>14</v>
      </c>
      <c r="G2288" s="5">
        <v>58</v>
      </c>
      <c r="H2288" s="2" t="s">
        <v>29</v>
      </c>
      <c r="I2288" s="2" t="s">
        <v>30</v>
      </c>
      <c r="J2288" s="2" t="s">
        <v>49</v>
      </c>
      <c r="K2288" s="2" t="s">
        <v>35</v>
      </c>
    </row>
    <row r="2289" spans="1:11" x14ac:dyDescent="0.3">
      <c r="A2289" s="2" t="s">
        <v>2676</v>
      </c>
      <c r="B2289" s="2" t="s">
        <v>272</v>
      </c>
      <c r="C2289" s="3">
        <v>45926.302083333343</v>
      </c>
      <c r="D2289" s="2" t="s">
        <v>13</v>
      </c>
      <c r="E2289" s="4">
        <v>5653.95</v>
      </c>
      <c r="F2289" s="2" t="s">
        <v>14</v>
      </c>
      <c r="G2289" s="5">
        <v>42</v>
      </c>
      <c r="H2289" s="2" t="s">
        <v>29</v>
      </c>
      <c r="I2289" s="2" t="s">
        <v>60</v>
      </c>
      <c r="J2289" s="2" t="s">
        <v>17</v>
      </c>
      <c r="K2289" s="2" t="s">
        <v>45</v>
      </c>
    </row>
    <row r="2290" spans="1:11" x14ac:dyDescent="0.3">
      <c r="A2290" s="2" t="s">
        <v>2677</v>
      </c>
      <c r="B2290" s="2" t="s">
        <v>872</v>
      </c>
      <c r="C2290" s="3">
        <v>45694.367361111108</v>
      </c>
      <c r="D2290" s="2" t="s">
        <v>13</v>
      </c>
      <c r="E2290" s="4">
        <v>1175.21</v>
      </c>
      <c r="F2290" s="2" t="s">
        <v>14</v>
      </c>
      <c r="G2290" s="5">
        <v>28</v>
      </c>
      <c r="H2290" s="2" t="s">
        <v>15</v>
      </c>
      <c r="I2290" s="2" t="s">
        <v>34</v>
      </c>
      <c r="J2290" s="2" t="s">
        <v>17</v>
      </c>
      <c r="K2290" s="2" t="s">
        <v>22</v>
      </c>
    </row>
    <row r="2291" spans="1:11" x14ac:dyDescent="0.3">
      <c r="A2291" s="2" t="s">
        <v>2678</v>
      </c>
      <c r="B2291" s="2" t="s">
        <v>716</v>
      </c>
      <c r="C2291" s="3">
        <v>45878.446527777778</v>
      </c>
      <c r="D2291" s="2" t="s">
        <v>28</v>
      </c>
      <c r="E2291" s="4">
        <v>25328.42</v>
      </c>
      <c r="F2291" s="2" t="s">
        <v>57</v>
      </c>
      <c r="G2291" s="5">
        <v>33</v>
      </c>
      <c r="H2291" s="2" t="s">
        <v>15</v>
      </c>
      <c r="I2291" s="2" t="s">
        <v>34</v>
      </c>
      <c r="J2291" s="2" t="s">
        <v>49</v>
      </c>
      <c r="K2291" s="2" t="s">
        <v>45</v>
      </c>
    </row>
    <row r="2292" spans="1:11" x14ac:dyDescent="0.3">
      <c r="A2292" s="2" t="s">
        <v>2679</v>
      </c>
      <c r="B2292" s="2" t="s">
        <v>144</v>
      </c>
      <c r="C2292" s="3">
        <v>45952.088194444441</v>
      </c>
      <c r="D2292" s="2" t="s">
        <v>38</v>
      </c>
      <c r="E2292" s="4">
        <v>8833.15</v>
      </c>
      <c r="F2292" s="2" t="s">
        <v>14</v>
      </c>
      <c r="G2292" s="5">
        <v>49</v>
      </c>
      <c r="H2292" s="2" t="s">
        <v>15</v>
      </c>
      <c r="I2292" s="2" t="s">
        <v>60</v>
      </c>
      <c r="J2292" s="2" t="s">
        <v>17</v>
      </c>
      <c r="K2292" s="2" t="s">
        <v>45</v>
      </c>
    </row>
    <row r="2293" spans="1:11" x14ac:dyDescent="0.3">
      <c r="A2293" s="2" t="s">
        <v>2680</v>
      </c>
      <c r="B2293" s="2" t="s">
        <v>415</v>
      </c>
      <c r="C2293" s="3">
        <v>46001.560416666667</v>
      </c>
      <c r="D2293" s="2" t="s">
        <v>13</v>
      </c>
      <c r="E2293" s="4">
        <v>698.41</v>
      </c>
      <c r="F2293" s="2" t="s">
        <v>57</v>
      </c>
      <c r="G2293" s="5">
        <v>30</v>
      </c>
      <c r="H2293" s="2" t="s">
        <v>29</v>
      </c>
      <c r="I2293" s="2" t="s">
        <v>21</v>
      </c>
      <c r="J2293" s="2" t="s">
        <v>49</v>
      </c>
      <c r="K2293" s="2" t="s">
        <v>18</v>
      </c>
    </row>
    <row r="2294" spans="1:11" x14ac:dyDescent="0.3">
      <c r="A2294" s="2" t="s">
        <v>2681</v>
      </c>
      <c r="B2294" s="2" t="s">
        <v>282</v>
      </c>
      <c r="C2294" s="3">
        <v>45845.466666666667</v>
      </c>
      <c r="D2294" s="2" t="s">
        <v>13</v>
      </c>
      <c r="E2294" s="4">
        <v>788.22</v>
      </c>
      <c r="F2294" s="2" t="s">
        <v>14</v>
      </c>
      <c r="G2294" s="5">
        <v>33</v>
      </c>
      <c r="H2294" s="2" t="s">
        <v>29</v>
      </c>
      <c r="I2294" s="2" t="s">
        <v>34</v>
      </c>
      <c r="J2294" s="2" t="s">
        <v>17</v>
      </c>
      <c r="K2294" s="2" t="s">
        <v>45</v>
      </c>
    </row>
    <row r="2295" spans="1:11" x14ac:dyDescent="0.3">
      <c r="A2295" s="2" t="s">
        <v>2682</v>
      </c>
      <c r="B2295" s="2" t="s">
        <v>158</v>
      </c>
      <c r="C2295" s="3">
        <v>45822.484722222223</v>
      </c>
      <c r="D2295" s="2" t="s">
        <v>33</v>
      </c>
      <c r="E2295" s="4">
        <v>41886.050000000003</v>
      </c>
      <c r="F2295" s="2" t="s">
        <v>14</v>
      </c>
      <c r="G2295" s="5">
        <v>30</v>
      </c>
      <c r="H2295" s="2" t="s">
        <v>29</v>
      </c>
      <c r="I2295" s="2" t="s">
        <v>34</v>
      </c>
      <c r="J2295" s="2" t="s">
        <v>44</v>
      </c>
      <c r="K2295" s="2" t="s">
        <v>18</v>
      </c>
    </row>
    <row r="2296" spans="1:11" x14ac:dyDescent="0.3">
      <c r="A2296" s="2" t="s">
        <v>2683</v>
      </c>
      <c r="B2296" s="2" t="s">
        <v>20</v>
      </c>
      <c r="C2296" s="3">
        <v>45993.03402777778</v>
      </c>
      <c r="D2296" s="2" t="s">
        <v>13</v>
      </c>
      <c r="E2296" s="4">
        <v>1496.12</v>
      </c>
      <c r="F2296" s="2" t="s">
        <v>14</v>
      </c>
      <c r="G2296" s="5">
        <v>43</v>
      </c>
      <c r="H2296" s="2" t="s">
        <v>15</v>
      </c>
      <c r="I2296" s="2" t="s">
        <v>21</v>
      </c>
      <c r="J2296" s="2" t="s">
        <v>17</v>
      </c>
      <c r="K2296" s="2" t="s">
        <v>45</v>
      </c>
    </row>
    <row r="2297" spans="1:11" x14ac:dyDescent="0.3">
      <c r="A2297" s="2" t="s">
        <v>2684</v>
      </c>
      <c r="B2297" s="2" t="s">
        <v>1130</v>
      </c>
      <c r="C2297" s="3">
        <v>45814.223611111112</v>
      </c>
      <c r="D2297" s="2" t="s">
        <v>28</v>
      </c>
      <c r="E2297" s="4">
        <v>39940.18</v>
      </c>
      <c r="F2297" s="2" t="s">
        <v>14</v>
      </c>
      <c r="G2297" s="5">
        <v>36</v>
      </c>
      <c r="H2297" s="2" t="s">
        <v>29</v>
      </c>
      <c r="I2297" s="2" t="s">
        <v>34</v>
      </c>
      <c r="J2297" s="2" t="s">
        <v>52</v>
      </c>
      <c r="K2297" s="2" t="s">
        <v>45</v>
      </c>
    </row>
    <row r="2298" spans="1:11" x14ac:dyDescent="0.3">
      <c r="A2298" s="2" t="s">
        <v>2685</v>
      </c>
      <c r="B2298" s="2" t="s">
        <v>476</v>
      </c>
      <c r="C2298" s="3">
        <v>45973.61041666667</v>
      </c>
      <c r="D2298" s="2" t="s">
        <v>38</v>
      </c>
      <c r="E2298" s="4">
        <v>13734.5</v>
      </c>
      <c r="F2298" s="2" t="s">
        <v>14</v>
      </c>
      <c r="G2298" s="5">
        <v>27</v>
      </c>
      <c r="H2298" s="2" t="s">
        <v>29</v>
      </c>
      <c r="I2298" s="2" t="s">
        <v>21</v>
      </c>
      <c r="J2298" s="2" t="s">
        <v>17</v>
      </c>
      <c r="K2298" s="2" t="s">
        <v>45</v>
      </c>
    </row>
    <row r="2299" spans="1:11" x14ac:dyDescent="0.3">
      <c r="A2299" s="2" t="s">
        <v>2686</v>
      </c>
      <c r="B2299" s="2" t="s">
        <v>248</v>
      </c>
      <c r="C2299" s="3">
        <v>45732.584722222222</v>
      </c>
      <c r="D2299" s="2" t="s">
        <v>13</v>
      </c>
      <c r="E2299" s="4">
        <v>1618.22</v>
      </c>
      <c r="F2299" s="2" t="s">
        <v>14</v>
      </c>
      <c r="G2299" s="5">
        <v>35</v>
      </c>
      <c r="H2299" s="2" t="s">
        <v>15</v>
      </c>
      <c r="I2299" s="2" t="s">
        <v>25</v>
      </c>
      <c r="J2299" s="2" t="s">
        <v>17</v>
      </c>
      <c r="K2299" s="2" t="s">
        <v>18</v>
      </c>
    </row>
    <row r="2300" spans="1:11" x14ac:dyDescent="0.3">
      <c r="A2300" s="2" t="s">
        <v>2687</v>
      </c>
      <c r="B2300" s="2" t="s">
        <v>949</v>
      </c>
      <c r="C2300" s="3">
        <v>45777.279861111107</v>
      </c>
      <c r="D2300" s="2" t="s">
        <v>13</v>
      </c>
      <c r="E2300" s="4">
        <v>909.73</v>
      </c>
      <c r="F2300" s="2" t="s">
        <v>14</v>
      </c>
      <c r="G2300" s="5">
        <v>45</v>
      </c>
      <c r="H2300" s="2" t="s">
        <v>29</v>
      </c>
      <c r="I2300" s="2" t="s">
        <v>34</v>
      </c>
      <c r="J2300" s="2" t="s">
        <v>17</v>
      </c>
      <c r="K2300" s="2" t="s">
        <v>35</v>
      </c>
    </row>
    <row r="2301" spans="1:11" x14ac:dyDescent="0.3">
      <c r="A2301" s="2" t="s">
        <v>2688</v>
      </c>
      <c r="B2301" s="2" t="s">
        <v>417</v>
      </c>
      <c r="C2301" s="3">
        <v>45849.2</v>
      </c>
      <c r="D2301" s="2" t="s">
        <v>28</v>
      </c>
      <c r="E2301" s="4">
        <v>19840.68</v>
      </c>
      <c r="F2301" s="2" t="s">
        <v>14</v>
      </c>
      <c r="G2301" s="5">
        <v>28</v>
      </c>
      <c r="H2301" s="2" t="s">
        <v>15</v>
      </c>
      <c r="I2301" s="2" t="s">
        <v>21</v>
      </c>
      <c r="J2301" s="2" t="s">
        <v>44</v>
      </c>
      <c r="K2301" s="2" t="s">
        <v>45</v>
      </c>
    </row>
    <row r="2302" spans="1:11" x14ac:dyDescent="0.3">
      <c r="A2302" s="2" t="s">
        <v>2689</v>
      </c>
      <c r="B2302" s="2" t="s">
        <v>128</v>
      </c>
      <c r="C2302" s="3">
        <v>45701.157638888893</v>
      </c>
      <c r="D2302" s="2" t="s">
        <v>13</v>
      </c>
      <c r="E2302" s="4">
        <v>3348.23</v>
      </c>
      <c r="F2302" s="2" t="s">
        <v>14</v>
      </c>
      <c r="G2302" s="5">
        <v>26</v>
      </c>
      <c r="H2302" s="2" t="s">
        <v>15</v>
      </c>
      <c r="I2302" s="2" t="s">
        <v>95</v>
      </c>
      <c r="J2302" s="2" t="s">
        <v>44</v>
      </c>
      <c r="K2302" s="2" t="s">
        <v>45</v>
      </c>
    </row>
    <row r="2303" spans="1:11" x14ac:dyDescent="0.3">
      <c r="A2303" s="2" t="s">
        <v>2690</v>
      </c>
      <c r="B2303" s="2" t="s">
        <v>1214</v>
      </c>
      <c r="C2303" s="3">
        <v>45685.318749999999</v>
      </c>
      <c r="D2303" s="2" t="s">
        <v>28</v>
      </c>
      <c r="E2303" s="4">
        <v>78230.87</v>
      </c>
      <c r="F2303" s="2" t="s">
        <v>14</v>
      </c>
      <c r="G2303" s="5">
        <v>54</v>
      </c>
      <c r="H2303" s="2" t="s">
        <v>29</v>
      </c>
      <c r="I2303" s="2" t="s">
        <v>95</v>
      </c>
      <c r="J2303" s="2" t="s">
        <v>52</v>
      </c>
      <c r="K2303" s="2" t="s">
        <v>35</v>
      </c>
    </row>
    <row r="2304" spans="1:11" x14ac:dyDescent="0.3">
      <c r="A2304" s="2" t="s">
        <v>2691</v>
      </c>
      <c r="B2304" s="2" t="s">
        <v>275</v>
      </c>
      <c r="C2304" s="3">
        <v>45733.375</v>
      </c>
      <c r="D2304" s="2" t="s">
        <v>28</v>
      </c>
      <c r="E2304" s="4">
        <v>73937.33</v>
      </c>
      <c r="F2304" s="2" t="s">
        <v>14</v>
      </c>
      <c r="G2304" s="5">
        <v>29</v>
      </c>
      <c r="H2304" s="2" t="s">
        <v>15</v>
      </c>
      <c r="I2304" s="2" t="s">
        <v>34</v>
      </c>
      <c r="J2304" s="2" t="s">
        <v>49</v>
      </c>
      <c r="K2304" s="2" t="s">
        <v>22</v>
      </c>
    </row>
    <row r="2305" spans="1:11" x14ac:dyDescent="0.3">
      <c r="A2305" s="2" t="s">
        <v>2692</v>
      </c>
      <c r="B2305" s="2" t="s">
        <v>489</v>
      </c>
      <c r="C2305" s="3">
        <v>45833.95208333333</v>
      </c>
      <c r="D2305" s="2" t="s">
        <v>38</v>
      </c>
      <c r="E2305" s="4">
        <v>7771.59</v>
      </c>
      <c r="F2305" s="2" t="s">
        <v>14</v>
      </c>
      <c r="G2305" s="5">
        <v>28</v>
      </c>
      <c r="H2305" s="2" t="s">
        <v>15</v>
      </c>
      <c r="I2305" s="2" t="s">
        <v>30</v>
      </c>
      <c r="J2305" s="2" t="s">
        <v>17</v>
      </c>
      <c r="K2305" s="2" t="s">
        <v>22</v>
      </c>
    </row>
    <row r="2306" spans="1:11" x14ac:dyDescent="0.3">
      <c r="A2306" s="2" t="s">
        <v>2693</v>
      </c>
      <c r="B2306" s="2" t="s">
        <v>532</v>
      </c>
      <c r="C2306" s="3">
        <v>45714.394444444442</v>
      </c>
      <c r="D2306" s="2" t="s">
        <v>13</v>
      </c>
      <c r="E2306" s="4">
        <v>1721.15</v>
      </c>
      <c r="F2306" s="2" t="s">
        <v>14</v>
      </c>
      <c r="G2306" s="5">
        <v>37</v>
      </c>
      <c r="H2306" s="2" t="s">
        <v>15</v>
      </c>
      <c r="I2306" s="2" t="s">
        <v>34</v>
      </c>
      <c r="J2306" s="2" t="s">
        <v>49</v>
      </c>
      <c r="K2306" s="2" t="s">
        <v>18</v>
      </c>
    </row>
    <row r="2307" spans="1:11" x14ac:dyDescent="0.3">
      <c r="A2307" s="2" t="s">
        <v>2694</v>
      </c>
      <c r="B2307" s="2" t="s">
        <v>368</v>
      </c>
      <c r="C2307" s="3">
        <v>45899.01458333333</v>
      </c>
      <c r="D2307" s="2" t="s">
        <v>28</v>
      </c>
      <c r="E2307" s="4">
        <v>39713.65</v>
      </c>
      <c r="F2307" s="2" t="s">
        <v>14</v>
      </c>
      <c r="G2307" s="5">
        <v>52</v>
      </c>
      <c r="H2307" s="2" t="s">
        <v>15</v>
      </c>
      <c r="I2307" s="2" t="s">
        <v>34</v>
      </c>
      <c r="J2307" s="2" t="s">
        <v>17</v>
      </c>
      <c r="K2307" s="2" t="s">
        <v>22</v>
      </c>
    </row>
    <row r="2308" spans="1:11" x14ac:dyDescent="0.3">
      <c r="A2308" s="2" t="s">
        <v>2695</v>
      </c>
      <c r="B2308" s="2" t="s">
        <v>909</v>
      </c>
      <c r="C2308" s="3">
        <v>45765.981944444437</v>
      </c>
      <c r="D2308" s="2" t="s">
        <v>28</v>
      </c>
      <c r="E2308" s="4">
        <v>8796.2999999999993</v>
      </c>
      <c r="F2308" s="2" t="s">
        <v>14</v>
      </c>
      <c r="G2308" s="5">
        <v>39</v>
      </c>
      <c r="H2308" s="2" t="s">
        <v>29</v>
      </c>
      <c r="I2308" s="2" t="s">
        <v>48</v>
      </c>
      <c r="J2308" s="2" t="s">
        <v>44</v>
      </c>
      <c r="K2308" s="2" t="s">
        <v>18</v>
      </c>
    </row>
    <row r="2309" spans="1:11" x14ac:dyDescent="0.3">
      <c r="A2309" s="2" t="s">
        <v>2696</v>
      </c>
      <c r="B2309" s="2" t="s">
        <v>192</v>
      </c>
      <c r="C2309" s="3">
        <v>45766.273611111108</v>
      </c>
      <c r="D2309" s="2" t="s">
        <v>13</v>
      </c>
      <c r="E2309" s="4">
        <v>950.76</v>
      </c>
      <c r="F2309" s="2" t="s">
        <v>14</v>
      </c>
      <c r="G2309" s="5">
        <v>48</v>
      </c>
      <c r="H2309" s="2" t="s">
        <v>29</v>
      </c>
      <c r="I2309" s="2" t="s">
        <v>60</v>
      </c>
      <c r="J2309" s="2" t="s">
        <v>49</v>
      </c>
      <c r="K2309" s="2" t="s">
        <v>18</v>
      </c>
    </row>
    <row r="2310" spans="1:11" x14ac:dyDescent="0.3">
      <c r="A2310" s="2" t="s">
        <v>2697</v>
      </c>
      <c r="B2310" s="2" t="s">
        <v>84</v>
      </c>
      <c r="C2310" s="3">
        <v>45925.357638888891</v>
      </c>
      <c r="D2310" s="2" t="s">
        <v>28</v>
      </c>
      <c r="E2310" s="4">
        <v>3166.14</v>
      </c>
      <c r="F2310" s="2" t="s">
        <v>14</v>
      </c>
      <c r="G2310" s="5">
        <v>33</v>
      </c>
      <c r="H2310" s="2" t="s">
        <v>15</v>
      </c>
      <c r="I2310" s="2" t="s">
        <v>34</v>
      </c>
      <c r="J2310" s="2" t="s">
        <v>17</v>
      </c>
      <c r="K2310" s="2" t="s">
        <v>35</v>
      </c>
    </row>
    <row r="2311" spans="1:11" x14ac:dyDescent="0.3">
      <c r="A2311" s="2" t="s">
        <v>2698</v>
      </c>
      <c r="B2311" s="2" t="s">
        <v>709</v>
      </c>
      <c r="C2311" s="3">
        <v>45905.823611111111</v>
      </c>
      <c r="D2311" s="2" t="s">
        <v>28</v>
      </c>
      <c r="E2311" s="4">
        <v>59883.35</v>
      </c>
      <c r="F2311" s="2" t="s">
        <v>14</v>
      </c>
      <c r="G2311" s="5">
        <v>44</v>
      </c>
      <c r="H2311" s="2" t="s">
        <v>15</v>
      </c>
      <c r="I2311" s="2" t="s">
        <v>34</v>
      </c>
      <c r="J2311" s="2" t="s">
        <v>44</v>
      </c>
      <c r="K2311" s="2" t="s">
        <v>18</v>
      </c>
    </row>
    <row r="2312" spans="1:11" x14ac:dyDescent="0.3">
      <c r="A2312" s="2" t="s">
        <v>2699</v>
      </c>
      <c r="B2312" s="2" t="s">
        <v>368</v>
      </c>
      <c r="C2312" s="3">
        <v>45730.947222222218</v>
      </c>
      <c r="D2312" s="2" t="s">
        <v>38</v>
      </c>
      <c r="E2312" s="4">
        <v>9760.27</v>
      </c>
      <c r="F2312" s="2" t="s">
        <v>14</v>
      </c>
      <c r="G2312" s="5">
        <v>52</v>
      </c>
      <c r="H2312" s="2" t="s">
        <v>15</v>
      </c>
      <c r="I2312" s="2" t="s">
        <v>34</v>
      </c>
      <c r="J2312" s="2" t="s">
        <v>17</v>
      </c>
      <c r="K2312" s="2" t="s">
        <v>18</v>
      </c>
    </row>
    <row r="2313" spans="1:11" x14ac:dyDescent="0.3">
      <c r="A2313" s="2" t="s">
        <v>2700</v>
      </c>
      <c r="B2313" s="2" t="s">
        <v>217</v>
      </c>
      <c r="C2313" s="3">
        <v>46000.01666666667</v>
      </c>
      <c r="D2313" s="2" t="s">
        <v>28</v>
      </c>
      <c r="E2313" s="4">
        <v>23707.68</v>
      </c>
      <c r="F2313" s="2" t="s">
        <v>14</v>
      </c>
      <c r="G2313" s="5">
        <v>57</v>
      </c>
      <c r="H2313" s="2" t="s">
        <v>15</v>
      </c>
      <c r="I2313" s="2" t="s">
        <v>34</v>
      </c>
      <c r="J2313" s="2" t="s">
        <v>44</v>
      </c>
      <c r="K2313" s="2" t="s">
        <v>18</v>
      </c>
    </row>
    <row r="2314" spans="1:11" x14ac:dyDescent="0.3">
      <c r="A2314" s="2" t="s">
        <v>2701</v>
      </c>
      <c r="B2314" s="2" t="s">
        <v>126</v>
      </c>
      <c r="C2314" s="3">
        <v>45956.897916666669</v>
      </c>
      <c r="D2314" s="2" t="s">
        <v>28</v>
      </c>
      <c r="E2314" s="4">
        <v>67317.710000000006</v>
      </c>
      <c r="F2314" s="2" t="s">
        <v>14</v>
      </c>
      <c r="G2314" s="5">
        <v>49</v>
      </c>
      <c r="H2314" s="2" t="s">
        <v>29</v>
      </c>
      <c r="I2314" s="2" t="s">
        <v>16</v>
      </c>
      <c r="J2314" s="2" t="s">
        <v>17</v>
      </c>
      <c r="K2314" s="2" t="s">
        <v>18</v>
      </c>
    </row>
    <row r="2315" spans="1:11" x14ac:dyDescent="0.3">
      <c r="A2315" s="2" t="s">
        <v>2702</v>
      </c>
      <c r="B2315" s="2" t="s">
        <v>690</v>
      </c>
      <c r="C2315" s="3">
        <v>45680.340277777781</v>
      </c>
      <c r="D2315" s="2" t="s">
        <v>28</v>
      </c>
      <c r="E2315" s="4">
        <v>11108.15</v>
      </c>
      <c r="F2315" s="2" t="s">
        <v>14</v>
      </c>
      <c r="G2315" s="5">
        <v>33</v>
      </c>
      <c r="H2315" s="2" t="s">
        <v>15</v>
      </c>
      <c r="I2315" s="2" t="s">
        <v>43</v>
      </c>
      <c r="J2315" s="2" t="s">
        <v>17</v>
      </c>
      <c r="K2315" s="2" t="s">
        <v>45</v>
      </c>
    </row>
    <row r="2316" spans="1:11" x14ac:dyDescent="0.3">
      <c r="A2316" s="2" t="s">
        <v>2703</v>
      </c>
      <c r="B2316" s="2" t="s">
        <v>969</v>
      </c>
      <c r="C2316" s="3">
        <v>45688.383333333331</v>
      </c>
      <c r="D2316" s="2" t="s">
        <v>154</v>
      </c>
      <c r="E2316" s="4">
        <v>5000</v>
      </c>
      <c r="F2316" s="2" t="s">
        <v>57</v>
      </c>
      <c r="G2316" s="5">
        <v>60</v>
      </c>
      <c r="H2316" s="2" t="s">
        <v>15</v>
      </c>
      <c r="I2316" s="2" t="s">
        <v>21</v>
      </c>
      <c r="J2316" s="2" t="s">
        <v>17</v>
      </c>
      <c r="K2316" s="2" t="s">
        <v>22</v>
      </c>
    </row>
    <row r="2317" spans="1:11" x14ac:dyDescent="0.3">
      <c r="A2317" s="2" t="s">
        <v>2704</v>
      </c>
      <c r="B2317" s="2" t="s">
        <v>954</v>
      </c>
      <c r="C2317" s="3">
        <v>46014.803472222222</v>
      </c>
      <c r="D2317" s="2" t="s">
        <v>33</v>
      </c>
      <c r="E2317" s="4">
        <v>9386.77</v>
      </c>
      <c r="F2317" s="2" t="s">
        <v>57</v>
      </c>
      <c r="G2317" s="5">
        <v>39</v>
      </c>
      <c r="H2317" s="2" t="s">
        <v>29</v>
      </c>
      <c r="I2317" s="2" t="s">
        <v>21</v>
      </c>
      <c r="J2317" s="2" t="s">
        <v>17</v>
      </c>
      <c r="K2317" s="2" t="s">
        <v>22</v>
      </c>
    </row>
    <row r="2318" spans="1:11" x14ac:dyDescent="0.3">
      <c r="A2318" s="2" t="s">
        <v>2705</v>
      </c>
      <c r="B2318" s="2" t="s">
        <v>296</v>
      </c>
      <c r="C2318" s="3">
        <v>45685.611805555563</v>
      </c>
      <c r="D2318" s="2" t="s">
        <v>33</v>
      </c>
      <c r="E2318" s="4">
        <v>24822.92</v>
      </c>
      <c r="F2318" s="2" t="s">
        <v>14</v>
      </c>
      <c r="G2318" s="5">
        <v>31</v>
      </c>
      <c r="H2318" s="2" t="s">
        <v>15</v>
      </c>
      <c r="I2318" s="2" t="s">
        <v>34</v>
      </c>
      <c r="J2318" s="2" t="s">
        <v>52</v>
      </c>
      <c r="K2318" s="2" t="s">
        <v>22</v>
      </c>
    </row>
    <row r="2319" spans="1:11" x14ac:dyDescent="0.3">
      <c r="A2319" s="2" t="s">
        <v>2706</v>
      </c>
      <c r="B2319" s="2" t="s">
        <v>232</v>
      </c>
      <c r="C2319" s="3">
        <v>45662.1</v>
      </c>
      <c r="D2319" s="2" t="s">
        <v>38</v>
      </c>
      <c r="E2319" s="4">
        <v>8431.8799999999992</v>
      </c>
      <c r="F2319" s="2" t="s">
        <v>14</v>
      </c>
      <c r="G2319" s="5">
        <v>36</v>
      </c>
      <c r="H2319" s="2" t="s">
        <v>15</v>
      </c>
      <c r="I2319" s="2" t="s">
        <v>34</v>
      </c>
      <c r="J2319" s="2" t="s">
        <v>44</v>
      </c>
      <c r="K2319" s="2" t="s">
        <v>18</v>
      </c>
    </row>
    <row r="2320" spans="1:11" x14ac:dyDescent="0.3">
      <c r="A2320" s="2" t="s">
        <v>2707</v>
      </c>
      <c r="B2320" s="2" t="s">
        <v>109</v>
      </c>
      <c r="C2320" s="3">
        <v>45996.362500000003</v>
      </c>
      <c r="D2320" s="2" t="s">
        <v>13</v>
      </c>
      <c r="E2320" s="4">
        <v>1097.82</v>
      </c>
      <c r="F2320" s="2" t="s">
        <v>14</v>
      </c>
      <c r="G2320" s="5">
        <v>38</v>
      </c>
      <c r="H2320" s="2" t="s">
        <v>15</v>
      </c>
      <c r="I2320" s="2" t="s">
        <v>21</v>
      </c>
      <c r="J2320" s="2" t="s">
        <v>17</v>
      </c>
      <c r="K2320" s="2" t="s">
        <v>18</v>
      </c>
    </row>
    <row r="2321" spans="1:11" x14ac:dyDescent="0.3">
      <c r="A2321" s="2" t="s">
        <v>2708</v>
      </c>
      <c r="B2321" s="2" t="s">
        <v>1101</v>
      </c>
      <c r="C2321" s="3">
        <v>45995.496527777781</v>
      </c>
      <c r="D2321" s="2" t="s">
        <v>28</v>
      </c>
      <c r="E2321" s="4">
        <v>2521.42</v>
      </c>
      <c r="F2321" s="2" t="s">
        <v>14</v>
      </c>
      <c r="G2321" s="5">
        <v>38</v>
      </c>
      <c r="H2321" s="2" t="s">
        <v>15</v>
      </c>
      <c r="I2321" s="2" t="s">
        <v>21</v>
      </c>
      <c r="J2321" s="2" t="s">
        <v>44</v>
      </c>
      <c r="K2321" s="2" t="s">
        <v>18</v>
      </c>
    </row>
    <row r="2322" spans="1:11" x14ac:dyDescent="0.3">
      <c r="A2322" s="2" t="s">
        <v>2709</v>
      </c>
      <c r="B2322" s="2" t="s">
        <v>246</v>
      </c>
      <c r="C2322" s="3">
        <v>45713.012499999997</v>
      </c>
      <c r="D2322" s="2" t="s">
        <v>13</v>
      </c>
      <c r="E2322" s="4">
        <v>1887.61</v>
      </c>
      <c r="F2322" s="2" t="s">
        <v>14</v>
      </c>
      <c r="G2322" s="5">
        <v>30</v>
      </c>
      <c r="H2322" s="2" t="s">
        <v>15</v>
      </c>
      <c r="I2322" s="2" t="s">
        <v>60</v>
      </c>
      <c r="J2322" s="2" t="s">
        <v>49</v>
      </c>
      <c r="K2322" s="2" t="s">
        <v>18</v>
      </c>
    </row>
    <row r="2323" spans="1:11" x14ac:dyDescent="0.3">
      <c r="A2323" s="2" t="s">
        <v>2710</v>
      </c>
      <c r="B2323" s="2" t="s">
        <v>124</v>
      </c>
      <c r="C2323" s="3">
        <v>45990.509722222218</v>
      </c>
      <c r="D2323" s="2" t="s">
        <v>28</v>
      </c>
      <c r="E2323" s="4">
        <v>7131.26</v>
      </c>
      <c r="F2323" s="2" t="s">
        <v>14</v>
      </c>
      <c r="G2323" s="5">
        <v>39</v>
      </c>
      <c r="H2323" s="2" t="s">
        <v>15</v>
      </c>
      <c r="I2323" s="2" t="s">
        <v>16</v>
      </c>
      <c r="J2323" s="2" t="s">
        <v>52</v>
      </c>
      <c r="K2323" s="2" t="s">
        <v>45</v>
      </c>
    </row>
    <row r="2324" spans="1:11" x14ac:dyDescent="0.3">
      <c r="A2324" s="2" t="s">
        <v>2711</v>
      </c>
      <c r="B2324" s="2" t="s">
        <v>605</v>
      </c>
      <c r="C2324" s="3">
        <v>45852.697916666657</v>
      </c>
      <c r="D2324" s="2" t="s">
        <v>28</v>
      </c>
      <c r="E2324" s="4">
        <v>2612.29</v>
      </c>
      <c r="F2324" s="2" t="s">
        <v>14</v>
      </c>
      <c r="G2324" s="5">
        <v>29</v>
      </c>
      <c r="H2324" s="2" t="s">
        <v>29</v>
      </c>
      <c r="I2324" s="2" t="s">
        <v>60</v>
      </c>
      <c r="J2324" s="2" t="s">
        <v>17</v>
      </c>
      <c r="K2324" s="2" t="s">
        <v>18</v>
      </c>
    </row>
    <row r="2325" spans="1:11" x14ac:dyDescent="0.3">
      <c r="A2325" s="2" t="s">
        <v>2712</v>
      </c>
      <c r="B2325" s="2" t="s">
        <v>360</v>
      </c>
      <c r="C2325" s="3">
        <v>45708.438194444447</v>
      </c>
      <c r="D2325" s="2" t="s">
        <v>13</v>
      </c>
      <c r="E2325" s="4">
        <v>1478.25</v>
      </c>
      <c r="F2325" s="2" t="s">
        <v>14</v>
      </c>
      <c r="G2325" s="5">
        <v>40</v>
      </c>
      <c r="H2325" s="2" t="s">
        <v>15</v>
      </c>
      <c r="I2325" s="2" t="s">
        <v>34</v>
      </c>
      <c r="J2325" s="2" t="s">
        <v>17</v>
      </c>
      <c r="K2325" s="2" t="s">
        <v>45</v>
      </c>
    </row>
    <row r="2326" spans="1:11" x14ac:dyDescent="0.3">
      <c r="A2326" s="2" t="s">
        <v>2713</v>
      </c>
      <c r="B2326" s="2" t="s">
        <v>792</v>
      </c>
      <c r="C2326" s="3">
        <v>45963.711805555547</v>
      </c>
      <c r="D2326" s="2" t="s">
        <v>13</v>
      </c>
      <c r="E2326" s="4">
        <v>1249.0999999999999</v>
      </c>
      <c r="F2326" s="2" t="s">
        <v>14</v>
      </c>
      <c r="G2326" s="5">
        <v>28</v>
      </c>
      <c r="H2326" s="2" t="s">
        <v>29</v>
      </c>
      <c r="I2326" s="2" t="s">
        <v>34</v>
      </c>
      <c r="J2326" s="2" t="s">
        <v>17</v>
      </c>
      <c r="K2326" s="2" t="s">
        <v>45</v>
      </c>
    </row>
    <row r="2327" spans="1:11" x14ac:dyDescent="0.3">
      <c r="A2327" s="2" t="s">
        <v>2714</v>
      </c>
      <c r="B2327" s="2" t="s">
        <v>816</v>
      </c>
      <c r="C2327" s="3">
        <v>45753.272222222222</v>
      </c>
      <c r="D2327" s="2" t="s">
        <v>28</v>
      </c>
      <c r="E2327" s="4">
        <v>57578.29</v>
      </c>
      <c r="F2327" s="2" t="s">
        <v>14</v>
      </c>
      <c r="G2327" s="5">
        <v>37</v>
      </c>
      <c r="H2327" s="2" t="s">
        <v>15</v>
      </c>
      <c r="I2327" s="2" t="s">
        <v>60</v>
      </c>
      <c r="J2327" s="2" t="s">
        <v>44</v>
      </c>
      <c r="K2327" s="2" t="s">
        <v>45</v>
      </c>
    </row>
    <row r="2328" spans="1:11" x14ac:dyDescent="0.3">
      <c r="A2328" s="2" t="s">
        <v>2715</v>
      </c>
      <c r="B2328" s="2" t="s">
        <v>124</v>
      </c>
      <c r="C2328" s="3">
        <v>45892.749305555553</v>
      </c>
      <c r="D2328" s="2" t="s">
        <v>154</v>
      </c>
      <c r="E2328" s="4">
        <v>40000</v>
      </c>
      <c r="F2328" s="2" t="s">
        <v>14</v>
      </c>
      <c r="G2328" s="5">
        <v>39</v>
      </c>
      <c r="H2328" s="2" t="s">
        <v>15</v>
      </c>
      <c r="I2328" s="2" t="s">
        <v>16</v>
      </c>
      <c r="J2328" s="2" t="s">
        <v>52</v>
      </c>
      <c r="K2328" s="2" t="s">
        <v>18</v>
      </c>
    </row>
    <row r="2329" spans="1:11" x14ac:dyDescent="0.3">
      <c r="A2329" s="2" t="s">
        <v>2716</v>
      </c>
      <c r="B2329" s="2" t="s">
        <v>1311</v>
      </c>
      <c r="C2329" s="3">
        <v>45669.052083333343</v>
      </c>
      <c r="D2329" s="2" t="s">
        <v>28</v>
      </c>
      <c r="E2329" s="4">
        <v>66457.17</v>
      </c>
      <c r="F2329" s="2" t="s">
        <v>14</v>
      </c>
      <c r="G2329" s="5">
        <v>36</v>
      </c>
      <c r="H2329" s="2" t="s">
        <v>15</v>
      </c>
      <c r="I2329" s="2" t="s">
        <v>60</v>
      </c>
      <c r="J2329" s="2" t="s">
        <v>49</v>
      </c>
      <c r="K2329" s="2" t="s">
        <v>35</v>
      </c>
    </row>
    <row r="2330" spans="1:11" x14ac:dyDescent="0.3">
      <c r="A2330" s="2" t="s">
        <v>2717</v>
      </c>
      <c r="B2330" s="2" t="s">
        <v>190</v>
      </c>
      <c r="C2330" s="3">
        <v>45929.38958333333</v>
      </c>
      <c r="D2330" s="2" t="s">
        <v>13</v>
      </c>
      <c r="E2330" s="4">
        <v>1559.04</v>
      </c>
      <c r="F2330" s="2" t="s">
        <v>14</v>
      </c>
      <c r="G2330" s="5">
        <v>25</v>
      </c>
      <c r="H2330" s="2" t="s">
        <v>15</v>
      </c>
      <c r="I2330" s="2" t="s">
        <v>34</v>
      </c>
      <c r="J2330" s="2" t="s">
        <v>17</v>
      </c>
      <c r="K2330" s="2" t="s">
        <v>35</v>
      </c>
    </row>
    <row r="2331" spans="1:11" x14ac:dyDescent="0.3">
      <c r="A2331" s="2" t="s">
        <v>2718</v>
      </c>
      <c r="B2331" s="2" t="s">
        <v>105</v>
      </c>
      <c r="C2331" s="3">
        <v>45908.532638888893</v>
      </c>
      <c r="D2331" s="2" t="s">
        <v>13</v>
      </c>
      <c r="E2331" s="4">
        <v>2503.58</v>
      </c>
      <c r="F2331" s="2" t="s">
        <v>57</v>
      </c>
      <c r="G2331" s="5">
        <v>42</v>
      </c>
      <c r="H2331" s="2" t="s">
        <v>15</v>
      </c>
      <c r="I2331" s="2" t="s">
        <v>34</v>
      </c>
      <c r="J2331" s="2" t="s">
        <v>49</v>
      </c>
      <c r="K2331" s="2" t="s">
        <v>22</v>
      </c>
    </row>
    <row r="2332" spans="1:11" x14ac:dyDescent="0.3">
      <c r="A2332" s="2" t="s">
        <v>2719</v>
      </c>
      <c r="B2332" s="2" t="s">
        <v>1412</v>
      </c>
      <c r="C2332" s="3">
        <v>45738.015277777777</v>
      </c>
      <c r="D2332" s="2" t="s">
        <v>33</v>
      </c>
      <c r="E2332" s="4">
        <v>25391.13</v>
      </c>
      <c r="F2332" s="2" t="s">
        <v>14</v>
      </c>
      <c r="G2332" s="5">
        <v>34</v>
      </c>
      <c r="H2332" s="2" t="s">
        <v>15</v>
      </c>
      <c r="I2332" s="2" t="s">
        <v>34</v>
      </c>
      <c r="J2332" s="2" t="s">
        <v>17</v>
      </c>
      <c r="K2332" s="2" t="s">
        <v>18</v>
      </c>
    </row>
    <row r="2333" spans="1:11" x14ac:dyDescent="0.3">
      <c r="A2333" s="2" t="s">
        <v>2720</v>
      </c>
      <c r="B2333" s="2" t="s">
        <v>853</v>
      </c>
      <c r="C2333" s="3">
        <v>46008.473611111112</v>
      </c>
      <c r="D2333" s="2" t="s">
        <v>28</v>
      </c>
      <c r="E2333" s="4">
        <v>26845.61</v>
      </c>
      <c r="F2333" s="2" t="s">
        <v>14</v>
      </c>
      <c r="G2333" s="5">
        <v>45</v>
      </c>
      <c r="H2333" s="2" t="s">
        <v>29</v>
      </c>
      <c r="I2333" s="2" t="s">
        <v>34</v>
      </c>
      <c r="J2333" s="2" t="s">
        <v>49</v>
      </c>
      <c r="K2333" s="2" t="s">
        <v>18</v>
      </c>
    </row>
    <row r="2334" spans="1:11" x14ac:dyDescent="0.3">
      <c r="A2334" s="2" t="s">
        <v>2721</v>
      </c>
      <c r="B2334" s="2" t="s">
        <v>317</v>
      </c>
      <c r="C2334" s="3">
        <v>45978.385416666657</v>
      </c>
      <c r="D2334" s="2" t="s">
        <v>28</v>
      </c>
      <c r="E2334" s="4">
        <v>8457.91</v>
      </c>
      <c r="F2334" s="2" t="s">
        <v>14</v>
      </c>
      <c r="G2334" s="5">
        <v>55</v>
      </c>
      <c r="H2334" s="2" t="s">
        <v>15</v>
      </c>
      <c r="I2334" s="2" t="s">
        <v>34</v>
      </c>
      <c r="J2334" s="2" t="s">
        <v>49</v>
      </c>
      <c r="K2334" s="2" t="s">
        <v>18</v>
      </c>
    </row>
    <row r="2335" spans="1:11" x14ac:dyDescent="0.3">
      <c r="A2335" s="2" t="s">
        <v>2722</v>
      </c>
      <c r="B2335" s="2" t="s">
        <v>56</v>
      </c>
      <c r="C2335" s="3">
        <v>45914.368750000001</v>
      </c>
      <c r="D2335" s="2" t="s">
        <v>33</v>
      </c>
      <c r="E2335" s="4">
        <v>13515.98</v>
      </c>
      <c r="F2335" s="2" t="s">
        <v>122</v>
      </c>
      <c r="G2335" s="5">
        <v>64</v>
      </c>
      <c r="H2335" s="2" t="s">
        <v>29</v>
      </c>
      <c r="I2335" s="2" t="s">
        <v>30</v>
      </c>
      <c r="J2335" s="2" t="s">
        <v>49</v>
      </c>
      <c r="K2335" s="2" t="s">
        <v>18</v>
      </c>
    </row>
    <row r="2336" spans="1:11" x14ac:dyDescent="0.3">
      <c r="A2336" s="2" t="s">
        <v>2723</v>
      </c>
      <c r="B2336" s="2" t="s">
        <v>250</v>
      </c>
      <c r="C2336" s="3">
        <v>45689.844444444447</v>
      </c>
      <c r="D2336" s="2" t="s">
        <v>13</v>
      </c>
      <c r="E2336" s="4">
        <v>1421.82</v>
      </c>
      <c r="F2336" s="2" t="s">
        <v>122</v>
      </c>
      <c r="G2336" s="5">
        <v>29</v>
      </c>
      <c r="H2336" s="2" t="s">
        <v>15</v>
      </c>
      <c r="I2336" s="2" t="s">
        <v>25</v>
      </c>
      <c r="J2336" s="2" t="s">
        <v>17</v>
      </c>
      <c r="K2336" s="2" t="s">
        <v>45</v>
      </c>
    </row>
    <row r="2337" spans="1:11" x14ac:dyDescent="0.3">
      <c r="A2337" s="2" t="s">
        <v>2724</v>
      </c>
      <c r="B2337" s="2" t="s">
        <v>746</v>
      </c>
      <c r="C2337" s="3">
        <v>45856.024305555547</v>
      </c>
      <c r="D2337" s="2" t="s">
        <v>28</v>
      </c>
      <c r="E2337" s="4">
        <v>133733.95000000001</v>
      </c>
      <c r="F2337" s="2" t="s">
        <v>14</v>
      </c>
      <c r="G2337" s="5">
        <v>44</v>
      </c>
      <c r="H2337" s="2" t="s">
        <v>15</v>
      </c>
      <c r="I2337" s="2" t="s">
        <v>21</v>
      </c>
      <c r="J2337" s="2" t="s">
        <v>17</v>
      </c>
      <c r="K2337" s="2" t="s">
        <v>35</v>
      </c>
    </row>
    <row r="2338" spans="1:11" x14ac:dyDescent="0.3">
      <c r="A2338" s="2" t="s">
        <v>2725</v>
      </c>
      <c r="B2338" s="2" t="s">
        <v>315</v>
      </c>
      <c r="C2338" s="3">
        <v>45801.29791666667</v>
      </c>
      <c r="D2338" s="2" t="s">
        <v>28</v>
      </c>
      <c r="E2338" s="4">
        <v>3930.92</v>
      </c>
      <c r="F2338" s="2" t="s">
        <v>14</v>
      </c>
      <c r="G2338" s="5">
        <v>40</v>
      </c>
      <c r="H2338" s="2" t="s">
        <v>15</v>
      </c>
      <c r="I2338" s="2" t="s">
        <v>34</v>
      </c>
      <c r="J2338" s="2" t="s">
        <v>17</v>
      </c>
      <c r="K2338" s="2" t="s">
        <v>35</v>
      </c>
    </row>
    <row r="2339" spans="1:11" x14ac:dyDescent="0.3">
      <c r="A2339" s="2" t="s">
        <v>2726</v>
      </c>
      <c r="B2339" s="2" t="s">
        <v>834</v>
      </c>
      <c r="C2339" s="3">
        <v>45832.529166666667</v>
      </c>
      <c r="D2339" s="2" t="s">
        <v>28</v>
      </c>
      <c r="E2339" s="4">
        <v>36000.82</v>
      </c>
      <c r="F2339" s="2" t="s">
        <v>14</v>
      </c>
      <c r="G2339" s="5">
        <v>28</v>
      </c>
      <c r="H2339" s="2" t="s">
        <v>29</v>
      </c>
      <c r="I2339" s="2" t="s">
        <v>34</v>
      </c>
      <c r="J2339" s="2" t="s">
        <v>17</v>
      </c>
      <c r="K2339" s="2" t="s">
        <v>18</v>
      </c>
    </row>
    <row r="2340" spans="1:11" x14ac:dyDescent="0.3">
      <c r="A2340" s="2" t="s">
        <v>2727</v>
      </c>
      <c r="B2340" s="2" t="s">
        <v>277</v>
      </c>
      <c r="C2340" s="3">
        <v>45728.115277777782</v>
      </c>
      <c r="D2340" s="2" t="s">
        <v>28</v>
      </c>
      <c r="E2340" s="4">
        <v>59690.57</v>
      </c>
      <c r="F2340" s="2" t="s">
        <v>14</v>
      </c>
      <c r="G2340" s="5">
        <v>50</v>
      </c>
      <c r="H2340" s="2" t="s">
        <v>15</v>
      </c>
      <c r="I2340" s="2" t="s">
        <v>21</v>
      </c>
      <c r="J2340" s="2" t="s">
        <v>44</v>
      </c>
      <c r="K2340" s="2" t="s">
        <v>45</v>
      </c>
    </row>
    <row r="2341" spans="1:11" x14ac:dyDescent="0.3">
      <c r="A2341" s="2" t="s">
        <v>2728</v>
      </c>
      <c r="B2341" s="2" t="s">
        <v>338</v>
      </c>
      <c r="C2341" s="3">
        <v>45853.696527777778</v>
      </c>
      <c r="D2341" s="2" t="s">
        <v>28</v>
      </c>
      <c r="E2341" s="4">
        <v>18417.650000000001</v>
      </c>
      <c r="F2341" s="2" t="s">
        <v>14</v>
      </c>
      <c r="G2341" s="5">
        <v>31</v>
      </c>
      <c r="H2341" s="2" t="s">
        <v>15</v>
      </c>
      <c r="I2341" s="2" t="s">
        <v>30</v>
      </c>
      <c r="J2341" s="2" t="s">
        <v>49</v>
      </c>
      <c r="K2341" s="2" t="s">
        <v>45</v>
      </c>
    </row>
    <row r="2342" spans="1:11" x14ac:dyDescent="0.3">
      <c r="A2342" s="2" t="s">
        <v>2729</v>
      </c>
      <c r="B2342" s="2" t="s">
        <v>291</v>
      </c>
      <c r="C2342" s="3">
        <v>45971.863194444442</v>
      </c>
      <c r="D2342" s="2" t="s">
        <v>28</v>
      </c>
      <c r="E2342" s="4">
        <v>62532.31</v>
      </c>
      <c r="F2342" s="2" t="s">
        <v>14</v>
      </c>
      <c r="G2342" s="5">
        <v>39</v>
      </c>
      <c r="H2342" s="2" t="s">
        <v>15</v>
      </c>
      <c r="I2342" s="2" t="s">
        <v>25</v>
      </c>
      <c r="J2342" s="2" t="s">
        <v>17</v>
      </c>
      <c r="K2342" s="2" t="s">
        <v>45</v>
      </c>
    </row>
    <row r="2343" spans="1:11" x14ac:dyDescent="0.3">
      <c r="A2343" s="2" t="s">
        <v>2730</v>
      </c>
      <c r="B2343" s="2" t="s">
        <v>1290</v>
      </c>
      <c r="C2343" s="3">
        <v>45774.552083333343</v>
      </c>
      <c r="D2343" s="2" t="s">
        <v>28</v>
      </c>
      <c r="E2343" s="4">
        <v>1504.17</v>
      </c>
      <c r="F2343" s="2" t="s">
        <v>14</v>
      </c>
      <c r="G2343" s="5">
        <v>32</v>
      </c>
      <c r="H2343" s="2" t="s">
        <v>15</v>
      </c>
      <c r="I2343" s="2" t="s">
        <v>34</v>
      </c>
      <c r="J2343" s="2" t="s">
        <v>44</v>
      </c>
      <c r="K2343" s="2" t="s">
        <v>18</v>
      </c>
    </row>
    <row r="2344" spans="1:11" x14ac:dyDescent="0.3">
      <c r="A2344" s="2" t="s">
        <v>2731</v>
      </c>
      <c r="B2344" s="2" t="s">
        <v>535</v>
      </c>
      <c r="C2344" s="3">
        <v>45951.185416666667</v>
      </c>
      <c r="D2344" s="2" t="s">
        <v>28</v>
      </c>
      <c r="E2344" s="4">
        <v>8125.69</v>
      </c>
      <c r="F2344" s="2" t="s">
        <v>14</v>
      </c>
      <c r="G2344" s="5">
        <v>28</v>
      </c>
      <c r="H2344" s="2" t="s">
        <v>15</v>
      </c>
      <c r="I2344" s="2" t="s">
        <v>34</v>
      </c>
      <c r="J2344" s="2" t="s">
        <v>49</v>
      </c>
      <c r="K2344" s="2" t="s">
        <v>45</v>
      </c>
    </row>
    <row r="2345" spans="1:11" x14ac:dyDescent="0.3">
      <c r="A2345" s="2" t="s">
        <v>2732</v>
      </c>
      <c r="B2345" s="2" t="s">
        <v>1478</v>
      </c>
      <c r="C2345" s="3">
        <v>45817.806250000001</v>
      </c>
      <c r="D2345" s="2" t="s">
        <v>28</v>
      </c>
      <c r="E2345" s="4">
        <v>18870.36</v>
      </c>
      <c r="F2345" s="2" t="s">
        <v>14</v>
      </c>
      <c r="G2345" s="5">
        <v>28</v>
      </c>
      <c r="H2345" s="2" t="s">
        <v>15</v>
      </c>
      <c r="I2345" s="2" t="s">
        <v>48</v>
      </c>
      <c r="J2345" s="2" t="s">
        <v>17</v>
      </c>
      <c r="K2345" s="2" t="s">
        <v>45</v>
      </c>
    </row>
    <row r="2346" spans="1:11" x14ac:dyDescent="0.3">
      <c r="A2346" s="2" t="s">
        <v>2733</v>
      </c>
      <c r="B2346" s="2" t="s">
        <v>502</v>
      </c>
      <c r="C2346" s="3">
        <v>45887.713888888888</v>
      </c>
      <c r="D2346" s="2" t="s">
        <v>13</v>
      </c>
      <c r="E2346" s="4">
        <v>320.48</v>
      </c>
      <c r="F2346" s="2" t="s">
        <v>14</v>
      </c>
      <c r="G2346" s="5">
        <v>26</v>
      </c>
      <c r="H2346" s="2" t="s">
        <v>29</v>
      </c>
      <c r="I2346" s="2" t="s">
        <v>95</v>
      </c>
      <c r="J2346" s="2" t="s">
        <v>17</v>
      </c>
      <c r="K2346" s="2" t="s">
        <v>45</v>
      </c>
    </row>
    <row r="2347" spans="1:11" x14ac:dyDescent="0.3">
      <c r="A2347" s="2" t="s">
        <v>2734</v>
      </c>
      <c r="B2347" s="2" t="s">
        <v>781</v>
      </c>
      <c r="C2347" s="3">
        <v>45763.838888888888</v>
      </c>
      <c r="D2347" s="2" t="s">
        <v>33</v>
      </c>
      <c r="E2347" s="4">
        <v>22180.81</v>
      </c>
      <c r="F2347" s="2" t="s">
        <v>14</v>
      </c>
      <c r="G2347" s="5">
        <v>45</v>
      </c>
      <c r="H2347" s="2" t="s">
        <v>29</v>
      </c>
      <c r="I2347" s="2" t="s">
        <v>78</v>
      </c>
      <c r="J2347" s="2" t="s">
        <v>17</v>
      </c>
      <c r="K2347" s="2" t="s">
        <v>35</v>
      </c>
    </row>
    <row r="2348" spans="1:11" x14ac:dyDescent="0.3">
      <c r="A2348" s="2" t="s">
        <v>2735</v>
      </c>
      <c r="B2348" s="2" t="s">
        <v>286</v>
      </c>
      <c r="C2348" s="3">
        <v>45955.738194444442</v>
      </c>
      <c r="D2348" s="2" t="s">
        <v>33</v>
      </c>
      <c r="E2348" s="4">
        <v>13063.77</v>
      </c>
      <c r="F2348" s="2" t="s">
        <v>14</v>
      </c>
      <c r="G2348" s="5">
        <v>60</v>
      </c>
      <c r="H2348" s="2" t="s">
        <v>29</v>
      </c>
      <c r="I2348" s="2" t="s">
        <v>21</v>
      </c>
      <c r="J2348" s="2" t="s">
        <v>17</v>
      </c>
      <c r="K2348" s="2" t="s">
        <v>35</v>
      </c>
    </row>
    <row r="2349" spans="1:11" x14ac:dyDescent="0.3">
      <c r="A2349" s="2" t="s">
        <v>2736</v>
      </c>
      <c r="B2349" s="2" t="s">
        <v>272</v>
      </c>
      <c r="C2349" s="3">
        <v>45761.179861111108</v>
      </c>
      <c r="D2349" s="2" t="s">
        <v>13</v>
      </c>
      <c r="E2349" s="4">
        <v>637.44000000000005</v>
      </c>
      <c r="F2349" s="2" t="s">
        <v>14</v>
      </c>
      <c r="G2349" s="5">
        <v>42</v>
      </c>
      <c r="H2349" s="2" t="s">
        <v>29</v>
      </c>
      <c r="I2349" s="2" t="s">
        <v>60</v>
      </c>
      <c r="J2349" s="2" t="s">
        <v>17</v>
      </c>
      <c r="K2349" s="2" t="s">
        <v>45</v>
      </c>
    </row>
    <row r="2350" spans="1:11" x14ac:dyDescent="0.3">
      <c r="A2350" s="2" t="s">
        <v>2737</v>
      </c>
      <c r="B2350" s="2" t="s">
        <v>969</v>
      </c>
      <c r="C2350" s="3">
        <v>46010.956250000003</v>
      </c>
      <c r="D2350" s="2" t="s">
        <v>13</v>
      </c>
      <c r="E2350" s="4">
        <v>1068.46</v>
      </c>
      <c r="F2350" s="2" t="s">
        <v>14</v>
      </c>
      <c r="G2350" s="5">
        <v>60</v>
      </c>
      <c r="H2350" s="2" t="s">
        <v>15</v>
      </c>
      <c r="I2350" s="2" t="s">
        <v>21</v>
      </c>
      <c r="J2350" s="2" t="s">
        <v>17</v>
      </c>
      <c r="K2350" s="2" t="s">
        <v>45</v>
      </c>
    </row>
    <row r="2351" spans="1:11" x14ac:dyDescent="0.3">
      <c r="A2351" s="2" t="s">
        <v>2738</v>
      </c>
      <c r="B2351" s="2" t="s">
        <v>511</v>
      </c>
      <c r="C2351" s="3">
        <v>45926.185416666667</v>
      </c>
      <c r="D2351" s="2" t="s">
        <v>28</v>
      </c>
      <c r="E2351" s="4">
        <v>41204.92</v>
      </c>
      <c r="F2351" s="2" t="s">
        <v>14</v>
      </c>
      <c r="G2351" s="5">
        <v>23</v>
      </c>
      <c r="H2351" s="2" t="s">
        <v>29</v>
      </c>
      <c r="I2351" s="2" t="s">
        <v>16</v>
      </c>
      <c r="J2351" s="2" t="s">
        <v>49</v>
      </c>
      <c r="K2351" s="2" t="s">
        <v>35</v>
      </c>
    </row>
    <row r="2352" spans="1:11" x14ac:dyDescent="0.3">
      <c r="A2352" s="2" t="s">
        <v>2739</v>
      </c>
      <c r="B2352" s="2" t="s">
        <v>988</v>
      </c>
      <c r="C2352" s="3">
        <v>45732.874305555553</v>
      </c>
      <c r="D2352" s="2" t="s">
        <v>28</v>
      </c>
      <c r="E2352" s="4">
        <v>2459.59</v>
      </c>
      <c r="F2352" s="2" t="s">
        <v>14</v>
      </c>
      <c r="G2352" s="5">
        <v>35</v>
      </c>
      <c r="H2352" s="2" t="s">
        <v>29</v>
      </c>
      <c r="I2352" s="2" t="s">
        <v>34</v>
      </c>
      <c r="J2352" s="2" t="s">
        <v>49</v>
      </c>
      <c r="K2352" s="2" t="s">
        <v>18</v>
      </c>
    </row>
    <row r="2353" spans="1:11" x14ac:dyDescent="0.3">
      <c r="A2353" s="2" t="s">
        <v>2740</v>
      </c>
      <c r="B2353" s="2" t="s">
        <v>489</v>
      </c>
      <c r="C2353" s="3">
        <v>45947.222222222219</v>
      </c>
      <c r="D2353" s="2" t="s">
        <v>33</v>
      </c>
      <c r="E2353" s="4">
        <v>5609.66</v>
      </c>
      <c r="F2353" s="2" t="s">
        <v>14</v>
      </c>
      <c r="G2353" s="5">
        <v>28</v>
      </c>
      <c r="H2353" s="2" t="s">
        <v>15</v>
      </c>
      <c r="I2353" s="2" t="s">
        <v>30</v>
      </c>
      <c r="J2353" s="2" t="s">
        <v>17</v>
      </c>
      <c r="K2353" s="2" t="s">
        <v>18</v>
      </c>
    </row>
    <row r="2354" spans="1:11" x14ac:dyDescent="0.3">
      <c r="A2354" s="2" t="s">
        <v>2741</v>
      </c>
      <c r="B2354" s="2" t="s">
        <v>541</v>
      </c>
      <c r="C2354" s="3">
        <v>45692.731944444437</v>
      </c>
      <c r="D2354" s="2" t="s">
        <v>28</v>
      </c>
      <c r="E2354" s="4">
        <v>9186.0300000000007</v>
      </c>
      <c r="F2354" s="2" t="s">
        <v>14</v>
      </c>
      <c r="G2354" s="5">
        <v>57</v>
      </c>
      <c r="H2354" s="2" t="s">
        <v>15</v>
      </c>
      <c r="I2354" s="2" t="s">
        <v>34</v>
      </c>
      <c r="J2354" s="2" t="s">
        <v>44</v>
      </c>
      <c r="K2354" s="2" t="s">
        <v>18</v>
      </c>
    </row>
    <row r="2355" spans="1:11" x14ac:dyDescent="0.3">
      <c r="A2355" s="2" t="s">
        <v>2742</v>
      </c>
      <c r="B2355" s="2" t="s">
        <v>1616</v>
      </c>
      <c r="C2355" s="3">
        <v>45718.222222222219</v>
      </c>
      <c r="D2355" s="2" t="s">
        <v>13</v>
      </c>
      <c r="E2355" s="4">
        <v>887.75</v>
      </c>
      <c r="F2355" s="2" t="s">
        <v>14</v>
      </c>
      <c r="G2355" s="5">
        <v>29</v>
      </c>
      <c r="H2355" s="2" t="s">
        <v>15</v>
      </c>
      <c r="I2355" s="2" t="s">
        <v>34</v>
      </c>
      <c r="J2355" s="2" t="s">
        <v>17</v>
      </c>
      <c r="K2355" s="2" t="s">
        <v>22</v>
      </c>
    </row>
    <row r="2356" spans="1:11" x14ac:dyDescent="0.3">
      <c r="A2356" s="2" t="s">
        <v>2743</v>
      </c>
      <c r="B2356" s="2" t="s">
        <v>194</v>
      </c>
      <c r="C2356" s="3">
        <v>45732.959027777782</v>
      </c>
      <c r="D2356" s="2" t="s">
        <v>28</v>
      </c>
      <c r="E2356" s="4">
        <v>38920.78</v>
      </c>
      <c r="F2356" s="2" t="s">
        <v>57</v>
      </c>
      <c r="G2356" s="5">
        <v>31</v>
      </c>
      <c r="H2356" s="2" t="s">
        <v>29</v>
      </c>
      <c r="I2356" s="2" t="s">
        <v>16</v>
      </c>
      <c r="J2356" s="2" t="s">
        <v>17</v>
      </c>
      <c r="K2356" s="2" t="s">
        <v>45</v>
      </c>
    </row>
    <row r="2357" spans="1:11" x14ac:dyDescent="0.3">
      <c r="A2357" s="2" t="s">
        <v>2744</v>
      </c>
      <c r="B2357" s="2" t="s">
        <v>152</v>
      </c>
      <c r="C2357" s="3">
        <v>45821.55972222222</v>
      </c>
      <c r="D2357" s="2" t="s">
        <v>33</v>
      </c>
      <c r="E2357" s="4">
        <v>2557.8000000000002</v>
      </c>
      <c r="F2357" s="2" t="s">
        <v>14</v>
      </c>
      <c r="G2357" s="5">
        <v>31</v>
      </c>
      <c r="H2357" s="2" t="s">
        <v>15</v>
      </c>
      <c r="I2357" s="2" t="s">
        <v>34</v>
      </c>
      <c r="J2357" s="2" t="s">
        <v>49</v>
      </c>
      <c r="K2357" s="2" t="s">
        <v>18</v>
      </c>
    </row>
    <row r="2358" spans="1:11" x14ac:dyDescent="0.3">
      <c r="A2358" s="2" t="s">
        <v>2745</v>
      </c>
      <c r="B2358" s="2" t="s">
        <v>386</v>
      </c>
      <c r="C2358" s="3">
        <v>45813.615972222222</v>
      </c>
      <c r="D2358" s="2" t="s">
        <v>38</v>
      </c>
      <c r="E2358" s="4">
        <v>2219.41</v>
      </c>
      <c r="F2358" s="2" t="s">
        <v>14</v>
      </c>
      <c r="G2358" s="5">
        <v>26</v>
      </c>
      <c r="H2358" s="2" t="s">
        <v>15</v>
      </c>
      <c r="I2358" s="2" t="s">
        <v>25</v>
      </c>
      <c r="J2358" s="2" t="s">
        <v>17</v>
      </c>
      <c r="K2358" s="2" t="s">
        <v>45</v>
      </c>
    </row>
    <row r="2359" spans="1:11" x14ac:dyDescent="0.3">
      <c r="A2359" s="2" t="s">
        <v>2746</v>
      </c>
      <c r="B2359" s="2" t="s">
        <v>254</v>
      </c>
      <c r="C2359" s="3">
        <v>45984.970138888893</v>
      </c>
      <c r="D2359" s="2" t="s">
        <v>28</v>
      </c>
      <c r="E2359" s="4">
        <v>34121.440000000002</v>
      </c>
      <c r="F2359" s="2" t="s">
        <v>57</v>
      </c>
      <c r="G2359" s="5">
        <v>36</v>
      </c>
      <c r="H2359" s="2" t="s">
        <v>29</v>
      </c>
      <c r="I2359" s="2" t="s">
        <v>34</v>
      </c>
      <c r="J2359" s="2" t="s">
        <v>17</v>
      </c>
      <c r="K2359" s="2" t="s">
        <v>35</v>
      </c>
    </row>
    <row r="2360" spans="1:11" x14ac:dyDescent="0.3">
      <c r="A2360" s="2" t="s">
        <v>2747</v>
      </c>
      <c r="B2360" s="2" t="s">
        <v>352</v>
      </c>
      <c r="C2360" s="3">
        <v>45735.254166666673</v>
      </c>
      <c r="D2360" s="2" t="s">
        <v>28</v>
      </c>
      <c r="E2360" s="4">
        <v>4912.57</v>
      </c>
      <c r="F2360" s="2" t="s">
        <v>14</v>
      </c>
      <c r="G2360" s="5">
        <v>51</v>
      </c>
      <c r="H2360" s="2" t="s">
        <v>15</v>
      </c>
      <c r="I2360" s="2" t="s">
        <v>21</v>
      </c>
      <c r="J2360" s="2" t="s">
        <v>17</v>
      </c>
      <c r="K2360" s="2" t="s">
        <v>35</v>
      </c>
    </row>
    <row r="2361" spans="1:11" x14ac:dyDescent="0.3">
      <c r="A2361" s="2" t="s">
        <v>2748</v>
      </c>
      <c r="B2361" s="2" t="s">
        <v>834</v>
      </c>
      <c r="C2361" s="3">
        <v>45725.209027777782</v>
      </c>
      <c r="D2361" s="2" t="s">
        <v>13</v>
      </c>
      <c r="E2361" s="4">
        <v>3239.8</v>
      </c>
      <c r="F2361" s="2" t="s">
        <v>14</v>
      </c>
      <c r="G2361" s="5">
        <v>28</v>
      </c>
      <c r="H2361" s="2" t="s">
        <v>29</v>
      </c>
      <c r="I2361" s="2" t="s">
        <v>34</v>
      </c>
      <c r="J2361" s="2" t="s">
        <v>17</v>
      </c>
      <c r="K2361" s="2" t="s">
        <v>22</v>
      </c>
    </row>
    <row r="2362" spans="1:11" x14ac:dyDescent="0.3">
      <c r="A2362" s="2" t="s">
        <v>2749</v>
      </c>
      <c r="B2362" s="2" t="s">
        <v>1171</v>
      </c>
      <c r="C2362" s="3">
        <v>45971.803472222222</v>
      </c>
      <c r="D2362" s="2" t="s">
        <v>28</v>
      </c>
      <c r="E2362" s="4">
        <v>2690.42</v>
      </c>
      <c r="F2362" s="2" t="s">
        <v>14</v>
      </c>
      <c r="G2362" s="5">
        <v>32</v>
      </c>
      <c r="H2362" s="2" t="s">
        <v>29</v>
      </c>
      <c r="I2362" s="2" t="s">
        <v>34</v>
      </c>
      <c r="J2362" s="2" t="s">
        <v>17</v>
      </c>
      <c r="K2362" s="2" t="s">
        <v>45</v>
      </c>
    </row>
    <row r="2363" spans="1:11" x14ac:dyDescent="0.3">
      <c r="A2363" s="2" t="s">
        <v>2750</v>
      </c>
      <c r="B2363" s="2" t="s">
        <v>51</v>
      </c>
      <c r="C2363" s="3">
        <v>45968.777083333327</v>
      </c>
      <c r="D2363" s="2" t="s">
        <v>38</v>
      </c>
      <c r="E2363" s="4">
        <v>9491.18</v>
      </c>
      <c r="F2363" s="2" t="s">
        <v>14</v>
      </c>
      <c r="G2363" s="5">
        <v>30</v>
      </c>
      <c r="H2363" s="2" t="s">
        <v>29</v>
      </c>
      <c r="I2363" s="2" t="s">
        <v>48</v>
      </c>
      <c r="J2363" s="2" t="s">
        <v>52</v>
      </c>
      <c r="K2363" s="2" t="s">
        <v>18</v>
      </c>
    </row>
    <row r="2364" spans="1:11" x14ac:dyDescent="0.3">
      <c r="A2364" s="2" t="s">
        <v>2751</v>
      </c>
      <c r="B2364" s="2" t="s">
        <v>619</v>
      </c>
      <c r="C2364" s="3">
        <v>45776.801388888889</v>
      </c>
      <c r="D2364" s="2" t="s">
        <v>13</v>
      </c>
      <c r="E2364" s="4">
        <v>553.07000000000005</v>
      </c>
      <c r="F2364" s="2" t="s">
        <v>14</v>
      </c>
      <c r="G2364" s="5">
        <v>51</v>
      </c>
      <c r="H2364" s="2" t="s">
        <v>15</v>
      </c>
      <c r="I2364" s="2" t="s">
        <v>34</v>
      </c>
      <c r="J2364" s="2" t="s">
        <v>17</v>
      </c>
      <c r="K2364" s="2" t="s">
        <v>45</v>
      </c>
    </row>
    <row r="2365" spans="1:11" x14ac:dyDescent="0.3">
      <c r="A2365" s="2" t="s">
        <v>2752</v>
      </c>
      <c r="B2365" s="2" t="s">
        <v>289</v>
      </c>
      <c r="C2365" s="3">
        <v>45776.875694444447</v>
      </c>
      <c r="D2365" s="2" t="s">
        <v>13</v>
      </c>
      <c r="E2365" s="4">
        <v>2238.6</v>
      </c>
      <c r="F2365" s="2" t="s">
        <v>14</v>
      </c>
      <c r="G2365" s="5">
        <v>32</v>
      </c>
      <c r="H2365" s="2" t="s">
        <v>29</v>
      </c>
      <c r="I2365" s="2" t="s">
        <v>48</v>
      </c>
      <c r="J2365" s="2" t="s">
        <v>17</v>
      </c>
      <c r="K2365" s="2" t="s">
        <v>35</v>
      </c>
    </row>
    <row r="2366" spans="1:11" x14ac:dyDescent="0.3">
      <c r="A2366" s="2" t="s">
        <v>2753</v>
      </c>
      <c r="B2366" s="2" t="s">
        <v>207</v>
      </c>
      <c r="C2366" s="3">
        <v>45841.113888888889</v>
      </c>
      <c r="D2366" s="2" t="s">
        <v>13</v>
      </c>
      <c r="E2366" s="4">
        <v>225.87</v>
      </c>
      <c r="F2366" s="2" t="s">
        <v>14</v>
      </c>
      <c r="G2366" s="5">
        <v>33</v>
      </c>
      <c r="H2366" s="2" t="s">
        <v>15</v>
      </c>
      <c r="I2366" s="2" t="s">
        <v>34</v>
      </c>
      <c r="J2366" s="2" t="s">
        <v>49</v>
      </c>
      <c r="K2366" s="2" t="s">
        <v>18</v>
      </c>
    </row>
    <row r="2367" spans="1:11" x14ac:dyDescent="0.3">
      <c r="A2367" s="2" t="s">
        <v>2754</v>
      </c>
      <c r="B2367" s="2" t="s">
        <v>1349</v>
      </c>
      <c r="C2367" s="3">
        <v>45902.188888888893</v>
      </c>
      <c r="D2367" s="2" t="s">
        <v>28</v>
      </c>
      <c r="E2367" s="4">
        <v>39588.120000000003</v>
      </c>
      <c r="F2367" s="2" t="s">
        <v>14</v>
      </c>
      <c r="G2367" s="5">
        <v>30</v>
      </c>
      <c r="H2367" s="2" t="s">
        <v>15</v>
      </c>
      <c r="I2367" s="2" t="s">
        <v>78</v>
      </c>
      <c r="J2367" s="2" t="s">
        <v>17</v>
      </c>
      <c r="K2367" s="2" t="s">
        <v>35</v>
      </c>
    </row>
    <row r="2368" spans="1:11" x14ac:dyDescent="0.3">
      <c r="A2368" s="2" t="s">
        <v>2755</v>
      </c>
      <c r="B2368" s="2" t="s">
        <v>228</v>
      </c>
      <c r="C2368" s="3">
        <v>45967.65625</v>
      </c>
      <c r="D2368" s="2" t="s">
        <v>28</v>
      </c>
      <c r="E2368" s="4">
        <v>20750.52</v>
      </c>
      <c r="F2368" s="2" t="s">
        <v>14</v>
      </c>
      <c r="G2368" s="5">
        <v>45</v>
      </c>
      <c r="H2368" s="2" t="s">
        <v>15</v>
      </c>
      <c r="I2368" s="2" t="s">
        <v>48</v>
      </c>
      <c r="J2368" s="2" t="s">
        <v>44</v>
      </c>
      <c r="K2368" s="2" t="s">
        <v>18</v>
      </c>
    </row>
    <row r="2369" spans="1:11" x14ac:dyDescent="0.3">
      <c r="A2369" s="2" t="s">
        <v>2756</v>
      </c>
      <c r="B2369" s="2" t="s">
        <v>88</v>
      </c>
      <c r="C2369" s="3">
        <v>45990.46597222222</v>
      </c>
      <c r="D2369" s="2" t="s">
        <v>28</v>
      </c>
      <c r="E2369" s="4">
        <v>54072.13</v>
      </c>
      <c r="F2369" s="2" t="s">
        <v>14</v>
      </c>
      <c r="G2369" s="5">
        <v>25</v>
      </c>
      <c r="H2369" s="2" t="s">
        <v>29</v>
      </c>
      <c r="I2369" s="2" t="s">
        <v>34</v>
      </c>
      <c r="J2369" s="2" t="s">
        <v>49</v>
      </c>
      <c r="K2369" s="2" t="s">
        <v>22</v>
      </c>
    </row>
    <row r="2370" spans="1:11" x14ac:dyDescent="0.3">
      <c r="A2370" s="2" t="s">
        <v>2757</v>
      </c>
      <c r="B2370" s="2" t="s">
        <v>446</v>
      </c>
      <c r="C2370" s="3">
        <v>45856.645833333343</v>
      </c>
      <c r="D2370" s="2" t="s">
        <v>28</v>
      </c>
      <c r="E2370" s="4">
        <v>92189.79</v>
      </c>
      <c r="F2370" s="2" t="s">
        <v>14</v>
      </c>
      <c r="G2370" s="5">
        <v>35</v>
      </c>
      <c r="H2370" s="2" t="s">
        <v>15</v>
      </c>
      <c r="I2370" s="2" t="s">
        <v>16</v>
      </c>
      <c r="J2370" s="2" t="s">
        <v>17</v>
      </c>
      <c r="K2370" s="2" t="s">
        <v>18</v>
      </c>
    </row>
    <row r="2371" spans="1:11" x14ac:dyDescent="0.3">
      <c r="A2371" s="2" t="s">
        <v>2758</v>
      </c>
      <c r="B2371" s="2" t="s">
        <v>185</v>
      </c>
      <c r="C2371" s="3">
        <v>45728.216666666667</v>
      </c>
      <c r="D2371" s="2" t="s">
        <v>28</v>
      </c>
      <c r="E2371" s="4">
        <v>37803.57</v>
      </c>
      <c r="F2371" s="2" t="s">
        <v>14</v>
      </c>
      <c r="G2371" s="5">
        <v>28</v>
      </c>
      <c r="H2371" s="2" t="s">
        <v>29</v>
      </c>
      <c r="I2371" s="2" t="s">
        <v>34</v>
      </c>
      <c r="J2371" s="2" t="s">
        <v>17</v>
      </c>
      <c r="K2371" s="2" t="s">
        <v>45</v>
      </c>
    </row>
    <row r="2372" spans="1:11" x14ac:dyDescent="0.3">
      <c r="A2372" s="2" t="s">
        <v>2759</v>
      </c>
      <c r="B2372" s="2" t="s">
        <v>132</v>
      </c>
      <c r="C2372" s="3">
        <v>45773.05972222222</v>
      </c>
      <c r="D2372" s="2" t="s">
        <v>13</v>
      </c>
      <c r="E2372" s="4">
        <v>6053.91</v>
      </c>
      <c r="F2372" s="2" t="s">
        <v>122</v>
      </c>
      <c r="G2372" s="5">
        <v>20</v>
      </c>
      <c r="H2372" s="2" t="s">
        <v>15</v>
      </c>
      <c r="I2372" s="2" t="s">
        <v>43</v>
      </c>
      <c r="J2372" s="2" t="s">
        <v>17</v>
      </c>
      <c r="K2372" s="2" t="s">
        <v>45</v>
      </c>
    </row>
    <row r="2373" spans="1:11" x14ac:dyDescent="0.3">
      <c r="A2373" s="2" t="s">
        <v>2760</v>
      </c>
      <c r="B2373" s="2" t="s">
        <v>1086</v>
      </c>
      <c r="C2373" s="3">
        <v>45665.351388888892</v>
      </c>
      <c r="D2373" s="2" t="s">
        <v>38</v>
      </c>
      <c r="E2373" s="4">
        <v>1620.95</v>
      </c>
      <c r="F2373" s="2" t="s">
        <v>14</v>
      </c>
      <c r="G2373" s="5">
        <v>60</v>
      </c>
      <c r="H2373" s="2" t="s">
        <v>15</v>
      </c>
      <c r="I2373" s="2" t="s">
        <v>34</v>
      </c>
      <c r="J2373" s="2" t="s">
        <v>44</v>
      </c>
      <c r="K2373" s="2" t="s">
        <v>35</v>
      </c>
    </row>
    <row r="2374" spans="1:11" x14ac:dyDescent="0.3">
      <c r="A2374" s="2" t="s">
        <v>2761</v>
      </c>
      <c r="B2374" s="2" t="s">
        <v>207</v>
      </c>
      <c r="C2374" s="3">
        <v>45771.987500000003</v>
      </c>
      <c r="D2374" s="2" t="s">
        <v>28</v>
      </c>
      <c r="E2374" s="4">
        <v>4794.1099999999997</v>
      </c>
      <c r="F2374" s="2" t="s">
        <v>14</v>
      </c>
      <c r="G2374" s="5">
        <v>33</v>
      </c>
      <c r="H2374" s="2" t="s">
        <v>15</v>
      </c>
      <c r="I2374" s="2" t="s">
        <v>34</v>
      </c>
      <c r="J2374" s="2" t="s">
        <v>49</v>
      </c>
      <c r="K2374" s="2" t="s">
        <v>45</v>
      </c>
    </row>
    <row r="2375" spans="1:11" x14ac:dyDescent="0.3">
      <c r="A2375" s="2" t="s">
        <v>2762</v>
      </c>
      <c r="B2375" s="2" t="s">
        <v>132</v>
      </c>
      <c r="C2375" s="3">
        <v>45761.25277777778</v>
      </c>
      <c r="D2375" s="2" t="s">
        <v>38</v>
      </c>
      <c r="E2375" s="4">
        <v>822.59</v>
      </c>
      <c r="F2375" s="2" t="s">
        <v>14</v>
      </c>
      <c r="G2375" s="5">
        <v>20</v>
      </c>
      <c r="H2375" s="2" t="s">
        <v>15</v>
      </c>
      <c r="I2375" s="2" t="s">
        <v>43</v>
      </c>
      <c r="J2375" s="2" t="s">
        <v>17</v>
      </c>
      <c r="K2375" s="2" t="s">
        <v>45</v>
      </c>
    </row>
    <row r="2376" spans="1:11" x14ac:dyDescent="0.3">
      <c r="A2376" s="2" t="s">
        <v>2763</v>
      </c>
      <c r="B2376" s="2" t="s">
        <v>128</v>
      </c>
      <c r="C2376" s="3">
        <v>45748.621527777781</v>
      </c>
      <c r="D2376" s="2" t="s">
        <v>33</v>
      </c>
      <c r="E2376" s="4">
        <v>6720</v>
      </c>
      <c r="F2376" s="2" t="s">
        <v>14</v>
      </c>
      <c r="G2376" s="5">
        <v>26</v>
      </c>
      <c r="H2376" s="2" t="s">
        <v>15</v>
      </c>
      <c r="I2376" s="2" t="s">
        <v>95</v>
      </c>
      <c r="J2376" s="2" t="s">
        <v>44</v>
      </c>
      <c r="K2376" s="2" t="s">
        <v>45</v>
      </c>
    </row>
    <row r="2377" spans="1:11" x14ac:dyDescent="0.3">
      <c r="A2377" s="2" t="s">
        <v>2764</v>
      </c>
      <c r="B2377" s="2" t="s">
        <v>930</v>
      </c>
      <c r="C2377" s="3">
        <v>45973.655555555553</v>
      </c>
      <c r="D2377" s="2" t="s">
        <v>13</v>
      </c>
      <c r="E2377" s="4">
        <v>260.54000000000002</v>
      </c>
      <c r="F2377" s="2" t="s">
        <v>14</v>
      </c>
      <c r="G2377" s="5">
        <v>27</v>
      </c>
      <c r="H2377" s="2" t="s">
        <v>29</v>
      </c>
      <c r="I2377" s="2" t="s">
        <v>16</v>
      </c>
      <c r="J2377" s="2" t="s">
        <v>52</v>
      </c>
      <c r="K2377" s="2" t="s">
        <v>18</v>
      </c>
    </row>
    <row r="2378" spans="1:11" x14ac:dyDescent="0.3">
      <c r="A2378" s="2" t="s">
        <v>2765</v>
      </c>
      <c r="B2378" s="2" t="s">
        <v>524</v>
      </c>
      <c r="C2378" s="3">
        <v>45824.62222222222</v>
      </c>
      <c r="D2378" s="2" t="s">
        <v>28</v>
      </c>
      <c r="E2378" s="4">
        <v>100491.29</v>
      </c>
      <c r="F2378" s="2" t="s">
        <v>14</v>
      </c>
      <c r="G2378" s="5">
        <v>42</v>
      </c>
      <c r="H2378" s="2" t="s">
        <v>15</v>
      </c>
      <c r="I2378" s="2" t="s">
        <v>34</v>
      </c>
      <c r="J2378" s="2" t="s">
        <v>52</v>
      </c>
      <c r="K2378" s="2" t="s">
        <v>35</v>
      </c>
    </row>
    <row r="2379" spans="1:11" x14ac:dyDescent="0.3">
      <c r="A2379" s="2" t="s">
        <v>2766</v>
      </c>
      <c r="B2379" s="2" t="s">
        <v>90</v>
      </c>
      <c r="C2379" s="3">
        <v>45784.559027777781</v>
      </c>
      <c r="D2379" s="2" t="s">
        <v>13</v>
      </c>
      <c r="E2379" s="4">
        <v>318.79000000000002</v>
      </c>
      <c r="F2379" s="2" t="s">
        <v>57</v>
      </c>
      <c r="G2379" s="5">
        <v>22</v>
      </c>
      <c r="H2379" s="2" t="s">
        <v>29</v>
      </c>
      <c r="I2379" s="2" t="s">
        <v>48</v>
      </c>
      <c r="J2379" s="2" t="s">
        <v>49</v>
      </c>
      <c r="K2379" s="2" t="s">
        <v>18</v>
      </c>
    </row>
    <row r="2380" spans="1:11" x14ac:dyDescent="0.3">
      <c r="A2380" s="2" t="s">
        <v>2767</v>
      </c>
      <c r="B2380" s="2" t="s">
        <v>246</v>
      </c>
      <c r="C2380" s="3">
        <v>45679.824305555558</v>
      </c>
      <c r="D2380" s="2" t="s">
        <v>28</v>
      </c>
      <c r="E2380" s="4">
        <v>21773.43</v>
      </c>
      <c r="F2380" s="2" t="s">
        <v>14</v>
      </c>
      <c r="G2380" s="5">
        <v>30</v>
      </c>
      <c r="H2380" s="2" t="s">
        <v>15</v>
      </c>
      <c r="I2380" s="2" t="s">
        <v>60</v>
      </c>
      <c r="J2380" s="2" t="s">
        <v>49</v>
      </c>
      <c r="K2380" s="2" t="s">
        <v>45</v>
      </c>
    </row>
    <row r="2381" spans="1:11" x14ac:dyDescent="0.3">
      <c r="A2381" s="2" t="s">
        <v>2768</v>
      </c>
      <c r="B2381" s="2" t="s">
        <v>500</v>
      </c>
      <c r="C2381" s="3">
        <v>45852.972222222219</v>
      </c>
      <c r="D2381" s="2" t="s">
        <v>28</v>
      </c>
      <c r="E2381" s="4">
        <v>7513.03</v>
      </c>
      <c r="F2381" s="2" t="s">
        <v>14</v>
      </c>
      <c r="G2381" s="5">
        <v>27</v>
      </c>
      <c r="H2381" s="2" t="s">
        <v>15</v>
      </c>
      <c r="I2381" s="2" t="s">
        <v>60</v>
      </c>
      <c r="J2381" s="2" t="s">
        <v>44</v>
      </c>
      <c r="K2381" s="2" t="s">
        <v>18</v>
      </c>
    </row>
    <row r="2382" spans="1:11" x14ac:dyDescent="0.3">
      <c r="A2382" s="2" t="s">
        <v>2769</v>
      </c>
      <c r="B2382" s="2" t="s">
        <v>336</v>
      </c>
      <c r="C2382" s="3">
        <v>45859.824305555558</v>
      </c>
      <c r="D2382" s="2" t="s">
        <v>38</v>
      </c>
      <c r="E2382" s="4">
        <v>12474.8</v>
      </c>
      <c r="F2382" s="2" t="s">
        <v>122</v>
      </c>
      <c r="G2382" s="5">
        <v>32</v>
      </c>
      <c r="H2382" s="2" t="s">
        <v>29</v>
      </c>
      <c r="I2382" s="2" t="s">
        <v>78</v>
      </c>
      <c r="J2382" s="2" t="s">
        <v>52</v>
      </c>
      <c r="K2382" s="2" t="s">
        <v>18</v>
      </c>
    </row>
    <row r="2383" spans="1:11" x14ac:dyDescent="0.3">
      <c r="A2383" s="2" t="s">
        <v>2770</v>
      </c>
      <c r="B2383" s="2" t="s">
        <v>541</v>
      </c>
      <c r="C2383" s="3">
        <v>45950.81527777778</v>
      </c>
      <c r="D2383" s="2" t="s">
        <v>13</v>
      </c>
      <c r="E2383" s="4">
        <v>798.43</v>
      </c>
      <c r="F2383" s="2" t="s">
        <v>14</v>
      </c>
      <c r="G2383" s="5">
        <v>57</v>
      </c>
      <c r="H2383" s="2" t="s">
        <v>15</v>
      </c>
      <c r="I2383" s="2" t="s">
        <v>34</v>
      </c>
      <c r="J2383" s="2" t="s">
        <v>44</v>
      </c>
      <c r="K2383" s="2" t="s">
        <v>18</v>
      </c>
    </row>
    <row r="2384" spans="1:11" x14ac:dyDescent="0.3">
      <c r="A2384" s="2" t="s">
        <v>2771</v>
      </c>
      <c r="B2384" s="2" t="s">
        <v>1408</v>
      </c>
      <c r="C2384" s="3">
        <v>45926.87222222222</v>
      </c>
      <c r="D2384" s="2" t="s">
        <v>33</v>
      </c>
      <c r="E2384" s="4">
        <v>10442.59</v>
      </c>
      <c r="F2384" s="2" t="s">
        <v>14</v>
      </c>
      <c r="G2384" s="5">
        <v>39</v>
      </c>
      <c r="H2384" s="2" t="s">
        <v>15</v>
      </c>
      <c r="I2384" s="2" t="s">
        <v>25</v>
      </c>
      <c r="J2384" s="2" t="s">
        <v>52</v>
      </c>
      <c r="K2384" s="2" t="s">
        <v>45</v>
      </c>
    </row>
    <row r="2385" spans="1:11" x14ac:dyDescent="0.3">
      <c r="A2385" s="2" t="s">
        <v>2772</v>
      </c>
      <c r="B2385" s="2" t="s">
        <v>939</v>
      </c>
      <c r="C2385" s="3">
        <v>46018.064583333333</v>
      </c>
      <c r="D2385" s="2" t="s">
        <v>28</v>
      </c>
      <c r="E2385" s="4">
        <v>14364.64</v>
      </c>
      <c r="F2385" s="2" t="s">
        <v>14</v>
      </c>
      <c r="G2385" s="5">
        <v>29</v>
      </c>
      <c r="H2385" s="2" t="s">
        <v>15</v>
      </c>
      <c r="I2385" s="2" t="s">
        <v>21</v>
      </c>
      <c r="J2385" s="2" t="s">
        <v>17</v>
      </c>
      <c r="K2385" s="2" t="s">
        <v>22</v>
      </c>
    </row>
    <row r="2386" spans="1:11" x14ac:dyDescent="0.3">
      <c r="A2386" s="2" t="s">
        <v>2773</v>
      </c>
      <c r="B2386" s="2" t="s">
        <v>452</v>
      </c>
      <c r="C2386" s="3">
        <v>45713.603472222218</v>
      </c>
      <c r="D2386" s="2" t="s">
        <v>33</v>
      </c>
      <c r="E2386" s="4">
        <v>9796.75</v>
      </c>
      <c r="F2386" s="2" t="s">
        <v>14</v>
      </c>
      <c r="G2386" s="5">
        <v>47</v>
      </c>
      <c r="H2386" s="2" t="s">
        <v>15</v>
      </c>
      <c r="I2386" s="2" t="s">
        <v>34</v>
      </c>
      <c r="J2386" s="2" t="s">
        <v>17</v>
      </c>
      <c r="K2386" s="2" t="s">
        <v>18</v>
      </c>
    </row>
    <row r="2387" spans="1:11" x14ac:dyDescent="0.3">
      <c r="A2387" s="2" t="s">
        <v>2774</v>
      </c>
      <c r="B2387" s="2" t="s">
        <v>431</v>
      </c>
      <c r="C2387" s="3">
        <v>45679.314583333333</v>
      </c>
      <c r="D2387" s="2" t="s">
        <v>28</v>
      </c>
      <c r="E2387" s="4">
        <v>29611.85</v>
      </c>
      <c r="F2387" s="2" t="s">
        <v>14</v>
      </c>
      <c r="G2387" s="5">
        <v>51</v>
      </c>
      <c r="H2387" s="2" t="s">
        <v>15</v>
      </c>
      <c r="I2387" s="2" t="s">
        <v>21</v>
      </c>
      <c r="J2387" s="2" t="s">
        <v>49</v>
      </c>
      <c r="K2387" s="2" t="s">
        <v>18</v>
      </c>
    </row>
    <row r="2388" spans="1:11" x14ac:dyDescent="0.3">
      <c r="A2388" s="2" t="s">
        <v>2775</v>
      </c>
      <c r="B2388" s="2" t="s">
        <v>449</v>
      </c>
      <c r="C2388" s="3">
        <v>45933.532638888893</v>
      </c>
      <c r="D2388" s="2" t="s">
        <v>13</v>
      </c>
      <c r="E2388" s="4">
        <v>898.56</v>
      </c>
      <c r="F2388" s="2" t="s">
        <v>14</v>
      </c>
      <c r="G2388" s="5">
        <v>44</v>
      </c>
      <c r="H2388" s="2" t="s">
        <v>29</v>
      </c>
      <c r="I2388" s="2" t="s">
        <v>34</v>
      </c>
      <c r="J2388" s="2" t="s">
        <v>52</v>
      </c>
      <c r="K2388" s="2" t="s">
        <v>18</v>
      </c>
    </row>
    <row r="2389" spans="1:11" x14ac:dyDescent="0.3">
      <c r="A2389" s="2" t="s">
        <v>2776</v>
      </c>
      <c r="B2389" s="2" t="s">
        <v>296</v>
      </c>
      <c r="C2389" s="3">
        <v>45678.724999999999</v>
      </c>
      <c r="D2389" s="2" t="s">
        <v>28</v>
      </c>
      <c r="E2389" s="4">
        <v>47772.15</v>
      </c>
      <c r="F2389" s="2" t="s">
        <v>14</v>
      </c>
      <c r="G2389" s="5">
        <v>31</v>
      </c>
      <c r="H2389" s="2" t="s">
        <v>15</v>
      </c>
      <c r="I2389" s="2" t="s">
        <v>34</v>
      </c>
      <c r="J2389" s="2" t="s">
        <v>52</v>
      </c>
      <c r="K2389" s="2" t="s">
        <v>35</v>
      </c>
    </row>
    <row r="2390" spans="1:11" x14ac:dyDescent="0.3">
      <c r="A2390" s="2" t="s">
        <v>2777</v>
      </c>
      <c r="B2390" s="2" t="s">
        <v>264</v>
      </c>
      <c r="C2390" s="3">
        <v>45922.835416666669</v>
      </c>
      <c r="D2390" s="2" t="s">
        <v>33</v>
      </c>
      <c r="E2390" s="4">
        <v>2262.64</v>
      </c>
      <c r="F2390" s="2" t="s">
        <v>57</v>
      </c>
      <c r="G2390" s="5">
        <v>26</v>
      </c>
      <c r="H2390" s="2" t="s">
        <v>29</v>
      </c>
      <c r="I2390" s="2" t="s">
        <v>34</v>
      </c>
      <c r="J2390" s="2" t="s">
        <v>49</v>
      </c>
      <c r="K2390" s="2" t="s">
        <v>18</v>
      </c>
    </row>
    <row r="2391" spans="1:11" x14ac:dyDescent="0.3">
      <c r="A2391" s="2" t="s">
        <v>2778</v>
      </c>
      <c r="B2391" s="2" t="s">
        <v>354</v>
      </c>
      <c r="C2391" s="3">
        <v>45755.394444444442</v>
      </c>
      <c r="D2391" s="2" t="s">
        <v>38</v>
      </c>
      <c r="E2391" s="4">
        <v>6068.82</v>
      </c>
      <c r="F2391" s="2" t="s">
        <v>14</v>
      </c>
      <c r="G2391" s="5">
        <v>22</v>
      </c>
      <c r="H2391" s="2" t="s">
        <v>29</v>
      </c>
      <c r="I2391" s="2" t="s">
        <v>16</v>
      </c>
      <c r="J2391" s="2" t="s">
        <v>17</v>
      </c>
      <c r="K2391" s="2" t="s">
        <v>45</v>
      </c>
    </row>
    <row r="2392" spans="1:11" x14ac:dyDescent="0.3">
      <c r="A2392" s="2" t="s">
        <v>2779</v>
      </c>
      <c r="B2392" s="2" t="s">
        <v>264</v>
      </c>
      <c r="C2392" s="3">
        <v>45861.40902777778</v>
      </c>
      <c r="D2392" s="2" t="s">
        <v>28</v>
      </c>
      <c r="E2392" s="4">
        <v>9181.85</v>
      </c>
      <c r="F2392" s="2" t="s">
        <v>14</v>
      </c>
      <c r="G2392" s="5">
        <v>26</v>
      </c>
      <c r="H2392" s="2" t="s">
        <v>29</v>
      </c>
      <c r="I2392" s="2" t="s">
        <v>34</v>
      </c>
      <c r="J2392" s="2" t="s">
        <v>49</v>
      </c>
      <c r="K2392" s="2" t="s">
        <v>18</v>
      </c>
    </row>
    <row r="2393" spans="1:11" x14ac:dyDescent="0.3">
      <c r="A2393" s="2" t="s">
        <v>2780</v>
      </c>
      <c r="B2393" s="2" t="s">
        <v>357</v>
      </c>
      <c r="C2393" s="3">
        <v>45804.590277777781</v>
      </c>
      <c r="D2393" s="2" t="s">
        <v>28</v>
      </c>
      <c r="E2393" s="4">
        <v>32476.25</v>
      </c>
      <c r="F2393" s="2" t="s">
        <v>14</v>
      </c>
      <c r="G2393" s="5">
        <v>57</v>
      </c>
      <c r="H2393" s="2" t="s">
        <v>15</v>
      </c>
      <c r="I2393" s="2" t="s">
        <v>16</v>
      </c>
      <c r="J2393" s="2" t="s">
        <v>44</v>
      </c>
      <c r="K2393" s="2" t="s">
        <v>18</v>
      </c>
    </row>
    <row r="2394" spans="1:11" x14ac:dyDescent="0.3">
      <c r="A2394" s="2" t="s">
        <v>2781</v>
      </c>
      <c r="B2394" s="2" t="s">
        <v>343</v>
      </c>
      <c r="C2394" s="3">
        <v>45874.402083333327</v>
      </c>
      <c r="D2394" s="2" t="s">
        <v>28</v>
      </c>
      <c r="E2394" s="4">
        <v>14036.76</v>
      </c>
      <c r="F2394" s="2" t="s">
        <v>14</v>
      </c>
      <c r="G2394" s="5">
        <v>38</v>
      </c>
      <c r="H2394" s="2" t="s">
        <v>15</v>
      </c>
      <c r="I2394" s="2" t="s">
        <v>34</v>
      </c>
      <c r="J2394" s="2" t="s">
        <v>17</v>
      </c>
      <c r="K2394" s="2" t="s">
        <v>18</v>
      </c>
    </row>
    <row r="2395" spans="1:11" x14ac:dyDescent="0.3">
      <c r="A2395" s="2" t="s">
        <v>2782</v>
      </c>
      <c r="B2395" s="2" t="s">
        <v>524</v>
      </c>
      <c r="C2395" s="3">
        <v>45685.939583333333</v>
      </c>
      <c r="D2395" s="2" t="s">
        <v>33</v>
      </c>
      <c r="E2395" s="4">
        <v>10702.2</v>
      </c>
      <c r="F2395" s="2" t="s">
        <v>14</v>
      </c>
      <c r="G2395" s="5">
        <v>42</v>
      </c>
      <c r="H2395" s="2" t="s">
        <v>15</v>
      </c>
      <c r="I2395" s="2" t="s">
        <v>34</v>
      </c>
      <c r="J2395" s="2" t="s">
        <v>52</v>
      </c>
      <c r="K2395" s="2" t="s">
        <v>45</v>
      </c>
    </row>
    <row r="2396" spans="1:11" x14ac:dyDescent="0.3">
      <c r="A2396" s="2" t="s">
        <v>2783</v>
      </c>
      <c r="B2396" s="2" t="s">
        <v>468</v>
      </c>
      <c r="C2396" s="3">
        <v>45730.620138888888</v>
      </c>
      <c r="D2396" s="2" t="s">
        <v>28</v>
      </c>
      <c r="E2396" s="4">
        <v>28103.29</v>
      </c>
      <c r="F2396" s="2" t="s">
        <v>14</v>
      </c>
      <c r="G2396" s="5">
        <v>50</v>
      </c>
      <c r="H2396" s="2" t="s">
        <v>29</v>
      </c>
      <c r="I2396" s="2" t="s">
        <v>25</v>
      </c>
      <c r="J2396" s="2" t="s">
        <v>17</v>
      </c>
      <c r="K2396" s="2" t="s">
        <v>18</v>
      </c>
    </row>
    <row r="2397" spans="1:11" x14ac:dyDescent="0.3">
      <c r="A2397" s="2" t="s">
        <v>2784</v>
      </c>
      <c r="B2397" s="2" t="s">
        <v>296</v>
      </c>
      <c r="C2397" s="3">
        <v>45988.586805555547</v>
      </c>
      <c r="D2397" s="2" t="s">
        <v>154</v>
      </c>
      <c r="E2397" s="4">
        <v>2000</v>
      </c>
      <c r="F2397" s="2" t="s">
        <v>14</v>
      </c>
      <c r="G2397" s="5">
        <v>31</v>
      </c>
      <c r="H2397" s="2" t="s">
        <v>15</v>
      </c>
      <c r="I2397" s="2" t="s">
        <v>34</v>
      </c>
      <c r="J2397" s="2" t="s">
        <v>52</v>
      </c>
      <c r="K2397" s="2" t="s">
        <v>35</v>
      </c>
    </row>
    <row r="2398" spans="1:11" x14ac:dyDescent="0.3">
      <c r="A2398" s="2" t="s">
        <v>2785</v>
      </c>
      <c r="B2398" s="2" t="s">
        <v>109</v>
      </c>
      <c r="C2398" s="3">
        <v>45914.132638888892</v>
      </c>
      <c r="D2398" s="2" t="s">
        <v>38</v>
      </c>
      <c r="E2398" s="4">
        <v>4491.2299999999996</v>
      </c>
      <c r="F2398" s="2" t="s">
        <v>14</v>
      </c>
      <c r="G2398" s="5">
        <v>38</v>
      </c>
      <c r="H2398" s="2" t="s">
        <v>15</v>
      </c>
      <c r="I2398" s="2" t="s">
        <v>21</v>
      </c>
      <c r="J2398" s="2" t="s">
        <v>17</v>
      </c>
      <c r="K2398" s="2" t="s">
        <v>18</v>
      </c>
    </row>
    <row r="2399" spans="1:11" x14ac:dyDescent="0.3">
      <c r="A2399" s="2" t="s">
        <v>2786</v>
      </c>
      <c r="B2399" s="2" t="s">
        <v>461</v>
      </c>
      <c r="C2399" s="3">
        <v>45957.94027777778</v>
      </c>
      <c r="D2399" s="2" t="s">
        <v>28</v>
      </c>
      <c r="E2399" s="4">
        <v>12255.98</v>
      </c>
      <c r="F2399" s="2" t="s">
        <v>14</v>
      </c>
      <c r="G2399" s="5">
        <v>39</v>
      </c>
      <c r="H2399" s="2" t="s">
        <v>29</v>
      </c>
      <c r="I2399" s="2" t="s">
        <v>60</v>
      </c>
      <c r="J2399" s="2" t="s">
        <v>52</v>
      </c>
      <c r="K2399" s="2" t="s">
        <v>18</v>
      </c>
    </row>
    <row r="2400" spans="1:11" x14ac:dyDescent="0.3">
      <c r="A2400" s="2" t="s">
        <v>2787</v>
      </c>
      <c r="B2400" s="2" t="s">
        <v>368</v>
      </c>
      <c r="C2400" s="3">
        <v>45727.518055555563</v>
      </c>
      <c r="D2400" s="2" t="s">
        <v>28</v>
      </c>
      <c r="E2400" s="4">
        <v>8779.2099999999991</v>
      </c>
      <c r="F2400" s="2" t="s">
        <v>57</v>
      </c>
      <c r="G2400" s="5">
        <v>52</v>
      </c>
      <c r="H2400" s="2" t="s">
        <v>15</v>
      </c>
      <c r="I2400" s="2" t="s">
        <v>34</v>
      </c>
      <c r="J2400" s="2" t="s">
        <v>17</v>
      </c>
      <c r="K2400" s="2" t="s">
        <v>18</v>
      </c>
    </row>
    <row r="2401" spans="1:11" x14ac:dyDescent="0.3">
      <c r="A2401" s="2" t="s">
        <v>2788</v>
      </c>
      <c r="B2401" s="2" t="s">
        <v>429</v>
      </c>
      <c r="C2401" s="3">
        <v>45823.584027777782</v>
      </c>
      <c r="D2401" s="2" t="s">
        <v>13</v>
      </c>
      <c r="E2401" s="4">
        <v>1309.6099999999999</v>
      </c>
      <c r="F2401" s="2" t="s">
        <v>14</v>
      </c>
      <c r="G2401" s="5">
        <v>31</v>
      </c>
      <c r="H2401" s="2" t="s">
        <v>29</v>
      </c>
      <c r="I2401" s="2" t="s">
        <v>25</v>
      </c>
      <c r="J2401" s="2" t="s">
        <v>49</v>
      </c>
      <c r="K2401" s="2" t="s">
        <v>18</v>
      </c>
    </row>
    <row r="2402" spans="1:11" x14ac:dyDescent="0.3">
      <c r="A2402" s="2" t="s">
        <v>2789</v>
      </c>
      <c r="B2402" s="2" t="s">
        <v>1049</v>
      </c>
      <c r="C2402" s="3">
        <v>45749.609027777777</v>
      </c>
      <c r="D2402" s="2" t="s">
        <v>28</v>
      </c>
      <c r="E2402" s="4">
        <v>1879.97</v>
      </c>
      <c r="F2402" s="2" t="s">
        <v>14</v>
      </c>
      <c r="G2402" s="5">
        <v>40</v>
      </c>
      <c r="H2402" s="2" t="s">
        <v>15</v>
      </c>
      <c r="I2402" s="2" t="s">
        <v>34</v>
      </c>
      <c r="J2402" s="2" t="s">
        <v>52</v>
      </c>
      <c r="K2402" s="2" t="s">
        <v>45</v>
      </c>
    </row>
    <row r="2403" spans="1:11" x14ac:dyDescent="0.3">
      <c r="A2403" s="2" t="s">
        <v>2790</v>
      </c>
      <c r="B2403" s="2" t="s">
        <v>716</v>
      </c>
      <c r="C2403" s="3">
        <v>45761.586805555547</v>
      </c>
      <c r="D2403" s="2" t="s">
        <v>33</v>
      </c>
      <c r="E2403" s="4">
        <v>40599.629999999997</v>
      </c>
      <c r="F2403" s="2" t="s">
        <v>14</v>
      </c>
      <c r="G2403" s="5">
        <v>33</v>
      </c>
      <c r="H2403" s="2" t="s">
        <v>15</v>
      </c>
      <c r="I2403" s="2" t="s">
        <v>34</v>
      </c>
      <c r="J2403" s="2" t="s">
        <v>49</v>
      </c>
      <c r="K2403" s="2" t="s">
        <v>35</v>
      </c>
    </row>
    <row r="2404" spans="1:11" x14ac:dyDescent="0.3">
      <c r="A2404" s="2" t="s">
        <v>2791</v>
      </c>
      <c r="B2404" s="2" t="s">
        <v>388</v>
      </c>
      <c r="C2404" s="3">
        <v>45786.447222222218</v>
      </c>
      <c r="D2404" s="2" t="s">
        <v>33</v>
      </c>
      <c r="E2404" s="4">
        <v>778.86</v>
      </c>
      <c r="F2404" s="2" t="s">
        <v>14</v>
      </c>
      <c r="G2404" s="5">
        <v>31</v>
      </c>
      <c r="H2404" s="2" t="s">
        <v>15</v>
      </c>
      <c r="I2404" s="2" t="s">
        <v>34</v>
      </c>
      <c r="J2404" s="2" t="s">
        <v>17</v>
      </c>
      <c r="K2404" s="2" t="s">
        <v>35</v>
      </c>
    </row>
    <row r="2405" spans="1:11" x14ac:dyDescent="0.3">
      <c r="A2405" s="2" t="s">
        <v>2792</v>
      </c>
      <c r="B2405" s="2" t="s">
        <v>279</v>
      </c>
      <c r="C2405" s="3">
        <v>45990.951388888891</v>
      </c>
      <c r="D2405" s="2" t="s">
        <v>28</v>
      </c>
      <c r="E2405" s="4">
        <v>80465.38</v>
      </c>
      <c r="F2405" s="2" t="s">
        <v>14</v>
      </c>
      <c r="G2405" s="5">
        <v>52</v>
      </c>
      <c r="H2405" s="2" t="s">
        <v>29</v>
      </c>
      <c r="I2405" s="2" t="s">
        <v>34</v>
      </c>
      <c r="J2405" s="2" t="s">
        <v>17</v>
      </c>
      <c r="K2405" s="2" t="s">
        <v>18</v>
      </c>
    </row>
    <row r="2406" spans="1:11" x14ac:dyDescent="0.3">
      <c r="A2406" s="2" t="s">
        <v>2793</v>
      </c>
      <c r="B2406" s="2" t="s">
        <v>997</v>
      </c>
      <c r="C2406" s="3">
        <v>45741.948611111111</v>
      </c>
      <c r="D2406" s="2" t="s">
        <v>28</v>
      </c>
      <c r="E2406" s="4">
        <v>20011.669999999998</v>
      </c>
      <c r="F2406" s="2" t="s">
        <v>14</v>
      </c>
      <c r="G2406" s="5">
        <v>39</v>
      </c>
      <c r="H2406" s="2" t="s">
        <v>29</v>
      </c>
      <c r="I2406" s="2" t="s">
        <v>34</v>
      </c>
      <c r="J2406" s="2" t="s">
        <v>17</v>
      </c>
      <c r="K2406" s="2" t="s">
        <v>22</v>
      </c>
    </row>
    <row r="2407" spans="1:11" x14ac:dyDescent="0.3">
      <c r="A2407" s="2" t="s">
        <v>2794</v>
      </c>
      <c r="B2407" s="2" t="s">
        <v>617</v>
      </c>
      <c r="C2407" s="3">
        <v>45721.088194444441</v>
      </c>
      <c r="D2407" s="2" t="s">
        <v>28</v>
      </c>
      <c r="E2407" s="4">
        <v>25140.799999999999</v>
      </c>
      <c r="F2407" s="2" t="s">
        <v>14</v>
      </c>
      <c r="G2407" s="5">
        <v>22</v>
      </c>
      <c r="H2407" s="2" t="s">
        <v>15</v>
      </c>
      <c r="I2407" s="2" t="s">
        <v>34</v>
      </c>
      <c r="J2407" s="2" t="s">
        <v>44</v>
      </c>
      <c r="K2407" s="2" t="s">
        <v>18</v>
      </c>
    </row>
    <row r="2408" spans="1:11" x14ac:dyDescent="0.3">
      <c r="A2408" s="2" t="s">
        <v>2795</v>
      </c>
      <c r="B2408" s="2" t="s">
        <v>756</v>
      </c>
      <c r="C2408" s="3">
        <v>46019.611111111109</v>
      </c>
      <c r="D2408" s="2" t="s">
        <v>28</v>
      </c>
      <c r="E2408" s="4">
        <v>35070.629999999997</v>
      </c>
      <c r="F2408" s="2" t="s">
        <v>122</v>
      </c>
      <c r="G2408" s="5">
        <v>40</v>
      </c>
      <c r="H2408" s="2" t="s">
        <v>15</v>
      </c>
      <c r="I2408" s="2" t="s">
        <v>16</v>
      </c>
      <c r="J2408" s="2" t="s">
        <v>17</v>
      </c>
      <c r="K2408" s="2" t="s">
        <v>18</v>
      </c>
    </row>
    <row r="2409" spans="1:11" x14ac:dyDescent="0.3">
      <c r="A2409" s="2" t="s">
        <v>2796</v>
      </c>
      <c r="B2409" s="2" t="s">
        <v>1311</v>
      </c>
      <c r="C2409" s="3">
        <v>45843.106249999997</v>
      </c>
      <c r="D2409" s="2" t="s">
        <v>28</v>
      </c>
      <c r="E2409" s="4">
        <v>65558.14</v>
      </c>
      <c r="F2409" s="2" t="s">
        <v>14</v>
      </c>
      <c r="G2409" s="5">
        <v>36</v>
      </c>
      <c r="H2409" s="2" t="s">
        <v>15</v>
      </c>
      <c r="I2409" s="2" t="s">
        <v>60</v>
      </c>
      <c r="J2409" s="2" t="s">
        <v>49</v>
      </c>
      <c r="K2409" s="2" t="s">
        <v>18</v>
      </c>
    </row>
    <row r="2410" spans="1:11" x14ac:dyDescent="0.3">
      <c r="A2410" s="2" t="s">
        <v>2797</v>
      </c>
      <c r="B2410" s="2" t="s">
        <v>77</v>
      </c>
      <c r="C2410" s="3">
        <v>46020.531944444447</v>
      </c>
      <c r="D2410" s="2" t="s">
        <v>13</v>
      </c>
      <c r="E2410" s="4">
        <v>861.43</v>
      </c>
      <c r="F2410" s="2" t="s">
        <v>57</v>
      </c>
      <c r="G2410" s="5">
        <v>34</v>
      </c>
      <c r="H2410" s="2" t="s">
        <v>29</v>
      </c>
      <c r="I2410" s="2" t="s">
        <v>78</v>
      </c>
      <c r="J2410" s="2" t="s">
        <v>17</v>
      </c>
      <c r="K2410" s="2" t="s">
        <v>18</v>
      </c>
    </row>
    <row r="2411" spans="1:11" x14ac:dyDescent="0.3">
      <c r="A2411" s="2" t="s">
        <v>2798</v>
      </c>
      <c r="B2411" s="2" t="s">
        <v>92</v>
      </c>
      <c r="C2411" s="3">
        <v>45919.798611111109</v>
      </c>
      <c r="D2411" s="2" t="s">
        <v>13</v>
      </c>
      <c r="E2411" s="4">
        <v>436.83</v>
      </c>
      <c r="F2411" s="2" t="s">
        <v>14</v>
      </c>
      <c r="G2411" s="5">
        <v>31</v>
      </c>
      <c r="H2411" s="2" t="s">
        <v>29</v>
      </c>
      <c r="I2411" s="2" t="s">
        <v>60</v>
      </c>
      <c r="J2411" s="2" t="s">
        <v>44</v>
      </c>
      <c r="K2411" s="2" t="s">
        <v>18</v>
      </c>
    </row>
    <row r="2412" spans="1:11" x14ac:dyDescent="0.3">
      <c r="A2412" s="2" t="s">
        <v>2799</v>
      </c>
      <c r="B2412" s="2" t="s">
        <v>947</v>
      </c>
      <c r="C2412" s="3">
        <v>45851.724999999999</v>
      </c>
      <c r="D2412" s="2" t="s">
        <v>28</v>
      </c>
      <c r="E2412" s="4">
        <v>11694.48</v>
      </c>
      <c r="F2412" s="2" t="s">
        <v>57</v>
      </c>
      <c r="G2412" s="5">
        <v>25</v>
      </c>
      <c r="H2412" s="2" t="s">
        <v>29</v>
      </c>
      <c r="I2412" s="2" t="s">
        <v>34</v>
      </c>
      <c r="J2412" s="2" t="s">
        <v>17</v>
      </c>
      <c r="K2412" s="2" t="s">
        <v>35</v>
      </c>
    </row>
    <row r="2413" spans="1:11" x14ac:dyDescent="0.3">
      <c r="A2413" s="2" t="s">
        <v>2800</v>
      </c>
      <c r="B2413" s="2" t="s">
        <v>1290</v>
      </c>
      <c r="C2413" s="3">
        <v>45680.248611111107</v>
      </c>
      <c r="D2413" s="2" t="s">
        <v>28</v>
      </c>
      <c r="E2413" s="4">
        <v>18468.169999999998</v>
      </c>
      <c r="F2413" s="2" t="s">
        <v>14</v>
      </c>
      <c r="G2413" s="5">
        <v>32</v>
      </c>
      <c r="H2413" s="2" t="s">
        <v>15</v>
      </c>
      <c r="I2413" s="2" t="s">
        <v>34</v>
      </c>
      <c r="J2413" s="2" t="s">
        <v>44</v>
      </c>
      <c r="K2413" s="2" t="s">
        <v>18</v>
      </c>
    </row>
    <row r="2414" spans="1:11" x14ac:dyDescent="0.3">
      <c r="A2414" s="2" t="s">
        <v>2801</v>
      </c>
      <c r="B2414" s="2" t="s">
        <v>958</v>
      </c>
      <c r="C2414" s="3">
        <v>45829.788194444453</v>
      </c>
      <c r="D2414" s="2" t="s">
        <v>13</v>
      </c>
      <c r="E2414" s="4">
        <v>606.33000000000004</v>
      </c>
      <c r="F2414" s="2" t="s">
        <v>57</v>
      </c>
      <c r="G2414" s="5">
        <v>37</v>
      </c>
      <c r="H2414" s="2" t="s">
        <v>29</v>
      </c>
      <c r="I2414" s="2" t="s">
        <v>34</v>
      </c>
      <c r="J2414" s="2" t="s">
        <v>49</v>
      </c>
      <c r="K2414" s="2" t="s">
        <v>18</v>
      </c>
    </row>
    <row r="2415" spans="1:11" x14ac:dyDescent="0.3">
      <c r="A2415" s="2" t="s">
        <v>2802</v>
      </c>
      <c r="B2415" s="2" t="s">
        <v>452</v>
      </c>
      <c r="C2415" s="3">
        <v>45995.173611111109</v>
      </c>
      <c r="D2415" s="2" t="s">
        <v>28</v>
      </c>
      <c r="E2415" s="4">
        <v>21692.89</v>
      </c>
      <c r="F2415" s="2" t="s">
        <v>14</v>
      </c>
      <c r="G2415" s="5">
        <v>47</v>
      </c>
      <c r="H2415" s="2" t="s">
        <v>15</v>
      </c>
      <c r="I2415" s="2" t="s">
        <v>34</v>
      </c>
      <c r="J2415" s="2" t="s">
        <v>17</v>
      </c>
      <c r="K2415" s="2" t="s">
        <v>18</v>
      </c>
    </row>
    <row r="2416" spans="1:11" x14ac:dyDescent="0.3">
      <c r="A2416" s="2" t="s">
        <v>2803</v>
      </c>
      <c r="B2416" s="2" t="s">
        <v>1026</v>
      </c>
      <c r="C2416" s="3">
        <v>45732.242361111108</v>
      </c>
      <c r="D2416" s="2" t="s">
        <v>154</v>
      </c>
      <c r="E2416" s="4">
        <v>20000</v>
      </c>
      <c r="F2416" s="2" t="s">
        <v>14</v>
      </c>
      <c r="G2416" s="5">
        <v>43</v>
      </c>
      <c r="H2416" s="2" t="s">
        <v>15</v>
      </c>
      <c r="I2416" s="2" t="s">
        <v>78</v>
      </c>
      <c r="J2416" s="2" t="s">
        <v>17</v>
      </c>
      <c r="K2416" s="2" t="s">
        <v>45</v>
      </c>
    </row>
    <row r="2417" spans="1:11" x14ac:dyDescent="0.3">
      <c r="A2417" s="2" t="s">
        <v>2804</v>
      </c>
      <c r="B2417" s="2" t="s">
        <v>692</v>
      </c>
      <c r="C2417" s="3">
        <v>45684.554861111108</v>
      </c>
      <c r="D2417" s="2" t="s">
        <v>28</v>
      </c>
      <c r="E2417" s="4">
        <v>54806.95</v>
      </c>
      <c r="F2417" s="2" t="s">
        <v>14</v>
      </c>
      <c r="G2417" s="5">
        <v>41</v>
      </c>
      <c r="H2417" s="2" t="s">
        <v>15</v>
      </c>
      <c r="I2417" s="2" t="s">
        <v>25</v>
      </c>
      <c r="J2417" s="2" t="s">
        <v>17</v>
      </c>
      <c r="K2417" s="2" t="s">
        <v>35</v>
      </c>
    </row>
    <row r="2418" spans="1:11" x14ac:dyDescent="0.3">
      <c r="A2418" s="2" t="s">
        <v>2805</v>
      </c>
      <c r="B2418" s="2" t="s">
        <v>388</v>
      </c>
      <c r="C2418" s="3">
        <v>45816.992361111108</v>
      </c>
      <c r="D2418" s="2" t="s">
        <v>13</v>
      </c>
      <c r="E2418" s="4">
        <v>4015.96</v>
      </c>
      <c r="F2418" s="2" t="s">
        <v>14</v>
      </c>
      <c r="G2418" s="5">
        <v>31</v>
      </c>
      <c r="H2418" s="2" t="s">
        <v>15</v>
      </c>
      <c r="I2418" s="2" t="s">
        <v>34</v>
      </c>
      <c r="J2418" s="2" t="s">
        <v>17</v>
      </c>
      <c r="K2418" s="2" t="s">
        <v>18</v>
      </c>
    </row>
    <row r="2419" spans="1:11" x14ac:dyDescent="0.3">
      <c r="A2419" s="2" t="s">
        <v>2806</v>
      </c>
      <c r="B2419" s="2" t="s">
        <v>734</v>
      </c>
      <c r="C2419" s="3">
        <v>45886.402777777781</v>
      </c>
      <c r="D2419" s="2" t="s">
        <v>13</v>
      </c>
      <c r="E2419" s="4">
        <v>683.16</v>
      </c>
      <c r="F2419" s="2" t="s">
        <v>14</v>
      </c>
      <c r="G2419" s="5">
        <v>45</v>
      </c>
      <c r="H2419" s="2" t="s">
        <v>15</v>
      </c>
      <c r="I2419" s="2" t="s">
        <v>95</v>
      </c>
      <c r="J2419" s="2" t="s">
        <v>44</v>
      </c>
      <c r="K2419" s="2" t="s">
        <v>18</v>
      </c>
    </row>
    <row r="2420" spans="1:11" x14ac:dyDescent="0.3">
      <c r="A2420" s="2" t="s">
        <v>2807</v>
      </c>
      <c r="B2420" s="2" t="s">
        <v>634</v>
      </c>
      <c r="C2420" s="3">
        <v>45750.164583333331</v>
      </c>
      <c r="D2420" s="2" t="s">
        <v>154</v>
      </c>
      <c r="E2420" s="4">
        <v>10000</v>
      </c>
      <c r="F2420" s="2" t="s">
        <v>14</v>
      </c>
      <c r="G2420" s="5">
        <v>56</v>
      </c>
      <c r="H2420" s="2" t="s">
        <v>29</v>
      </c>
      <c r="I2420" s="2" t="s">
        <v>25</v>
      </c>
      <c r="J2420" s="2" t="s">
        <v>17</v>
      </c>
      <c r="K2420" s="2" t="s">
        <v>22</v>
      </c>
    </row>
    <row r="2421" spans="1:11" x14ac:dyDescent="0.3">
      <c r="A2421" s="2" t="s">
        <v>2808</v>
      </c>
      <c r="B2421" s="2" t="s">
        <v>718</v>
      </c>
      <c r="C2421" s="3">
        <v>45725.25</v>
      </c>
      <c r="D2421" s="2" t="s">
        <v>28</v>
      </c>
      <c r="E2421" s="4">
        <v>10278.200000000001</v>
      </c>
      <c r="F2421" s="2" t="s">
        <v>14</v>
      </c>
      <c r="G2421" s="5">
        <v>23</v>
      </c>
      <c r="H2421" s="2" t="s">
        <v>29</v>
      </c>
      <c r="I2421" s="2" t="s">
        <v>34</v>
      </c>
      <c r="J2421" s="2" t="s">
        <v>17</v>
      </c>
      <c r="K2421" s="2" t="s">
        <v>45</v>
      </c>
    </row>
    <row r="2422" spans="1:11" x14ac:dyDescent="0.3">
      <c r="A2422" s="2" t="s">
        <v>2809</v>
      </c>
      <c r="B2422" s="2" t="s">
        <v>1430</v>
      </c>
      <c r="C2422" s="3">
        <v>45976.333333333343</v>
      </c>
      <c r="D2422" s="2" t="s">
        <v>28</v>
      </c>
      <c r="E2422" s="4">
        <v>15371.08</v>
      </c>
      <c r="F2422" s="2" t="s">
        <v>14</v>
      </c>
      <c r="G2422" s="5">
        <v>32</v>
      </c>
      <c r="H2422" s="2" t="s">
        <v>29</v>
      </c>
      <c r="I2422" s="2" t="s">
        <v>25</v>
      </c>
      <c r="J2422" s="2" t="s">
        <v>49</v>
      </c>
      <c r="K2422" s="2" t="s">
        <v>35</v>
      </c>
    </row>
    <row r="2423" spans="1:11" x14ac:dyDescent="0.3">
      <c r="A2423" s="2" t="s">
        <v>2810</v>
      </c>
      <c r="B2423" s="2" t="s">
        <v>587</v>
      </c>
      <c r="C2423" s="3">
        <v>45892.662499999999</v>
      </c>
      <c r="D2423" s="2" t="s">
        <v>33</v>
      </c>
      <c r="E2423" s="4">
        <v>33595.800000000003</v>
      </c>
      <c r="F2423" s="2" t="s">
        <v>14</v>
      </c>
      <c r="G2423" s="5">
        <v>47</v>
      </c>
      <c r="H2423" s="2" t="s">
        <v>29</v>
      </c>
      <c r="I2423" s="2" t="s">
        <v>34</v>
      </c>
      <c r="J2423" s="2" t="s">
        <v>49</v>
      </c>
      <c r="K2423" s="2" t="s">
        <v>18</v>
      </c>
    </row>
    <row r="2424" spans="1:11" x14ac:dyDescent="0.3">
      <c r="A2424" s="2" t="s">
        <v>2811</v>
      </c>
      <c r="B2424" s="2" t="s">
        <v>332</v>
      </c>
      <c r="C2424" s="3">
        <v>45913.743750000001</v>
      </c>
      <c r="D2424" s="2" t="s">
        <v>13</v>
      </c>
      <c r="E2424" s="4">
        <v>1190.48</v>
      </c>
      <c r="F2424" s="2" t="s">
        <v>14</v>
      </c>
      <c r="G2424" s="5">
        <v>36</v>
      </c>
      <c r="H2424" s="2" t="s">
        <v>29</v>
      </c>
      <c r="I2424" s="2" t="s">
        <v>25</v>
      </c>
      <c r="J2424" s="2" t="s">
        <v>44</v>
      </c>
      <c r="K2424" s="2" t="s">
        <v>45</v>
      </c>
    </row>
    <row r="2425" spans="1:11" x14ac:dyDescent="0.3">
      <c r="A2425" s="2" t="s">
        <v>2812</v>
      </c>
      <c r="B2425" s="2" t="s">
        <v>756</v>
      </c>
      <c r="C2425" s="3">
        <v>45660.830555555563</v>
      </c>
      <c r="D2425" s="2" t="s">
        <v>38</v>
      </c>
      <c r="E2425" s="4">
        <v>1154.49</v>
      </c>
      <c r="F2425" s="2" t="s">
        <v>14</v>
      </c>
      <c r="G2425" s="5">
        <v>40</v>
      </c>
      <c r="H2425" s="2" t="s">
        <v>15</v>
      </c>
      <c r="I2425" s="2" t="s">
        <v>16</v>
      </c>
      <c r="J2425" s="2" t="s">
        <v>17</v>
      </c>
      <c r="K2425" s="2" t="s">
        <v>18</v>
      </c>
    </row>
    <row r="2426" spans="1:11" x14ac:dyDescent="0.3">
      <c r="A2426" s="2" t="s">
        <v>2813</v>
      </c>
      <c r="B2426" s="2" t="s">
        <v>511</v>
      </c>
      <c r="C2426" s="3">
        <v>45910.300694444442</v>
      </c>
      <c r="D2426" s="2" t="s">
        <v>33</v>
      </c>
      <c r="E2426" s="4">
        <v>4288.95</v>
      </c>
      <c r="F2426" s="2" t="s">
        <v>14</v>
      </c>
      <c r="G2426" s="5">
        <v>23</v>
      </c>
      <c r="H2426" s="2" t="s">
        <v>29</v>
      </c>
      <c r="I2426" s="2" t="s">
        <v>16</v>
      </c>
      <c r="J2426" s="2" t="s">
        <v>49</v>
      </c>
      <c r="K2426" s="2" t="s">
        <v>45</v>
      </c>
    </row>
    <row r="2427" spans="1:11" x14ac:dyDescent="0.3">
      <c r="A2427" s="2" t="s">
        <v>2814</v>
      </c>
      <c r="B2427" s="2" t="s">
        <v>774</v>
      </c>
      <c r="C2427" s="3">
        <v>45959.895833333343</v>
      </c>
      <c r="D2427" s="2" t="s">
        <v>28</v>
      </c>
      <c r="E2427" s="4">
        <v>5533.04</v>
      </c>
      <c r="F2427" s="2" t="s">
        <v>14</v>
      </c>
      <c r="G2427" s="5">
        <v>42</v>
      </c>
      <c r="H2427" s="2" t="s">
        <v>15</v>
      </c>
      <c r="I2427" s="2" t="s">
        <v>95</v>
      </c>
      <c r="J2427" s="2" t="s">
        <v>17</v>
      </c>
      <c r="K2427" s="2" t="s">
        <v>45</v>
      </c>
    </row>
    <row r="2428" spans="1:11" x14ac:dyDescent="0.3">
      <c r="A2428" s="2" t="s">
        <v>2815</v>
      </c>
      <c r="B2428" s="2" t="s">
        <v>716</v>
      </c>
      <c r="C2428" s="3">
        <v>45890.561111111107</v>
      </c>
      <c r="D2428" s="2" t="s">
        <v>38</v>
      </c>
      <c r="E2428" s="4">
        <v>4135.72</v>
      </c>
      <c r="F2428" s="2" t="s">
        <v>57</v>
      </c>
      <c r="G2428" s="5">
        <v>33</v>
      </c>
      <c r="H2428" s="2" t="s">
        <v>15</v>
      </c>
      <c r="I2428" s="2" t="s">
        <v>34</v>
      </c>
      <c r="J2428" s="2" t="s">
        <v>49</v>
      </c>
      <c r="K2428" s="2" t="s">
        <v>45</v>
      </c>
    </row>
    <row r="2429" spans="1:11" x14ac:dyDescent="0.3">
      <c r="A2429" s="2" t="s">
        <v>2816</v>
      </c>
      <c r="B2429" s="2" t="s">
        <v>75</v>
      </c>
      <c r="C2429" s="3">
        <v>45698.818055555559</v>
      </c>
      <c r="D2429" s="2" t="s">
        <v>28</v>
      </c>
      <c r="E2429" s="4">
        <v>1693.53</v>
      </c>
      <c r="F2429" s="2" t="s">
        <v>14</v>
      </c>
      <c r="G2429" s="5">
        <v>31</v>
      </c>
      <c r="H2429" s="2" t="s">
        <v>29</v>
      </c>
      <c r="I2429" s="2" t="s">
        <v>25</v>
      </c>
      <c r="J2429" s="2" t="s">
        <v>17</v>
      </c>
      <c r="K2429" s="2" t="s">
        <v>18</v>
      </c>
    </row>
    <row r="2430" spans="1:11" x14ac:dyDescent="0.3">
      <c r="A2430" s="2" t="s">
        <v>2817</v>
      </c>
      <c r="B2430" s="2" t="s">
        <v>201</v>
      </c>
      <c r="C2430" s="3">
        <v>45661.330555555563</v>
      </c>
      <c r="D2430" s="2" t="s">
        <v>38</v>
      </c>
      <c r="E2430" s="4">
        <v>889.95</v>
      </c>
      <c r="F2430" s="2" t="s">
        <v>14</v>
      </c>
      <c r="G2430" s="5">
        <v>38</v>
      </c>
      <c r="H2430" s="2" t="s">
        <v>29</v>
      </c>
      <c r="I2430" s="2" t="s">
        <v>34</v>
      </c>
      <c r="J2430" s="2" t="s">
        <v>44</v>
      </c>
      <c r="K2430" s="2" t="s">
        <v>45</v>
      </c>
    </row>
    <row r="2431" spans="1:11" x14ac:dyDescent="0.3">
      <c r="A2431" s="2" t="s">
        <v>2818</v>
      </c>
      <c r="B2431" s="2" t="s">
        <v>2037</v>
      </c>
      <c r="C2431" s="3">
        <v>45938.36041666667</v>
      </c>
      <c r="D2431" s="2" t="s">
        <v>38</v>
      </c>
      <c r="E2431" s="4">
        <v>6433.77</v>
      </c>
      <c r="F2431" s="2" t="s">
        <v>14</v>
      </c>
      <c r="G2431" s="5">
        <v>46</v>
      </c>
      <c r="H2431" s="2" t="s">
        <v>29</v>
      </c>
      <c r="I2431" s="2" t="s">
        <v>60</v>
      </c>
      <c r="J2431" s="2" t="s">
        <v>17</v>
      </c>
      <c r="K2431" s="2" t="s">
        <v>18</v>
      </c>
    </row>
    <row r="2432" spans="1:11" x14ac:dyDescent="0.3">
      <c r="A2432" s="2" t="s">
        <v>2819</v>
      </c>
      <c r="B2432" s="2" t="s">
        <v>82</v>
      </c>
      <c r="C2432" s="3">
        <v>45979.744444444441</v>
      </c>
      <c r="D2432" s="2" t="s">
        <v>38</v>
      </c>
      <c r="E2432" s="4">
        <v>8048.64</v>
      </c>
      <c r="F2432" s="2" t="s">
        <v>14</v>
      </c>
      <c r="G2432" s="5">
        <v>20</v>
      </c>
      <c r="H2432" s="2" t="s">
        <v>29</v>
      </c>
      <c r="I2432" s="2" t="s">
        <v>21</v>
      </c>
      <c r="J2432" s="2" t="s">
        <v>17</v>
      </c>
      <c r="K2432" s="2" t="s">
        <v>22</v>
      </c>
    </row>
    <row r="2433" spans="1:11" x14ac:dyDescent="0.3">
      <c r="A2433" s="2" t="s">
        <v>2820</v>
      </c>
      <c r="B2433" s="2" t="s">
        <v>317</v>
      </c>
      <c r="C2433" s="3">
        <v>45764.049305555563</v>
      </c>
      <c r="D2433" s="2" t="s">
        <v>28</v>
      </c>
      <c r="E2433" s="4">
        <v>27611.88</v>
      </c>
      <c r="F2433" s="2" t="s">
        <v>122</v>
      </c>
      <c r="G2433" s="5">
        <v>55</v>
      </c>
      <c r="H2433" s="2" t="s">
        <v>15</v>
      </c>
      <c r="I2433" s="2" t="s">
        <v>34</v>
      </c>
      <c r="J2433" s="2" t="s">
        <v>49</v>
      </c>
      <c r="K2433" s="2" t="s">
        <v>18</v>
      </c>
    </row>
    <row r="2434" spans="1:11" x14ac:dyDescent="0.3">
      <c r="A2434" s="2" t="s">
        <v>2821</v>
      </c>
      <c r="B2434" s="2" t="s">
        <v>1457</v>
      </c>
      <c r="C2434" s="3">
        <v>45733.070138888892</v>
      </c>
      <c r="D2434" s="2" t="s">
        <v>28</v>
      </c>
      <c r="E2434" s="4">
        <v>56507.63</v>
      </c>
      <c r="F2434" s="2" t="s">
        <v>14</v>
      </c>
      <c r="G2434" s="5">
        <v>37</v>
      </c>
      <c r="H2434" s="2" t="s">
        <v>15</v>
      </c>
      <c r="I2434" s="2" t="s">
        <v>43</v>
      </c>
      <c r="J2434" s="2" t="s">
        <v>17</v>
      </c>
      <c r="K2434" s="2" t="s">
        <v>18</v>
      </c>
    </row>
    <row r="2435" spans="1:11" x14ac:dyDescent="0.3">
      <c r="A2435" s="2" t="s">
        <v>2822</v>
      </c>
      <c r="B2435" s="2" t="s">
        <v>572</v>
      </c>
      <c r="C2435" s="3">
        <v>45836.04791666667</v>
      </c>
      <c r="D2435" s="2" t="s">
        <v>28</v>
      </c>
      <c r="E2435" s="4">
        <v>45405.06</v>
      </c>
      <c r="F2435" s="2" t="s">
        <v>14</v>
      </c>
      <c r="G2435" s="5">
        <v>57</v>
      </c>
      <c r="H2435" s="2" t="s">
        <v>15</v>
      </c>
      <c r="I2435" s="2" t="s">
        <v>95</v>
      </c>
      <c r="J2435" s="2" t="s">
        <v>17</v>
      </c>
      <c r="K2435" s="2" t="s">
        <v>45</v>
      </c>
    </row>
    <row r="2436" spans="1:11" x14ac:dyDescent="0.3">
      <c r="A2436" s="2" t="s">
        <v>2823</v>
      </c>
      <c r="B2436" s="2" t="s">
        <v>368</v>
      </c>
      <c r="C2436" s="3">
        <v>45674.9</v>
      </c>
      <c r="D2436" s="2" t="s">
        <v>33</v>
      </c>
      <c r="E2436" s="4">
        <v>7624.9</v>
      </c>
      <c r="F2436" s="2" t="s">
        <v>14</v>
      </c>
      <c r="G2436" s="5">
        <v>52</v>
      </c>
      <c r="H2436" s="2" t="s">
        <v>15</v>
      </c>
      <c r="I2436" s="2" t="s">
        <v>34</v>
      </c>
      <c r="J2436" s="2" t="s">
        <v>17</v>
      </c>
      <c r="K2436" s="2" t="s">
        <v>45</v>
      </c>
    </row>
    <row r="2437" spans="1:11" x14ac:dyDescent="0.3">
      <c r="A2437" s="2" t="s">
        <v>2824</v>
      </c>
      <c r="B2437" s="2" t="s">
        <v>309</v>
      </c>
      <c r="C2437" s="3">
        <v>45966.38958333333</v>
      </c>
      <c r="D2437" s="2" t="s">
        <v>13</v>
      </c>
      <c r="E2437" s="4">
        <v>576.07000000000005</v>
      </c>
      <c r="F2437" s="2" t="s">
        <v>14</v>
      </c>
      <c r="G2437" s="5">
        <v>51</v>
      </c>
      <c r="H2437" s="2" t="s">
        <v>29</v>
      </c>
      <c r="I2437" s="2" t="s">
        <v>25</v>
      </c>
      <c r="J2437" s="2" t="s">
        <v>49</v>
      </c>
      <c r="K2437" s="2" t="s">
        <v>45</v>
      </c>
    </row>
    <row r="2438" spans="1:11" x14ac:dyDescent="0.3">
      <c r="A2438" s="2" t="s">
        <v>2825</v>
      </c>
      <c r="B2438" s="2" t="s">
        <v>286</v>
      </c>
      <c r="C2438" s="3">
        <v>45702.04583333333</v>
      </c>
      <c r="D2438" s="2" t="s">
        <v>13</v>
      </c>
      <c r="E2438" s="4">
        <v>5535.6</v>
      </c>
      <c r="F2438" s="2" t="s">
        <v>14</v>
      </c>
      <c r="G2438" s="5">
        <v>60</v>
      </c>
      <c r="H2438" s="2" t="s">
        <v>29</v>
      </c>
      <c r="I2438" s="2" t="s">
        <v>21</v>
      </c>
      <c r="J2438" s="2" t="s">
        <v>17</v>
      </c>
      <c r="K2438" s="2" t="s">
        <v>22</v>
      </c>
    </row>
    <row r="2439" spans="1:11" x14ac:dyDescent="0.3">
      <c r="A2439" s="2" t="s">
        <v>2826</v>
      </c>
      <c r="B2439" s="2" t="s">
        <v>109</v>
      </c>
      <c r="C2439" s="3">
        <v>45871.215277777781</v>
      </c>
      <c r="D2439" s="2" t="s">
        <v>33</v>
      </c>
      <c r="E2439" s="4">
        <v>11920.34</v>
      </c>
      <c r="F2439" s="2" t="s">
        <v>57</v>
      </c>
      <c r="G2439" s="5">
        <v>38</v>
      </c>
      <c r="H2439" s="2" t="s">
        <v>15</v>
      </c>
      <c r="I2439" s="2" t="s">
        <v>21</v>
      </c>
      <c r="J2439" s="2" t="s">
        <v>17</v>
      </c>
      <c r="K2439" s="2" t="s">
        <v>45</v>
      </c>
    </row>
    <row r="2440" spans="1:11" x14ac:dyDescent="0.3">
      <c r="A2440" s="2" t="s">
        <v>2827</v>
      </c>
      <c r="B2440" s="2" t="s">
        <v>256</v>
      </c>
      <c r="C2440" s="3">
        <v>46002.402083333327</v>
      </c>
      <c r="D2440" s="2" t="s">
        <v>28</v>
      </c>
      <c r="E2440" s="4">
        <v>67647.08</v>
      </c>
      <c r="F2440" s="2" t="s">
        <v>14</v>
      </c>
      <c r="G2440" s="5">
        <v>26</v>
      </c>
      <c r="H2440" s="2" t="s">
        <v>29</v>
      </c>
      <c r="I2440" s="2" t="s">
        <v>78</v>
      </c>
      <c r="J2440" s="2" t="s">
        <v>17</v>
      </c>
      <c r="K2440" s="2" t="s">
        <v>18</v>
      </c>
    </row>
    <row r="2441" spans="1:11" x14ac:dyDescent="0.3">
      <c r="A2441" s="2" t="s">
        <v>2828</v>
      </c>
      <c r="B2441" s="2" t="s">
        <v>1274</v>
      </c>
      <c r="C2441" s="3">
        <v>45996.947222222218</v>
      </c>
      <c r="D2441" s="2" t="s">
        <v>28</v>
      </c>
      <c r="E2441" s="4">
        <v>59609.29</v>
      </c>
      <c r="F2441" s="2" t="s">
        <v>14</v>
      </c>
      <c r="G2441" s="5">
        <v>32</v>
      </c>
      <c r="H2441" s="2" t="s">
        <v>15</v>
      </c>
      <c r="I2441" s="2" t="s">
        <v>95</v>
      </c>
      <c r="J2441" s="2" t="s">
        <v>17</v>
      </c>
      <c r="K2441" s="2" t="s">
        <v>18</v>
      </c>
    </row>
    <row r="2442" spans="1:11" x14ac:dyDescent="0.3">
      <c r="A2442" s="2" t="s">
        <v>2829</v>
      </c>
      <c r="B2442" s="2" t="s">
        <v>188</v>
      </c>
      <c r="C2442" s="3">
        <v>45962.784722222219</v>
      </c>
      <c r="D2442" s="2" t="s">
        <v>13</v>
      </c>
      <c r="E2442" s="4">
        <v>1111.4100000000001</v>
      </c>
      <c r="F2442" s="2" t="s">
        <v>122</v>
      </c>
      <c r="G2442" s="5">
        <v>27</v>
      </c>
      <c r="H2442" s="2" t="s">
        <v>15</v>
      </c>
      <c r="I2442" s="2" t="s">
        <v>21</v>
      </c>
      <c r="J2442" s="2" t="s">
        <v>17</v>
      </c>
      <c r="K2442" s="2" t="s">
        <v>35</v>
      </c>
    </row>
    <row r="2443" spans="1:11" x14ac:dyDescent="0.3">
      <c r="A2443" s="2" t="s">
        <v>2830</v>
      </c>
      <c r="B2443" s="2" t="s">
        <v>631</v>
      </c>
      <c r="C2443" s="3">
        <v>45945.228472222218</v>
      </c>
      <c r="D2443" s="2" t="s">
        <v>28</v>
      </c>
      <c r="E2443" s="4">
        <v>53063.82</v>
      </c>
      <c r="F2443" s="2" t="s">
        <v>14</v>
      </c>
      <c r="G2443" s="5">
        <v>27</v>
      </c>
      <c r="H2443" s="2" t="s">
        <v>29</v>
      </c>
      <c r="I2443" s="2" t="s">
        <v>34</v>
      </c>
      <c r="J2443" s="2" t="s">
        <v>17</v>
      </c>
      <c r="K2443" s="2" t="s">
        <v>18</v>
      </c>
    </row>
    <row r="2444" spans="1:11" x14ac:dyDescent="0.3">
      <c r="A2444" s="2" t="s">
        <v>2831</v>
      </c>
      <c r="B2444" s="2" t="s">
        <v>947</v>
      </c>
      <c r="C2444" s="3">
        <v>45954.499305555553</v>
      </c>
      <c r="D2444" s="2" t="s">
        <v>28</v>
      </c>
      <c r="E2444" s="4">
        <v>2195.5300000000002</v>
      </c>
      <c r="F2444" s="2" t="s">
        <v>14</v>
      </c>
      <c r="G2444" s="5">
        <v>25</v>
      </c>
      <c r="H2444" s="2" t="s">
        <v>29</v>
      </c>
      <c r="I2444" s="2" t="s">
        <v>34</v>
      </c>
      <c r="J2444" s="2" t="s">
        <v>17</v>
      </c>
      <c r="K2444" s="2" t="s">
        <v>18</v>
      </c>
    </row>
    <row r="2445" spans="1:11" x14ac:dyDescent="0.3">
      <c r="A2445" s="2" t="s">
        <v>2832</v>
      </c>
      <c r="B2445" s="2" t="s">
        <v>211</v>
      </c>
      <c r="C2445" s="3">
        <v>45676.117361111108</v>
      </c>
      <c r="D2445" s="2" t="s">
        <v>28</v>
      </c>
      <c r="E2445" s="4">
        <v>30265.8</v>
      </c>
      <c r="F2445" s="2" t="s">
        <v>14</v>
      </c>
      <c r="G2445" s="5">
        <v>30</v>
      </c>
      <c r="H2445" s="2" t="s">
        <v>15</v>
      </c>
      <c r="I2445" s="2" t="s">
        <v>16</v>
      </c>
      <c r="J2445" s="2" t="s">
        <v>17</v>
      </c>
      <c r="K2445" s="2" t="s">
        <v>45</v>
      </c>
    </row>
    <row r="2446" spans="1:11" x14ac:dyDescent="0.3">
      <c r="A2446" s="2" t="s">
        <v>2833</v>
      </c>
      <c r="B2446" s="2" t="s">
        <v>1304</v>
      </c>
      <c r="C2446" s="3">
        <v>45811.432638888888</v>
      </c>
      <c r="D2446" s="2" t="s">
        <v>28</v>
      </c>
      <c r="E2446" s="4">
        <v>2925.17</v>
      </c>
      <c r="F2446" s="2" t="s">
        <v>14</v>
      </c>
      <c r="G2446" s="5">
        <v>42</v>
      </c>
      <c r="H2446" s="2" t="s">
        <v>15</v>
      </c>
      <c r="I2446" s="2" t="s">
        <v>34</v>
      </c>
      <c r="J2446" s="2" t="s">
        <v>52</v>
      </c>
      <c r="K2446" s="2" t="s">
        <v>35</v>
      </c>
    </row>
    <row r="2447" spans="1:11" x14ac:dyDescent="0.3">
      <c r="A2447" s="2" t="s">
        <v>2834</v>
      </c>
      <c r="B2447" s="2" t="s">
        <v>549</v>
      </c>
      <c r="C2447" s="3">
        <v>45852.116666666669</v>
      </c>
      <c r="D2447" s="2" t="s">
        <v>28</v>
      </c>
      <c r="E2447" s="4">
        <v>9247</v>
      </c>
      <c r="F2447" s="2" t="s">
        <v>14</v>
      </c>
      <c r="G2447" s="5">
        <v>53</v>
      </c>
      <c r="H2447" s="2" t="s">
        <v>29</v>
      </c>
      <c r="I2447" s="2" t="s">
        <v>21</v>
      </c>
      <c r="J2447" s="2" t="s">
        <v>17</v>
      </c>
      <c r="K2447" s="2" t="s">
        <v>35</v>
      </c>
    </row>
    <row r="2448" spans="1:11" x14ac:dyDescent="0.3">
      <c r="A2448" s="2" t="s">
        <v>2835</v>
      </c>
      <c r="B2448" s="2" t="s">
        <v>963</v>
      </c>
      <c r="C2448" s="3">
        <v>45876.711111111108</v>
      </c>
      <c r="D2448" s="2" t="s">
        <v>28</v>
      </c>
      <c r="E2448" s="4">
        <v>4667.78</v>
      </c>
      <c r="F2448" s="2" t="s">
        <v>57</v>
      </c>
      <c r="G2448" s="5">
        <v>51</v>
      </c>
      <c r="H2448" s="2" t="s">
        <v>29</v>
      </c>
      <c r="I2448" s="2" t="s">
        <v>48</v>
      </c>
      <c r="J2448" s="2" t="s">
        <v>49</v>
      </c>
      <c r="K2448" s="2" t="s">
        <v>35</v>
      </c>
    </row>
    <row r="2449" spans="1:11" x14ac:dyDescent="0.3">
      <c r="A2449" s="2" t="s">
        <v>2836</v>
      </c>
      <c r="B2449" s="2" t="s">
        <v>521</v>
      </c>
      <c r="C2449" s="3">
        <v>45807.630555555559</v>
      </c>
      <c r="D2449" s="2" t="s">
        <v>33</v>
      </c>
      <c r="E2449" s="4">
        <v>4256.16</v>
      </c>
      <c r="F2449" s="2" t="s">
        <v>57</v>
      </c>
      <c r="G2449" s="5">
        <v>30</v>
      </c>
      <c r="H2449" s="2" t="s">
        <v>29</v>
      </c>
      <c r="I2449" s="2" t="s">
        <v>60</v>
      </c>
      <c r="J2449" s="2" t="s">
        <v>44</v>
      </c>
      <c r="K2449" s="2" t="s">
        <v>18</v>
      </c>
    </row>
    <row r="2450" spans="1:11" x14ac:dyDescent="0.3">
      <c r="A2450" s="2" t="s">
        <v>2837</v>
      </c>
      <c r="B2450" s="2" t="s">
        <v>384</v>
      </c>
      <c r="C2450" s="3">
        <v>45720.954861111109</v>
      </c>
      <c r="D2450" s="2" t="s">
        <v>13</v>
      </c>
      <c r="E2450" s="4">
        <v>1011.56</v>
      </c>
      <c r="F2450" s="2" t="s">
        <v>14</v>
      </c>
      <c r="G2450" s="5">
        <v>32</v>
      </c>
      <c r="H2450" s="2" t="s">
        <v>15</v>
      </c>
      <c r="I2450" s="2" t="s">
        <v>25</v>
      </c>
      <c r="J2450" s="2" t="s">
        <v>17</v>
      </c>
      <c r="K2450" s="2" t="s">
        <v>18</v>
      </c>
    </row>
    <row r="2451" spans="1:11" x14ac:dyDescent="0.3">
      <c r="A2451" s="2" t="s">
        <v>2838</v>
      </c>
      <c r="B2451" s="2" t="s">
        <v>128</v>
      </c>
      <c r="C2451" s="3">
        <v>45798.439583333333</v>
      </c>
      <c r="D2451" s="2" t="s">
        <v>13</v>
      </c>
      <c r="E2451" s="4">
        <v>3808.34</v>
      </c>
      <c r="F2451" s="2" t="s">
        <v>14</v>
      </c>
      <c r="G2451" s="5">
        <v>26</v>
      </c>
      <c r="H2451" s="2" t="s">
        <v>15</v>
      </c>
      <c r="I2451" s="2" t="s">
        <v>95</v>
      </c>
      <c r="J2451" s="2" t="s">
        <v>44</v>
      </c>
      <c r="K2451" s="2" t="s">
        <v>18</v>
      </c>
    </row>
    <row r="2452" spans="1:11" x14ac:dyDescent="0.3">
      <c r="A2452" s="2" t="s">
        <v>2839</v>
      </c>
      <c r="B2452" s="2" t="s">
        <v>194</v>
      </c>
      <c r="C2452" s="3">
        <v>45869.675694444442</v>
      </c>
      <c r="D2452" s="2" t="s">
        <v>13</v>
      </c>
      <c r="E2452" s="4">
        <v>899.16</v>
      </c>
      <c r="F2452" s="2" t="s">
        <v>14</v>
      </c>
      <c r="G2452" s="5">
        <v>31</v>
      </c>
      <c r="H2452" s="2" t="s">
        <v>29</v>
      </c>
      <c r="I2452" s="2" t="s">
        <v>16</v>
      </c>
      <c r="J2452" s="2" t="s">
        <v>17</v>
      </c>
      <c r="K2452" s="2" t="s">
        <v>45</v>
      </c>
    </row>
    <row r="2453" spans="1:11" x14ac:dyDescent="0.3">
      <c r="A2453" s="2" t="s">
        <v>2840</v>
      </c>
      <c r="B2453" s="2" t="s">
        <v>270</v>
      </c>
      <c r="C2453" s="3">
        <v>46014.277083333327</v>
      </c>
      <c r="D2453" s="2" t="s">
        <v>13</v>
      </c>
      <c r="E2453" s="4">
        <v>717.26</v>
      </c>
      <c r="F2453" s="2" t="s">
        <v>14</v>
      </c>
      <c r="G2453" s="5">
        <v>50</v>
      </c>
      <c r="H2453" s="2" t="s">
        <v>29</v>
      </c>
      <c r="I2453" s="2" t="s">
        <v>95</v>
      </c>
      <c r="J2453" s="2" t="s">
        <v>49</v>
      </c>
      <c r="K2453" s="2" t="s">
        <v>45</v>
      </c>
    </row>
    <row r="2454" spans="1:11" x14ac:dyDescent="0.3">
      <c r="A2454" s="2" t="s">
        <v>2841</v>
      </c>
      <c r="B2454" s="2" t="s">
        <v>103</v>
      </c>
      <c r="C2454" s="3">
        <v>45687.15</v>
      </c>
      <c r="D2454" s="2" t="s">
        <v>13</v>
      </c>
      <c r="E2454" s="4">
        <v>1670.42</v>
      </c>
      <c r="F2454" s="2" t="s">
        <v>14</v>
      </c>
      <c r="G2454" s="5">
        <v>43</v>
      </c>
      <c r="H2454" s="2" t="s">
        <v>29</v>
      </c>
      <c r="I2454" s="2" t="s">
        <v>34</v>
      </c>
      <c r="J2454" s="2" t="s">
        <v>17</v>
      </c>
      <c r="K2454" s="2" t="s">
        <v>45</v>
      </c>
    </row>
    <row r="2455" spans="1:11" x14ac:dyDescent="0.3">
      <c r="A2455" s="2" t="s">
        <v>2842</v>
      </c>
      <c r="B2455" s="2" t="s">
        <v>930</v>
      </c>
      <c r="C2455" s="3">
        <v>45980.670138888891</v>
      </c>
      <c r="D2455" s="2" t="s">
        <v>28</v>
      </c>
      <c r="E2455" s="4">
        <v>6646.71</v>
      </c>
      <c r="F2455" s="2" t="s">
        <v>14</v>
      </c>
      <c r="G2455" s="5">
        <v>27</v>
      </c>
      <c r="H2455" s="2" t="s">
        <v>29</v>
      </c>
      <c r="I2455" s="2" t="s">
        <v>16</v>
      </c>
      <c r="J2455" s="2" t="s">
        <v>52</v>
      </c>
      <c r="K2455" s="2" t="s">
        <v>45</v>
      </c>
    </row>
    <row r="2456" spans="1:11" x14ac:dyDescent="0.3">
      <c r="A2456" s="2" t="s">
        <v>2843</v>
      </c>
      <c r="B2456" s="2" t="s">
        <v>529</v>
      </c>
      <c r="C2456" s="3">
        <v>45905.988888888889</v>
      </c>
      <c r="D2456" s="2" t="s">
        <v>13</v>
      </c>
      <c r="E2456" s="4">
        <v>3011.42</v>
      </c>
      <c r="F2456" s="2" t="s">
        <v>14</v>
      </c>
      <c r="G2456" s="5">
        <v>28</v>
      </c>
      <c r="H2456" s="2" t="s">
        <v>29</v>
      </c>
      <c r="I2456" s="2" t="s">
        <v>34</v>
      </c>
      <c r="J2456" s="2" t="s">
        <v>17</v>
      </c>
      <c r="K2456" s="2" t="s">
        <v>18</v>
      </c>
    </row>
    <row r="2457" spans="1:11" x14ac:dyDescent="0.3">
      <c r="A2457" s="2" t="s">
        <v>2844</v>
      </c>
      <c r="B2457" s="2" t="s">
        <v>117</v>
      </c>
      <c r="C2457" s="3">
        <v>45967.929166666669</v>
      </c>
      <c r="D2457" s="2" t="s">
        <v>154</v>
      </c>
      <c r="E2457" s="4">
        <v>10000</v>
      </c>
      <c r="F2457" s="2" t="s">
        <v>14</v>
      </c>
      <c r="G2457" s="5">
        <v>47</v>
      </c>
      <c r="H2457" s="2" t="s">
        <v>29</v>
      </c>
      <c r="I2457" s="2" t="s">
        <v>34</v>
      </c>
      <c r="J2457" s="2" t="s">
        <v>17</v>
      </c>
      <c r="K2457" s="2" t="s">
        <v>18</v>
      </c>
    </row>
    <row r="2458" spans="1:11" x14ac:dyDescent="0.3">
      <c r="A2458" s="2" t="s">
        <v>2845</v>
      </c>
      <c r="B2458" s="2" t="s">
        <v>732</v>
      </c>
      <c r="C2458" s="3">
        <v>45876.82916666667</v>
      </c>
      <c r="D2458" s="2" t="s">
        <v>13</v>
      </c>
      <c r="E2458" s="4">
        <v>2002.96</v>
      </c>
      <c r="F2458" s="2" t="s">
        <v>14</v>
      </c>
      <c r="G2458" s="5">
        <v>36</v>
      </c>
      <c r="H2458" s="2" t="s">
        <v>29</v>
      </c>
      <c r="I2458" s="2" t="s">
        <v>43</v>
      </c>
      <c r="J2458" s="2" t="s">
        <v>49</v>
      </c>
      <c r="K2458" s="2" t="s">
        <v>18</v>
      </c>
    </row>
    <row r="2459" spans="1:11" x14ac:dyDescent="0.3">
      <c r="A2459" s="2" t="s">
        <v>2846</v>
      </c>
      <c r="B2459" s="2" t="s">
        <v>262</v>
      </c>
      <c r="C2459" s="3">
        <v>45820.356249999997</v>
      </c>
      <c r="D2459" s="2" t="s">
        <v>13</v>
      </c>
      <c r="E2459" s="4">
        <v>2599.14</v>
      </c>
      <c r="F2459" s="2" t="s">
        <v>14</v>
      </c>
      <c r="G2459" s="5">
        <v>50</v>
      </c>
      <c r="H2459" s="2" t="s">
        <v>29</v>
      </c>
      <c r="I2459" s="2" t="s">
        <v>60</v>
      </c>
      <c r="J2459" s="2" t="s">
        <v>49</v>
      </c>
      <c r="K2459" s="2" t="s">
        <v>18</v>
      </c>
    </row>
    <row r="2460" spans="1:11" x14ac:dyDescent="0.3">
      <c r="A2460" s="2" t="s">
        <v>2847</v>
      </c>
      <c r="B2460" s="2" t="s">
        <v>810</v>
      </c>
      <c r="C2460" s="3">
        <v>45952.806944444441</v>
      </c>
      <c r="D2460" s="2" t="s">
        <v>28</v>
      </c>
      <c r="E2460" s="4">
        <v>72780.89</v>
      </c>
      <c r="F2460" s="2" t="s">
        <v>14</v>
      </c>
      <c r="G2460" s="5">
        <v>54</v>
      </c>
      <c r="H2460" s="2" t="s">
        <v>15</v>
      </c>
      <c r="I2460" s="2" t="s">
        <v>34</v>
      </c>
      <c r="J2460" s="2" t="s">
        <v>17</v>
      </c>
      <c r="K2460" s="2" t="s">
        <v>35</v>
      </c>
    </row>
    <row r="2461" spans="1:11" x14ac:dyDescent="0.3">
      <c r="A2461" s="2" t="s">
        <v>2848</v>
      </c>
      <c r="B2461" s="2" t="s">
        <v>284</v>
      </c>
      <c r="C2461" s="3">
        <v>45724.816666666673</v>
      </c>
      <c r="D2461" s="2" t="s">
        <v>28</v>
      </c>
      <c r="E2461" s="4">
        <v>20764.27</v>
      </c>
      <c r="F2461" s="2" t="s">
        <v>57</v>
      </c>
      <c r="G2461" s="5">
        <v>59</v>
      </c>
      <c r="H2461" s="2" t="s">
        <v>15</v>
      </c>
      <c r="I2461" s="2" t="s">
        <v>34</v>
      </c>
      <c r="J2461" s="2" t="s">
        <v>17</v>
      </c>
      <c r="K2461" s="2" t="s">
        <v>35</v>
      </c>
    </row>
    <row r="2462" spans="1:11" x14ac:dyDescent="0.3">
      <c r="A2462" s="2" t="s">
        <v>2849</v>
      </c>
      <c r="B2462" s="2" t="s">
        <v>84</v>
      </c>
      <c r="C2462" s="3">
        <v>45912.698611111111</v>
      </c>
      <c r="D2462" s="2" t="s">
        <v>13</v>
      </c>
      <c r="E2462" s="4">
        <v>7009.87</v>
      </c>
      <c r="F2462" s="2" t="s">
        <v>14</v>
      </c>
      <c r="G2462" s="5">
        <v>33</v>
      </c>
      <c r="H2462" s="2" t="s">
        <v>15</v>
      </c>
      <c r="I2462" s="2" t="s">
        <v>34</v>
      </c>
      <c r="J2462" s="2" t="s">
        <v>17</v>
      </c>
      <c r="K2462" s="2" t="s">
        <v>45</v>
      </c>
    </row>
    <row r="2463" spans="1:11" x14ac:dyDescent="0.3">
      <c r="A2463" s="2" t="s">
        <v>2850</v>
      </c>
      <c r="B2463" s="2" t="s">
        <v>926</v>
      </c>
      <c r="C2463" s="3">
        <v>45981.646527777782</v>
      </c>
      <c r="D2463" s="2" t="s">
        <v>28</v>
      </c>
      <c r="E2463" s="4">
        <v>31013.279999999999</v>
      </c>
      <c r="F2463" s="2" t="s">
        <v>14</v>
      </c>
      <c r="G2463" s="5">
        <v>27</v>
      </c>
      <c r="H2463" s="2" t="s">
        <v>29</v>
      </c>
      <c r="I2463" s="2" t="s">
        <v>34</v>
      </c>
      <c r="J2463" s="2" t="s">
        <v>17</v>
      </c>
      <c r="K2463" s="2" t="s">
        <v>18</v>
      </c>
    </row>
    <row r="2464" spans="1:11" x14ac:dyDescent="0.3">
      <c r="A2464" s="2" t="s">
        <v>2851</v>
      </c>
      <c r="B2464" s="2" t="s">
        <v>1194</v>
      </c>
      <c r="C2464" s="3">
        <v>45750.801388888889</v>
      </c>
      <c r="D2464" s="2" t="s">
        <v>33</v>
      </c>
      <c r="E2464" s="4">
        <v>3869.13</v>
      </c>
      <c r="F2464" s="2" t="s">
        <v>14</v>
      </c>
      <c r="G2464" s="5">
        <v>57</v>
      </c>
      <c r="H2464" s="2" t="s">
        <v>29</v>
      </c>
      <c r="I2464" s="2" t="s">
        <v>16</v>
      </c>
      <c r="J2464" s="2" t="s">
        <v>44</v>
      </c>
      <c r="K2464" s="2" t="s">
        <v>45</v>
      </c>
    </row>
    <row r="2465" spans="1:11" x14ac:dyDescent="0.3">
      <c r="A2465" s="2" t="s">
        <v>2852</v>
      </c>
      <c r="B2465" s="2" t="s">
        <v>238</v>
      </c>
      <c r="C2465" s="3">
        <v>46020.383333333331</v>
      </c>
      <c r="D2465" s="2" t="s">
        <v>33</v>
      </c>
      <c r="E2465" s="4">
        <v>11069.7</v>
      </c>
      <c r="F2465" s="2" t="s">
        <v>14</v>
      </c>
      <c r="G2465" s="5">
        <v>25</v>
      </c>
      <c r="H2465" s="2" t="s">
        <v>15</v>
      </c>
      <c r="I2465" s="2" t="s">
        <v>34</v>
      </c>
      <c r="J2465" s="2" t="s">
        <v>52</v>
      </c>
      <c r="K2465" s="2" t="s">
        <v>18</v>
      </c>
    </row>
    <row r="2466" spans="1:11" x14ac:dyDescent="0.3">
      <c r="A2466" s="2" t="s">
        <v>2853</v>
      </c>
      <c r="B2466" s="2" t="s">
        <v>115</v>
      </c>
      <c r="C2466" s="3">
        <v>45658.125694444447</v>
      </c>
      <c r="D2466" s="2" t="s">
        <v>28</v>
      </c>
      <c r="E2466" s="4">
        <v>36023.47</v>
      </c>
      <c r="F2466" s="2" t="s">
        <v>122</v>
      </c>
      <c r="G2466" s="5">
        <v>42</v>
      </c>
      <c r="H2466" s="2" t="s">
        <v>29</v>
      </c>
      <c r="I2466" s="2" t="s">
        <v>34</v>
      </c>
      <c r="J2466" s="2" t="s">
        <v>44</v>
      </c>
      <c r="K2466" s="2" t="s">
        <v>18</v>
      </c>
    </row>
    <row r="2467" spans="1:11" x14ac:dyDescent="0.3">
      <c r="A2467" s="2" t="s">
        <v>2854</v>
      </c>
      <c r="B2467" s="2" t="s">
        <v>252</v>
      </c>
      <c r="C2467" s="3">
        <v>45896.868055555547</v>
      </c>
      <c r="D2467" s="2" t="s">
        <v>28</v>
      </c>
      <c r="E2467" s="4">
        <v>23038.34</v>
      </c>
      <c r="F2467" s="2" t="s">
        <v>14</v>
      </c>
      <c r="G2467" s="5">
        <v>25</v>
      </c>
      <c r="H2467" s="2" t="s">
        <v>29</v>
      </c>
      <c r="I2467" s="2" t="s">
        <v>60</v>
      </c>
      <c r="J2467" s="2" t="s">
        <v>44</v>
      </c>
      <c r="K2467" s="2" t="s">
        <v>45</v>
      </c>
    </row>
    <row r="2468" spans="1:11" x14ac:dyDescent="0.3">
      <c r="A2468" s="2" t="s">
        <v>2855</v>
      </c>
      <c r="B2468" s="2" t="s">
        <v>1066</v>
      </c>
      <c r="C2468" s="3">
        <v>45718.995833333327</v>
      </c>
      <c r="D2468" s="2" t="s">
        <v>28</v>
      </c>
      <c r="E2468" s="4">
        <v>103434.07</v>
      </c>
      <c r="F2468" s="2" t="s">
        <v>14</v>
      </c>
      <c r="G2468" s="5">
        <v>28</v>
      </c>
      <c r="H2468" s="2" t="s">
        <v>29</v>
      </c>
      <c r="I2468" s="2" t="s">
        <v>43</v>
      </c>
      <c r="J2468" s="2" t="s">
        <v>17</v>
      </c>
      <c r="K2468" s="2" t="s">
        <v>45</v>
      </c>
    </row>
    <row r="2469" spans="1:11" x14ac:dyDescent="0.3">
      <c r="A2469" s="2" t="s">
        <v>2856</v>
      </c>
      <c r="B2469" s="2" t="s">
        <v>12</v>
      </c>
      <c r="C2469" s="3">
        <v>45764.80972222222</v>
      </c>
      <c r="D2469" s="2" t="s">
        <v>28</v>
      </c>
      <c r="E2469" s="4">
        <v>6404.61</v>
      </c>
      <c r="F2469" s="2" t="s">
        <v>14</v>
      </c>
      <c r="G2469" s="5">
        <v>47</v>
      </c>
      <c r="H2469" s="2" t="s">
        <v>15</v>
      </c>
      <c r="I2469" s="2" t="s">
        <v>16</v>
      </c>
      <c r="J2469" s="2" t="s">
        <v>17</v>
      </c>
      <c r="K2469" s="2" t="s">
        <v>18</v>
      </c>
    </row>
    <row r="2470" spans="1:11" x14ac:dyDescent="0.3">
      <c r="A2470" s="2" t="s">
        <v>2857</v>
      </c>
      <c r="B2470" s="2" t="s">
        <v>142</v>
      </c>
      <c r="C2470" s="3">
        <v>45869.056250000001</v>
      </c>
      <c r="D2470" s="2" t="s">
        <v>154</v>
      </c>
      <c r="E2470" s="4">
        <v>40000</v>
      </c>
      <c r="F2470" s="2" t="s">
        <v>14</v>
      </c>
      <c r="G2470" s="5">
        <v>49</v>
      </c>
      <c r="H2470" s="2" t="s">
        <v>29</v>
      </c>
      <c r="I2470" s="2" t="s">
        <v>34</v>
      </c>
      <c r="J2470" s="2" t="s">
        <v>17</v>
      </c>
      <c r="K2470" s="2" t="s">
        <v>18</v>
      </c>
    </row>
    <row r="2471" spans="1:11" x14ac:dyDescent="0.3">
      <c r="A2471" s="2" t="s">
        <v>2858</v>
      </c>
      <c r="B2471" s="2" t="s">
        <v>119</v>
      </c>
      <c r="C2471" s="3">
        <v>45837.743750000001</v>
      </c>
      <c r="D2471" s="2" t="s">
        <v>13</v>
      </c>
      <c r="E2471" s="4">
        <v>985.73</v>
      </c>
      <c r="F2471" s="2" t="s">
        <v>14</v>
      </c>
      <c r="G2471" s="5">
        <v>33</v>
      </c>
      <c r="H2471" s="2" t="s">
        <v>29</v>
      </c>
      <c r="I2471" s="2" t="s">
        <v>60</v>
      </c>
      <c r="J2471" s="2" t="s">
        <v>52</v>
      </c>
      <c r="K2471" s="2" t="s">
        <v>18</v>
      </c>
    </row>
    <row r="2472" spans="1:11" x14ac:dyDescent="0.3">
      <c r="A2472" s="2" t="s">
        <v>2859</v>
      </c>
      <c r="B2472" s="2" t="s">
        <v>248</v>
      </c>
      <c r="C2472" s="3">
        <v>45984.25</v>
      </c>
      <c r="D2472" s="2" t="s">
        <v>28</v>
      </c>
      <c r="E2472" s="4">
        <v>6985.98</v>
      </c>
      <c r="F2472" s="2" t="s">
        <v>14</v>
      </c>
      <c r="G2472" s="5">
        <v>35</v>
      </c>
      <c r="H2472" s="2" t="s">
        <v>15</v>
      </c>
      <c r="I2472" s="2" t="s">
        <v>25</v>
      </c>
      <c r="J2472" s="2" t="s">
        <v>17</v>
      </c>
      <c r="K2472" s="2" t="s">
        <v>35</v>
      </c>
    </row>
    <row r="2473" spans="1:11" x14ac:dyDescent="0.3">
      <c r="A2473" s="2" t="s">
        <v>2860</v>
      </c>
      <c r="B2473" s="2" t="s">
        <v>1391</v>
      </c>
      <c r="C2473" s="3">
        <v>45985.280555555553</v>
      </c>
      <c r="D2473" s="2" t="s">
        <v>38</v>
      </c>
      <c r="E2473" s="4">
        <v>5006.3999999999996</v>
      </c>
      <c r="F2473" s="2" t="s">
        <v>14</v>
      </c>
      <c r="G2473" s="5">
        <v>53</v>
      </c>
      <c r="H2473" s="2" t="s">
        <v>29</v>
      </c>
      <c r="I2473" s="2" t="s">
        <v>16</v>
      </c>
      <c r="J2473" s="2" t="s">
        <v>49</v>
      </c>
      <c r="K2473" s="2" t="s">
        <v>45</v>
      </c>
    </row>
    <row r="2474" spans="1:11" x14ac:dyDescent="0.3">
      <c r="A2474" s="2" t="s">
        <v>2861</v>
      </c>
      <c r="B2474" s="2" t="s">
        <v>234</v>
      </c>
      <c r="C2474" s="3">
        <v>45802.368055555547</v>
      </c>
      <c r="D2474" s="2" t="s">
        <v>28</v>
      </c>
      <c r="E2474" s="4">
        <v>1871.87</v>
      </c>
      <c r="F2474" s="2" t="s">
        <v>57</v>
      </c>
      <c r="G2474" s="5">
        <v>46</v>
      </c>
      <c r="H2474" s="2" t="s">
        <v>15</v>
      </c>
      <c r="I2474" s="2" t="s">
        <v>78</v>
      </c>
      <c r="J2474" s="2" t="s">
        <v>44</v>
      </c>
      <c r="K2474" s="2" t="s">
        <v>18</v>
      </c>
    </row>
    <row r="2475" spans="1:11" x14ac:dyDescent="0.3">
      <c r="A2475" s="2" t="s">
        <v>2862</v>
      </c>
      <c r="B2475" s="2" t="s">
        <v>642</v>
      </c>
      <c r="C2475" s="3">
        <v>45692.388194444437</v>
      </c>
      <c r="D2475" s="2" t="s">
        <v>28</v>
      </c>
      <c r="E2475" s="4">
        <v>91026.49</v>
      </c>
      <c r="F2475" s="2" t="s">
        <v>14</v>
      </c>
      <c r="G2475" s="5">
        <v>23</v>
      </c>
      <c r="H2475" s="2" t="s">
        <v>29</v>
      </c>
      <c r="I2475" s="2" t="s">
        <v>16</v>
      </c>
      <c r="J2475" s="2" t="s">
        <v>44</v>
      </c>
      <c r="K2475" s="2" t="s">
        <v>18</v>
      </c>
    </row>
    <row r="2476" spans="1:11" x14ac:dyDescent="0.3">
      <c r="A2476" s="2" t="s">
        <v>2863</v>
      </c>
      <c r="B2476" s="2" t="s">
        <v>431</v>
      </c>
      <c r="C2476" s="3">
        <v>45917.722222222219</v>
      </c>
      <c r="D2476" s="2" t="s">
        <v>154</v>
      </c>
      <c r="E2476" s="4">
        <v>2000</v>
      </c>
      <c r="F2476" s="2" t="s">
        <v>14</v>
      </c>
      <c r="G2476" s="5">
        <v>51</v>
      </c>
      <c r="H2476" s="2" t="s">
        <v>15</v>
      </c>
      <c r="I2476" s="2" t="s">
        <v>21</v>
      </c>
      <c r="J2476" s="2" t="s">
        <v>49</v>
      </c>
      <c r="K2476" s="2" t="s">
        <v>22</v>
      </c>
    </row>
    <row r="2477" spans="1:11" x14ac:dyDescent="0.3">
      <c r="A2477" s="2" t="s">
        <v>2864</v>
      </c>
      <c r="B2477" s="2" t="s">
        <v>1408</v>
      </c>
      <c r="C2477" s="3">
        <v>45661.154861111107</v>
      </c>
      <c r="D2477" s="2" t="s">
        <v>33</v>
      </c>
      <c r="E2477" s="4">
        <v>2379.61</v>
      </c>
      <c r="F2477" s="2" t="s">
        <v>14</v>
      </c>
      <c r="G2477" s="5">
        <v>39</v>
      </c>
      <c r="H2477" s="2" t="s">
        <v>15</v>
      </c>
      <c r="I2477" s="2" t="s">
        <v>25</v>
      </c>
      <c r="J2477" s="2" t="s">
        <v>52</v>
      </c>
      <c r="K2477" s="2" t="s">
        <v>22</v>
      </c>
    </row>
    <row r="2478" spans="1:11" x14ac:dyDescent="0.3">
      <c r="A2478" s="2" t="s">
        <v>2865</v>
      </c>
      <c r="B2478" s="2" t="s">
        <v>926</v>
      </c>
      <c r="C2478" s="3">
        <v>45828.434027777781</v>
      </c>
      <c r="D2478" s="2" t="s">
        <v>38</v>
      </c>
      <c r="E2478" s="4">
        <v>7610.4</v>
      </c>
      <c r="F2478" s="2" t="s">
        <v>14</v>
      </c>
      <c r="G2478" s="5">
        <v>27</v>
      </c>
      <c r="H2478" s="2" t="s">
        <v>29</v>
      </c>
      <c r="I2478" s="2" t="s">
        <v>34</v>
      </c>
      <c r="J2478" s="2" t="s">
        <v>17</v>
      </c>
      <c r="K2478" s="2" t="s">
        <v>18</v>
      </c>
    </row>
    <row r="2479" spans="1:11" x14ac:dyDescent="0.3">
      <c r="A2479" s="2" t="s">
        <v>2866</v>
      </c>
      <c r="B2479" s="2" t="s">
        <v>810</v>
      </c>
      <c r="C2479" s="3">
        <v>45949.792361111111</v>
      </c>
      <c r="D2479" s="2" t="s">
        <v>38</v>
      </c>
      <c r="E2479" s="4">
        <v>25580.799999999999</v>
      </c>
      <c r="F2479" s="2" t="s">
        <v>14</v>
      </c>
      <c r="G2479" s="5">
        <v>54</v>
      </c>
      <c r="H2479" s="2" t="s">
        <v>15</v>
      </c>
      <c r="I2479" s="2" t="s">
        <v>34</v>
      </c>
      <c r="J2479" s="2" t="s">
        <v>17</v>
      </c>
      <c r="K2479" s="2" t="s">
        <v>18</v>
      </c>
    </row>
    <row r="2480" spans="1:11" x14ac:dyDescent="0.3">
      <c r="A2480" s="2" t="s">
        <v>2867</v>
      </c>
      <c r="B2480" s="2" t="s">
        <v>581</v>
      </c>
      <c r="C2480" s="3">
        <v>45747.26458333333</v>
      </c>
      <c r="D2480" s="2" t="s">
        <v>28</v>
      </c>
      <c r="E2480" s="4">
        <v>20380.48</v>
      </c>
      <c r="F2480" s="2" t="s">
        <v>14</v>
      </c>
      <c r="G2480" s="5">
        <v>42</v>
      </c>
      <c r="H2480" s="2" t="s">
        <v>15</v>
      </c>
      <c r="I2480" s="2" t="s">
        <v>21</v>
      </c>
      <c r="J2480" s="2" t="s">
        <v>17</v>
      </c>
      <c r="K2480" s="2" t="s">
        <v>35</v>
      </c>
    </row>
    <row r="2481" spans="1:11" x14ac:dyDescent="0.3">
      <c r="A2481" s="2" t="s">
        <v>2868</v>
      </c>
      <c r="B2481" s="2" t="s">
        <v>461</v>
      </c>
      <c r="C2481" s="3">
        <v>45831.895833333343</v>
      </c>
      <c r="D2481" s="2" t="s">
        <v>28</v>
      </c>
      <c r="E2481" s="4">
        <v>24002.44</v>
      </c>
      <c r="F2481" s="2" t="s">
        <v>14</v>
      </c>
      <c r="G2481" s="5">
        <v>39</v>
      </c>
      <c r="H2481" s="2" t="s">
        <v>29</v>
      </c>
      <c r="I2481" s="2" t="s">
        <v>60</v>
      </c>
      <c r="J2481" s="2" t="s">
        <v>52</v>
      </c>
      <c r="K2481" s="2" t="s">
        <v>18</v>
      </c>
    </row>
    <row r="2482" spans="1:11" x14ac:dyDescent="0.3">
      <c r="A2482" s="2" t="s">
        <v>2869</v>
      </c>
      <c r="B2482" s="2" t="s">
        <v>724</v>
      </c>
      <c r="C2482" s="3">
        <v>45900.070138888892</v>
      </c>
      <c r="D2482" s="2" t="s">
        <v>13</v>
      </c>
      <c r="E2482" s="4">
        <v>9176.11</v>
      </c>
      <c r="F2482" s="2" t="s">
        <v>57</v>
      </c>
      <c r="G2482" s="5">
        <v>21</v>
      </c>
      <c r="H2482" s="2" t="s">
        <v>29</v>
      </c>
      <c r="I2482" s="2" t="s">
        <v>25</v>
      </c>
      <c r="J2482" s="2" t="s">
        <v>17</v>
      </c>
      <c r="K2482" s="2" t="s">
        <v>18</v>
      </c>
    </row>
    <row r="2483" spans="1:11" x14ac:dyDescent="0.3">
      <c r="A2483" s="2" t="s">
        <v>2870</v>
      </c>
      <c r="B2483" s="2" t="s">
        <v>388</v>
      </c>
      <c r="C2483" s="3">
        <v>45727.631249999999</v>
      </c>
      <c r="D2483" s="2" t="s">
        <v>13</v>
      </c>
      <c r="E2483" s="4">
        <v>2098.44</v>
      </c>
      <c r="F2483" s="2" t="s">
        <v>14</v>
      </c>
      <c r="G2483" s="5">
        <v>31</v>
      </c>
      <c r="H2483" s="2" t="s">
        <v>15</v>
      </c>
      <c r="I2483" s="2" t="s">
        <v>34</v>
      </c>
      <c r="J2483" s="2" t="s">
        <v>17</v>
      </c>
      <c r="K2483" s="2" t="s">
        <v>18</v>
      </c>
    </row>
    <row r="2484" spans="1:11" x14ac:dyDescent="0.3">
      <c r="A2484" s="2" t="s">
        <v>2871</v>
      </c>
      <c r="B2484" s="2" t="s">
        <v>270</v>
      </c>
      <c r="C2484" s="3">
        <v>45979.622916666667</v>
      </c>
      <c r="D2484" s="2" t="s">
        <v>33</v>
      </c>
      <c r="E2484" s="4">
        <v>7689.37</v>
      </c>
      <c r="F2484" s="2" t="s">
        <v>57</v>
      </c>
      <c r="G2484" s="5">
        <v>50</v>
      </c>
      <c r="H2484" s="2" t="s">
        <v>29</v>
      </c>
      <c r="I2484" s="2" t="s">
        <v>95</v>
      </c>
      <c r="J2484" s="2" t="s">
        <v>49</v>
      </c>
      <c r="K2484" s="2" t="s">
        <v>45</v>
      </c>
    </row>
    <row r="2485" spans="1:11" x14ac:dyDescent="0.3">
      <c r="A2485" s="2" t="s">
        <v>2872</v>
      </c>
      <c r="B2485" s="2" t="s">
        <v>1717</v>
      </c>
      <c r="C2485" s="3">
        <v>45932.436805555553</v>
      </c>
      <c r="D2485" s="2" t="s">
        <v>28</v>
      </c>
      <c r="E2485" s="4">
        <v>7178.76</v>
      </c>
      <c r="F2485" s="2" t="s">
        <v>14</v>
      </c>
      <c r="G2485" s="5">
        <v>42</v>
      </c>
      <c r="H2485" s="2" t="s">
        <v>15</v>
      </c>
      <c r="I2485" s="2" t="s">
        <v>43</v>
      </c>
      <c r="J2485" s="2" t="s">
        <v>49</v>
      </c>
      <c r="K2485" s="2" t="s">
        <v>22</v>
      </c>
    </row>
    <row r="2486" spans="1:11" x14ac:dyDescent="0.3">
      <c r="A2486" s="2" t="s">
        <v>2873</v>
      </c>
      <c r="B2486" s="2" t="s">
        <v>746</v>
      </c>
      <c r="C2486" s="3">
        <v>45869.960416666669</v>
      </c>
      <c r="D2486" s="2" t="s">
        <v>13</v>
      </c>
      <c r="E2486" s="4">
        <v>453.67</v>
      </c>
      <c r="F2486" s="2" t="s">
        <v>14</v>
      </c>
      <c r="G2486" s="5">
        <v>44</v>
      </c>
      <c r="H2486" s="2" t="s">
        <v>15</v>
      </c>
      <c r="I2486" s="2" t="s">
        <v>21</v>
      </c>
      <c r="J2486" s="2" t="s">
        <v>17</v>
      </c>
      <c r="K2486" s="2" t="s">
        <v>18</v>
      </c>
    </row>
    <row r="2487" spans="1:11" x14ac:dyDescent="0.3">
      <c r="A2487" s="2" t="s">
        <v>2874</v>
      </c>
      <c r="B2487" s="2" t="s">
        <v>181</v>
      </c>
      <c r="C2487" s="3">
        <v>45924.4</v>
      </c>
      <c r="D2487" s="2" t="s">
        <v>28</v>
      </c>
      <c r="E2487" s="4">
        <v>1489.41</v>
      </c>
      <c r="F2487" s="2" t="s">
        <v>14</v>
      </c>
      <c r="G2487" s="5">
        <v>34</v>
      </c>
      <c r="H2487" s="2" t="s">
        <v>15</v>
      </c>
      <c r="I2487" s="2" t="s">
        <v>48</v>
      </c>
      <c r="J2487" s="2" t="s">
        <v>17</v>
      </c>
      <c r="K2487" s="2" t="s">
        <v>45</v>
      </c>
    </row>
    <row r="2488" spans="1:11" x14ac:dyDescent="0.3">
      <c r="A2488" s="2" t="s">
        <v>2875</v>
      </c>
      <c r="B2488" s="2" t="s">
        <v>532</v>
      </c>
      <c r="C2488" s="3">
        <v>46005.440972222219</v>
      </c>
      <c r="D2488" s="2" t="s">
        <v>13</v>
      </c>
      <c r="E2488" s="4">
        <v>1914.08</v>
      </c>
      <c r="F2488" s="2" t="s">
        <v>14</v>
      </c>
      <c r="G2488" s="5">
        <v>37</v>
      </c>
      <c r="H2488" s="2" t="s">
        <v>15</v>
      </c>
      <c r="I2488" s="2" t="s">
        <v>34</v>
      </c>
      <c r="J2488" s="2" t="s">
        <v>49</v>
      </c>
      <c r="K2488" s="2" t="s">
        <v>22</v>
      </c>
    </row>
    <row r="2489" spans="1:11" x14ac:dyDescent="0.3">
      <c r="A2489" s="2" t="s">
        <v>2876</v>
      </c>
      <c r="B2489" s="2" t="s">
        <v>246</v>
      </c>
      <c r="C2489" s="3">
        <v>45932.009027777778</v>
      </c>
      <c r="D2489" s="2" t="s">
        <v>28</v>
      </c>
      <c r="E2489" s="4">
        <v>20239.04</v>
      </c>
      <c r="F2489" s="2" t="s">
        <v>57</v>
      </c>
      <c r="G2489" s="5">
        <v>30</v>
      </c>
      <c r="H2489" s="2" t="s">
        <v>15</v>
      </c>
      <c r="I2489" s="2" t="s">
        <v>60</v>
      </c>
      <c r="J2489" s="2" t="s">
        <v>49</v>
      </c>
      <c r="K2489" s="2" t="s">
        <v>35</v>
      </c>
    </row>
    <row r="2490" spans="1:11" x14ac:dyDescent="0.3">
      <c r="A2490" s="2" t="s">
        <v>2877</v>
      </c>
      <c r="B2490" s="2" t="s">
        <v>132</v>
      </c>
      <c r="C2490" s="3">
        <v>45953.88958333333</v>
      </c>
      <c r="D2490" s="2" t="s">
        <v>38</v>
      </c>
      <c r="E2490" s="4">
        <v>23197.35</v>
      </c>
      <c r="F2490" s="2" t="s">
        <v>14</v>
      </c>
      <c r="G2490" s="5">
        <v>20</v>
      </c>
      <c r="H2490" s="2" t="s">
        <v>15</v>
      </c>
      <c r="I2490" s="2" t="s">
        <v>43</v>
      </c>
      <c r="J2490" s="2" t="s">
        <v>17</v>
      </c>
      <c r="K2490" s="2" t="s">
        <v>18</v>
      </c>
    </row>
    <row r="2491" spans="1:11" x14ac:dyDescent="0.3">
      <c r="A2491" s="2" t="s">
        <v>2878</v>
      </c>
      <c r="B2491" s="2" t="s">
        <v>286</v>
      </c>
      <c r="C2491" s="3">
        <v>45839.089583333327</v>
      </c>
      <c r="D2491" s="2" t="s">
        <v>13</v>
      </c>
      <c r="E2491" s="4">
        <v>935.01</v>
      </c>
      <c r="F2491" s="2" t="s">
        <v>14</v>
      </c>
      <c r="G2491" s="5">
        <v>60</v>
      </c>
      <c r="H2491" s="2" t="s">
        <v>29</v>
      </c>
      <c r="I2491" s="2" t="s">
        <v>21</v>
      </c>
      <c r="J2491" s="2" t="s">
        <v>17</v>
      </c>
      <c r="K2491" s="2" t="s">
        <v>18</v>
      </c>
    </row>
    <row r="2492" spans="1:11" x14ac:dyDescent="0.3">
      <c r="A2492" s="2" t="s">
        <v>2879</v>
      </c>
      <c r="B2492" s="2" t="s">
        <v>587</v>
      </c>
      <c r="C2492" s="3">
        <v>45801.01458333333</v>
      </c>
      <c r="D2492" s="2" t="s">
        <v>28</v>
      </c>
      <c r="E2492" s="4">
        <v>20274.900000000001</v>
      </c>
      <c r="F2492" s="2" t="s">
        <v>14</v>
      </c>
      <c r="G2492" s="5">
        <v>47</v>
      </c>
      <c r="H2492" s="2" t="s">
        <v>29</v>
      </c>
      <c r="I2492" s="2" t="s">
        <v>34</v>
      </c>
      <c r="J2492" s="2" t="s">
        <v>49</v>
      </c>
      <c r="K2492" s="2" t="s">
        <v>45</v>
      </c>
    </row>
    <row r="2493" spans="1:11" x14ac:dyDescent="0.3">
      <c r="A2493" s="2" t="s">
        <v>2880</v>
      </c>
      <c r="B2493" s="2" t="s">
        <v>734</v>
      </c>
      <c r="C2493" s="3">
        <v>45850.856944444437</v>
      </c>
      <c r="D2493" s="2" t="s">
        <v>154</v>
      </c>
      <c r="E2493" s="4">
        <v>5000</v>
      </c>
      <c r="F2493" s="2" t="s">
        <v>14</v>
      </c>
      <c r="G2493" s="5">
        <v>45</v>
      </c>
      <c r="H2493" s="2" t="s">
        <v>15</v>
      </c>
      <c r="I2493" s="2" t="s">
        <v>95</v>
      </c>
      <c r="J2493" s="2" t="s">
        <v>44</v>
      </c>
      <c r="K2493" s="2" t="s">
        <v>18</v>
      </c>
    </row>
    <row r="2494" spans="1:11" x14ac:dyDescent="0.3">
      <c r="A2494" s="2" t="s">
        <v>2881</v>
      </c>
      <c r="B2494" s="2" t="s">
        <v>334</v>
      </c>
      <c r="C2494" s="3">
        <v>45742.776388888888</v>
      </c>
      <c r="D2494" s="2" t="s">
        <v>28</v>
      </c>
      <c r="E2494" s="4">
        <v>7008.82</v>
      </c>
      <c r="F2494" s="2" t="s">
        <v>14</v>
      </c>
      <c r="G2494" s="5">
        <v>34</v>
      </c>
      <c r="H2494" s="2" t="s">
        <v>15</v>
      </c>
      <c r="I2494" s="2" t="s">
        <v>60</v>
      </c>
      <c r="J2494" s="2" t="s">
        <v>52</v>
      </c>
      <c r="K2494" s="2" t="s">
        <v>18</v>
      </c>
    </row>
    <row r="2495" spans="1:11" x14ac:dyDescent="0.3">
      <c r="A2495" s="2" t="s">
        <v>2882</v>
      </c>
      <c r="B2495" s="2" t="s">
        <v>401</v>
      </c>
      <c r="C2495" s="3">
        <v>45857.234722222223</v>
      </c>
      <c r="D2495" s="2" t="s">
        <v>28</v>
      </c>
      <c r="E2495" s="4">
        <v>34465.25</v>
      </c>
      <c r="F2495" s="2" t="s">
        <v>14</v>
      </c>
      <c r="G2495" s="5">
        <v>31</v>
      </c>
      <c r="H2495" s="2" t="s">
        <v>15</v>
      </c>
      <c r="I2495" s="2" t="s">
        <v>95</v>
      </c>
      <c r="J2495" s="2" t="s">
        <v>44</v>
      </c>
      <c r="K2495" s="2" t="s">
        <v>18</v>
      </c>
    </row>
    <row r="2496" spans="1:11" x14ac:dyDescent="0.3">
      <c r="A2496" s="2" t="s">
        <v>2883</v>
      </c>
      <c r="B2496" s="2" t="s">
        <v>547</v>
      </c>
      <c r="C2496" s="3">
        <v>45717.40625</v>
      </c>
      <c r="D2496" s="2" t="s">
        <v>28</v>
      </c>
      <c r="E2496" s="4">
        <v>61411.05</v>
      </c>
      <c r="F2496" s="2" t="s">
        <v>14</v>
      </c>
      <c r="G2496" s="5">
        <v>39</v>
      </c>
      <c r="H2496" s="2" t="s">
        <v>29</v>
      </c>
      <c r="I2496" s="2" t="s">
        <v>34</v>
      </c>
      <c r="J2496" s="2" t="s">
        <v>17</v>
      </c>
      <c r="K2496" s="2" t="s">
        <v>18</v>
      </c>
    </row>
    <row r="2497" spans="1:11" x14ac:dyDescent="0.3">
      <c r="A2497" s="2" t="s">
        <v>2884</v>
      </c>
      <c r="B2497" s="2" t="s">
        <v>898</v>
      </c>
      <c r="C2497" s="3">
        <v>45819.918055555558</v>
      </c>
      <c r="D2497" s="2" t="s">
        <v>13</v>
      </c>
      <c r="E2497" s="4">
        <v>2320.2399999999998</v>
      </c>
      <c r="F2497" s="2" t="s">
        <v>14</v>
      </c>
      <c r="G2497" s="5">
        <v>56</v>
      </c>
      <c r="H2497" s="2" t="s">
        <v>29</v>
      </c>
      <c r="I2497" s="2" t="s">
        <v>34</v>
      </c>
      <c r="J2497" s="2" t="s">
        <v>17</v>
      </c>
      <c r="K2497" s="2" t="s">
        <v>45</v>
      </c>
    </row>
    <row r="2498" spans="1:11" x14ac:dyDescent="0.3">
      <c r="A2498" s="2" t="s">
        <v>2885</v>
      </c>
      <c r="B2498" s="2" t="s">
        <v>617</v>
      </c>
      <c r="C2498" s="3">
        <v>45797.545138888891</v>
      </c>
      <c r="D2498" s="2" t="s">
        <v>33</v>
      </c>
      <c r="E2498" s="4">
        <v>9442.31</v>
      </c>
      <c r="F2498" s="2" t="s">
        <v>14</v>
      </c>
      <c r="G2498" s="5">
        <v>22</v>
      </c>
      <c r="H2498" s="2" t="s">
        <v>15</v>
      </c>
      <c r="I2498" s="2" t="s">
        <v>34</v>
      </c>
      <c r="J2498" s="2" t="s">
        <v>44</v>
      </c>
      <c r="K2498" s="2" t="s">
        <v>18</v>
      </c>
    </row>
    <row r="2499" spans="1:11" x14ac:dyDescent="0.3">
      <c r="A2499" s="2" t="s">
        <v>2886</v>
      </c>
      <c r="B2499" s="2" t="s">
        <v>853</v>
      </c>
      <c r="C2499" s="3">
        <v>45912.307638888888</v>
      </c>
      <c r="D2499" s="2" t="s">
        <v>28</v>
      </c>
      <c r="E2499" s="4">
        <v>6473.3</v>
      </c>
      <c r="F2499" s="2" t="s">
        <v>14</v>
      </c>
      <c r="G2499" s="5">
        <v>45</v>
      </c>
      <c r="H2499" s="2" t="s">
        <v>29</v>
      </c>
      <c r="I2499" s="2" t="s">
        <v>34</v>
      </c>
      <c r="J2499" s="2" t="s">
        <v>49</v>
      </c>
      <c r="K2499" s="2" t="s">
        <v>18</v>
      </c>
    </row>
    <row r="2500" spans="1:11" x14ac:dyDescent="0.3">
      <c r="A2500" s="2" t="s">
        <v>2887</v>
      </c>
      <c r="B2500" s="2" t="s">
        <v>209</v>
      </c>
      <c r="C2500" s="3">
        <v>45889.384027777778</v>
      </c>
      <c r="D2500" s="2" t="s">
        <v>38</v>
      </c>
      <c r="E2500" s="4">
        <v>13335.83</v>
      </c>
      <c r="F2500" s="2" t="s">
        <v>14</v>
      </c>
      <c r="G2500" s="5">
        <v>50</v>
      </c>
      <c r="H2500" s="2" t="s">
        <v>15</v>
      </c>
      <c r="I2500" s="2" t="s">
        <v>60</v>
      </c>
      <c r="J2500" s="2" t="s">
        <v>44</v>
      </c>
      <c r="K2500" s="2" t="s">
        <v>18</v>
      </c>
    </row>
    <row r="2501" spans="1:11" x14ac:dyDescent="0.3">
      <c r="A2501" s="2" t="s">
        <v>2888</v>
      </c>
      <c r="B2501" s="2" t="s">
        <v>246</v>
      </c>
      <c r="C2501" s="3">
        <v>45926.382638888892</v>
      </c>
      <c r="D2501" s="2" t="s">
        <v>13</v>
      </c>
      <c r="E2501" s="4">
        <v>1858.4</v>
      </c>
      <c r="F2501" s="2" t="s">
        <v>14</v>
      </c>
      <c r="G2501" s="5">
        <v>30</v>
      </c>
      <c r="H2501" s="2" t="s">
        <v>15</v>
      </c>
      <c r="I2501" s="2" t="s">
        <v>60</v>
      </c>
      <c r="J2501" s="2" t="s">
        <v>49</v>
      </c>
      <c r="K2501" s="2" t="s">
        <v>18</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25"/>
  <sheetViews>
    <sheetView zoomScale="90" workbookViewId="0"/>
  </sheetViews>
  <sheetFormatPr defaultRowHeight="14.4" x14ac:dyDescent="0.3"/>
  <cols>
    <col min="1" max="1" width="2" customWidth="1"/>
    <col min="2" max="2" width="34" customWidth="1"/>
    <col min="3" max="3" width="20" customWidth="1"/>
    <col min="4" max="4" width="14" customWidth="1"/>
    <col min="5" max="5" width="20" customWidth="1"/>
    <col min="6" max="6" width="14" customWidth="1"/>
    <col min="7" max="7" width="18" customWidth="1"/>
    <col min="8" max="8" width="3" customWidth="1"/>
  </cols>
  <sheetData>
    <row r="2" spans="2:16" ht="30" customHeight="1" x14ac:dyDescent="0.3">
      <c r="B2" s="53" t="s">
        <v>2889</v>
      </c>
      <c r="C2" s="54"/>
      <c r="D2" s="54"/>
      <c r="E2" s="54"/>
      <c r="F2" s="54"/>
      <c r="G2" s="54"/>
      <c r="H2" s="54"/>
      <c r="I2" s="54"/>
      <c r="J2" s="54"/>
      <c r="K2" s="54"/>
      <c r="L2" s="54"/>
      <c r="M2" s="54"/>
      <c r="N2" s="54"/>
      <c r="O2" s="54"/>
      <c r="P2" s="54"/>
    </row>
    <row r="3" spans="2:16" ht="30" customHeight="1" x14ac:dyDescent="0.3">
      <c r="B3" s="55" t="s">
        <v>2890</v>
      </c>
      <c r="C3" s="56"/>
      <c r="D3" s="56"/>
      <c r="E3" s="56"/>
      <c r="F3" s="56"/>
      <c r="G3" s="56"/>
      <c r="H3" s="56"/>
      <c r="I3" s="56"/>
      <c r="J3" s="56"/>
      <c r="K3" s="56"/>
      <c r="L3" s="56"/>
      <c r="M3" s="56"/>
      <c r="N3" s="56"/>
      <c r="O3" s="56"/>
      <c r="P3" s="56"/>
    </row>
    <row r="5" spans="2:16" ht="15.6" x14ac:dyDescent="0.3">
      <c r="B5" s="6" t="s">
        <v>2891</v>
      </c>
    </row>
    <row r="6" spans="2:16" ht="31.95" customHeight="1" x14ac:dyDescent="0.3">
      <c r="B6" s="7" t="s">
        <v>2892</v>
      </c>
      <c r="C6" s="7" t="s">
        <v>2893</v>
      </c>
      <c r="D6" s="57" t="s">
        <v>2894</v>
      </c>
      <c r="E6" s="58"/>
      <c r="F6" s="58"/>
      <c r="G6" s="59"/>
    </row>
    <row r="7" spans="2:16" x14ac:dyDescent="0.3">
      <c r="B7" s="8" t="s">
        <v>2895</v>
      </c>
      <c r="C7" s="9">
        <f>SUM(TransactionTable[Amount])</f>
        <v>36963242.609999925</v>
      </c>
      <c r="D7" s="51" t="str">
        <f ca="1">_xlfn.FORMULATEXT(C7)</f>
        <v>=SUM(TransactionTable[Amount])</v>
      </c>
      <c r="E7" s="52"/>
      <c r="F7" s="52"/>
      <c r="G7" s="52"/>
    </row>
    <row r="8" spans="2:16" x14ac:dyDescent="0.3">
      <c r="B8" s="8" t="s">
        <v>2896</v>
      </c>
      <c r="C8" s="10">
        <f>COUNTA(TransactionTable[Transaction_ID])</f>
        <v>2500</v>
      </c>
      <c r="D8" s="51" t="str">
        <f ca="1">_xlfn.FORMULATEXT(C8)</f>
        <v>=COUNTA(TransactionTable[Transaction_ID])</v>
      </c>
      <c r="E8" s="52"/>
      <c r="F8" s="52"/>
      <c r="G8" s="52"/>
    </row>
    <row r="9" spans="2:16" x14ac:dyDescent="0.3">
      <c r="B9" s="8" t="s">
        <v>2897</v>
      </c>
      <c r="C9" s="9">
        <f>AVERAGE(TransactionTable[Amount])</f>
        <v>14785.29704399997</v>
      </c>
      <c r="D9" s="51" t="str">
        <f ca="1">_xlfn.FORMULATEXT(C9)</f>
        <v>=AVERAGE(TransactionTable[Amount])</v>
      </c>
      <c r="E9" s="52"/>
      <c r="F9" s="52"/>
      <c r="G9" s="52"/>
    </row>
    <row r="10" spans="2:16" x14ac:dyDescent="0.3">
      <c r="B10" s="8" t="s">
        <v>2898</v>
      </c>
      <c r="C10" s="11">
        <f>COUNTIF(TransactionTable[Transaction_Status],"Successful")/C8</f>
        <v>0.88319999999999999</v>
      </c>
      <c r="D10" s="51" t="str">
        <f ca="1">_xlfn.FORMULATEXT(C10)</f>
        <v>=COUNTIF(TransactionTable[Transaction_Status],"Successful")/C8</v>
      </c>
      <c r="E10" s="52"/>
      <c r="F10" s="52"/>
      <c r="G10" s="52"/>
    </row>
    <row r="11" spans="2:16" x14ac:dyDescent="0.3">
      <c r="B11" s="8" t="s">
        <v>2899</v>
      </c>
      <c r="C11" s="12">
        <f>COUNTIF(TransactionTable[Transaction_Status],"Failed")/C8</f>
        <v>9.5600000000000004E-2</v>
      </c>
      <c r="D11" s="51" t="str">
        <f ca="1">_xlfn.FORMULATEXT(C11)</f>
        <v>=COUNTIF(TransactionTable[Transaction_Status],"Failed")/C8</v>
      </c>
      <c r="E11" s="52"/>
      <c r="F11" s="52"/>
      <c r="G11" s="52"/>
    </row>
    <row r="14" spans="2:16" ht="15.6" x14ac:dyDescent="0.3">
      <c r="B14" s="6" t="s">
        <v>2900</v>
      </c>
    </row>
    <row r="15" spans="2:16" ht="31.95" customHeight="1" x14ac:dyDescent="0.3">
      <c r="B15" s="7" t="s">
        <v>2901</v>
      </c>
      <c r="C15" s="7" t="s">
        <v>2902</v>
      </c>
      <c r="D15" s="7" t="s">
        <v>2903</v>
      </c>
      <c r="E15" s="7" t="s">
        <v>2904</v>
      </c>
      <c r="F15" s="7" t="s">
        <v>2905</v>
      </c>
      <c r="G15" s="7" t="s">
        <v>2906</v>
      </c>
    </row>
    <row r="16" spans="2:16" x14ac:dyDescent="0.3">
      <c r="B16" s="13" t="s">
        <v>14</v>
      </c>
      <c r="C16" s="14">
        <f>COUNTIF(TransactionTable[Transaction_Status],B16)</f>
        <v>2208</v>
      </c>
      <c r="D16" s="15">
        <f>C16/$C$19</f>
        <v>0.88319999999999999</v>
      </c>
      <c r="E16" s="16">
        <f>SUMIF(TransactionTable[Transaction_Status],B16,TransactionTable[Amount])</f>
        <v>32313272.699999996</v>
      </c>
      <c r="F16" s="15">
        <f>E16/$E$19</f>
        <v>0.87420016260310451</v>
      </c>
      <c r="G16" s="16">
        <f>IFERROR(E16/C16,0)</f>
        <v>14634.634374999998</v>
      </c>
    </row>
    <row r="17" spans="2:7" x14ac:dyDescent="0.3">
      <c r="B17" s="17" t="s">
        <v>57</v>
      </c>
      <c r="C17" s="18">
        <f>COUNTIF(TransactionTable[Transaction_Status],B17)</f>
        <v>239</v>
      </c>
      <c r="D17" s="19">
        <f>C17/$C$19</f>
        <v>9.5600000000000004E-2</v>
      </c>
      <c r="E17" s="20">
        <f>SUMIF(TransactionTable[Transaction_Status],B17,TransactionTable[Amount])</f>
        <v>3743318.15</v>
      </c>
      <c r="F17" s="19">
        <f>E17/$E$19</f>
        <v>0.10127136813985273</v>
      </c>
      <c r="G17" s="20">
        <f>IFERROR(E17/C17,0)</f>
        <v>15662.419037656904</v>
      </c>
    </row>
    <row r="18" spans="2:7" x14ac:dyDescent="0.3">
      <c r="B18" s="13" t="s">
        <v>122</v>
      </c>
      <c r="C18" s="14">
        <f>COUNTIF(TransactionTable[Transaction_Status],B18)</f>
        <v>53</v>
      </c>
      <c r="D18" s="15">
        <f>C18/$C$19</f>
        <v>2.12E-2</v>
      </c>
      <c r="E18" s="16">
        <f>SUMIF(TransactionTable[Transaction_Status],B18,TransactionTable[Amount])</f>
        <v>906651.75999999989</v>
      </c>
      <c r="F18" s="15">
        <f>E18/$E$19</f>
        <v>2.4528469257042818E-2</v>
      </c>
      <c r="G18" s="16">
        <f>IFERROR(E18/C18,0)</f>
        <v>17106.636981132073</v>
      </c>
    </row>
    <row r="19" spans="2:7" x14ac:dyDescent="0.3">
      <c r="B19" s="21" t="s">
        <v>2907</v>
      </c>
      <c r="C19" s="22">
        <f>SUM(C16:C18)</f>
        <v>2500</v>
      </c>
      <c r="D19" s="23">
        <f>SUM(D16:D18)</f>
        <v>1</v>
      </c>
      <c r="E19" s="24">
        <f>SUM(E16:E18)</f>
        <v>36963242.609999992</v>
      </c>
      <c r="F19" s="23">
        <f>SUM(F16:F18)</f>
        <v>1</v>
      </c>
      <c r="G19" s="24">
        <f>IFERROR(E19/C19,0)</f>
        <v>14785.297043999997</v>
      </c>
    </row>
    <row r="20" spans="2:7" x14ac:dyDescent="0.3">
      <c r="B20" s="25" t="s">
        <v>2908</v>
      </c>
      <c r="C20" s="26" t="str">
        <f>IF(AND(C19=C8,ROUND(E19-C7,2)=0),"✔ Reconciles to KPI totals","✖ Check source data")</f>
        <v>✔ Reconciles to KPI totals</v>
      </c>
    </row>
    <row r="22" spans="2:7" ht="15.6" x14ac:dyDescent="0.3">
      <c r="B22" s="6" t="s">
        <v>2909</v>
      </c>
    </row>
    <row r="23" spans="2:7" x14ac:dyDescent="0.3">
      <c r="B23" s="49" t="str">
        <f>"• ₦"&amp;TEXT(C7,"#,##0.00")&amp;" transacted across "&amp;TEXT(C8,"#,##0")&amp;" transactions, averaging ₦"&amp;TEXT(C9,"#,##0.00")&amp;" per transaction."</f>
        <v>• ₦36,963,242.61 transacted across 2,500 transactions, averaging ₦14,785.30 per transaction.</v>
      </c>
      <c r="C23" s="50"/>
      <c r="D23" s="50"/>
      <c r="E23" s="50"/>
      <c r="F23" s="50"/>
      <c r="G23" s="50"/>
    </row>
    <row r="24" spans="2:7" x14ac:dyDescent="0.3">
      <c r="B24" s="49" t="str">
        <f>"• Realised (successful) value is ₦"&amp;TEXT(E16,"#,##0.00")&amp;" — "&amp;TEXT(F16,"0.0%")&amp;" of attempted value."</f>
        <v>• Realised (successful) value is ₦32,313,272.70 — 87.4% of attempted value.</v>
      </c>
      <c r="C24" s="50"/>
      <c r="D24" s="50"/>
      <c r="E24" s="50"/>
      <c r="F24" s="50"/>
      <c r="G24" s="50"/>
    </row>
    <row r="25" spans="2:7" x14ac:dyDescent="0.3">
      <c r="B25" s="49" t="str">
        <f>"• Failed transactions put ₦"&amp;TEXT(E17,"#,##0.00")&amp;" ("&amp;TEXT(F17,"0.0%")&amp;" of value) at risk; a further ₦"&amp;TEXT(E18,"#,##0.00")&amp;" is pending."</f>
        <v>• Failed transactions put ₦3,743,318.15 (10.1% of value) at risk; a further ₦906,651.76 is pending.</v>
      </c>
      <c r="C25" s="50"/>
      <c r="D25" s="50"/>
      <c r="E25" s="50"/>
      <c r="F25" s="50"/>
      <c r="G25" s="50"/>
    </row>
  </sheetData>
  <mergeCells count="11">
    <mergeCell ref="B25:G25"/>
    <mergeCell ref="B24:G24"/>
    <mergeCell ref="D9:G9"/>
    <mergeCell ref="B2:P2"/>
    <mergeCell ref="D8:G8"/>
    <mergeCell ref="B3:P3"/>
    <mergeCell ref="D6:G6"/>
    <mergeCell ref="B23:G23"/>
    <mergeCell ref="D7:G7"/>
    <mergeCell ref="D11:G11"/>
    <mergeCell ref="D10:G10"/>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W356"/>
  <sheetViews>
    <sheetView zoomScale="90" workbookViewId="0"/>
  </sheetViews>
  <sheetFormatPr defaultRowHeight="14.4" x14ac:dyDescent="0.3"/>
  <cols>
    <col min="1" max="1" width="2" customWidth="1"/>
    <col min="2" max="2" width="18" customWidth="1"/>
    <col min="3" max="4" width="16" customWidth="1"/>
    <col min="5" max="5" width="19" customWidth="1"/>
    <col min="6" max="6" width="20" customWidth="1"/>
    <col min="7" max="8" width="16" customWidth="1"/>
    <col min="9" max="9" width="3" customWidth="1"/>
    <col min="10" max="16" width="12.77734375" customWidth="1"/>
    <col min="17" max="17" width="3" customWidth="1"/>
    <col min="18" max="18" width="14" customWidth="1"/>
    <col min="19" max="19" width="13" customWidth="1"/>
    <col min="20" max="20" width="17" customWidth="1"/>
    <col min="21" max="21" width="18" customWidth="1"/>
    <col min="22" max="22" width="12" customWidth="1"/>
    <col min="23" max="23" width="20" customWidth="1"/>
  </cols>
  <sheetData>
    <row r="2" spans="2:23" ht="30" customHeight="1" x14ac:dyDescent="0.3">
      <c r="B2" s="53" t="s">
        <v>2910</v>
      </c>
      <c r="C2" s="54"/>
      <c r="D2" s="54"/>
      <c r="E2" s="54"/>
      <c r="F2" s="54"/>
      <c r="G2" s="54"/>
      <c r="H2" s="54"/>
      <c r="I2" s="54"/>
      <c r="J2" s="54"/>
      <c r="K2" s="54"/>
      <c r="L2" s="54"/>
      <c r="M2" s="54"/>
      <c r="N2" s="54"/>
      <c r="O2" s="54"/>
      <c r="P2" s="54"/>
    </row>
    <row r="3" spans="2:23" ht="30" customHeight="1" x14ac:dyDescent="0.3">
      <c r="B3" s="55" t="s">
        <v>2911</v>
      </c>
      <c r="C3" s="56"/>
      <c r="D3" s="56"/>
      <c r="E3" s="56"/>
      <c r="F3" s="56"/>
      <c r="G3" s="56"/>
      <c r="H3" s="56"/>
      <c r="I3" s="56"/>
      <c r="J3" s="56"/>
      <c r="K3" s="56"/>
      <c r="L3" s="56"/>
      <c r="M3" s="56"/>
      <c r="N3" s="56"/>
      <c r="O3" s="56"/>
      <c r="P3" s="56"/>
    </row>
    <row r="5" spans="2:23" ht="15.6" x14ac:dyDescent="0.3">
      <c r="B5" s="6" t="s">
        <v>2912</v>
      </c>
      <c r="R5" s="6" t="s">
        <v>2913</v>
      </c>
    </row>
    <row r="6" spans="2:23" ht="31.95" customHeight="1" x14ac:dyDescent="0.3">
      <c r="B6" s="7" t="s">
        <v>2914</v>
      </c>
      <c r="C6" s="7" t="s">
        <v>1</v>
      </c>
      <c r="D6" s="7" t="s">
        <v>8</v>
      </c>
      <c r="E6" s="7" t="s">
        <v>9</v>
      </c>
      <c r="F6" s="7" t="s">
        <v>2915</v>
      </c>
      <c r="G6" s="7" t="s">
        <v>2902</v>
      </c>
      <c r="H6" s="7" t="s">
        <v>2916</v>
      </c>
      <c r="R6" s="7" t="s">
        <v>1</v>
      </c>
      <c r="S6" s="7" t="s">
        <v>8</v>
      </c>
      <c r="T6" s="7" t="s">
        <v>9</v>
      </c>
      <c r="U6" s="7" t="s">
        <v>2915</v>
      </c>
      <c r="V6" s="7" t="s">
        <v>2917</v>
      </c>
      <c r="W6" s="7" t="s">
        <v>2918</v>
      </c>
    </row>
    <row r="7" spans="2:23" x14ac:dyDescent="0.3">
      <c r="B7" s="27">
        <v>1</v>
      </c>
      <c r="C7" s="28" t="str">
        <f t="shared" ref="C7:C16" si="0">INDEX($R$7:$R$356,MATCH(LARGE($W$7:$W$356,B7),$W$7:$W$356,0))</f>
        <v>CUST-0179</v>
      </c>
      <c r="D7" s="28" t="str">
        <f t="shared" ref="D7:D16" si="1">INDEX($S$7:$S$356,MATCH(LARGE($W$7:$W$356,B7),$W$7:$W$356,0))</f>
        <v>Delta</v>
      </c>
      <c r="E7" s="28" t="str">
        <f t="shared" ref="E7:E16" si="2">INDEX($T$7:$T$356,MATCH(LARGE($W$7:$W$356,B7),$W$7:$W$356,0))</f>
        <v>Tier 1 Wallet</v>
      </c>
      <c r="F7" s="16">
        <f t="shared" ref="F7:F16" si="3">INDEX($U$7:$U$356,MATCH(LARGE($W$7:$W$356,B7),$W$7:$W$356,0))</f>
        <v>374370.25999999995</v>
      </c>
      <c r="G7" s="14">
        <f t="shared" ref="G7:G16" si="4">INDEX($V$7:$V$356,MATCH(LARGE($W$7:$W$356,B7),$W$7:$W$356,0))</f>
        <v>8</v>
      </c>
      <c r="H7" s="15">
        <f>F7/SUM(TransactionTable[Amount])</f>
        <v>1.0128176901306785E-2</v>
      </c>
      <c r="R7" s="28" t="s">
        <v>943</v>
      </c>
      <c r="S7" s="28" t="str">
        <f>INDEX(TransactionTable[State],MATCH(R7,TransactionTable[Customer_ID],0))</f>
        <v>Delta</v>
      </c>
      <c r="T7" s="28" t="str">
        <f>INDEX(TransactionTable[Account_Type],MATCH(R7,TransactionTable[Customer_ID],0))</f>
        <v>Tier 1 Wallet</v>
      </c>
      <c r="U7" s="16">
        <f>SUMIFS(TransactionTable[Amount],TransactionTable[Customer_ID],R7)</f>
        <v>28698.58</v>
      </c>
      <c r="V7" s="14">
        <f>COUNTIF(TransactionTable[Customer_ID],R7)</f>
        <v>6</v>
      </c>
      <c r="W7" s="29">
        <f t="shared" ref="W7:W70" si="5">U7+ROW()/10^7</f>
        <v>28698.580000700003</v>
      </c>
    </row>
    <row r="8" spans="2:23" x14ac:dyDescent="0.3">
      <c r="B8" s="30">
        <v>2</v>
      </c>
      <c r="C8" s="31" t="str">
        <f t="shared" si="0"/>
        <v>CUST-0034</v>
      </c>
      <c r="D8" s="31" t="str">
        <f t="shared" si="1"/>
        <v>Lagos</v>
      </c>
      <c r="E8" s="31" t="str">
        <f t="shared" si="2"/>
        <v>Current</v>
      </c>
      <c r="F8" s="32">
        <f t="shared" si="3"/>
        <v>349166.65</v>
      </c>
      <c r="G8" s="33">
        <f t="shared" si="4"/>
        <v>10</v>
      </c>
      <c r="H8" s="34">
        <f>F8/SUM(TransactionTable[Amount])</f>
        <v>9.4463208675728445E-3</v>
      </c>
      <c r="R8" s="28" t="s">
        <v>769</v>
      </c>
      <c r="S8" s="28" t="str">
        <f>INDEX(TransactionTable[State],MATCH(R8,TransactionTable[Customer_ID],0))</f>
        <v>Lagos</v>
      </c>
      <c r="T8" s="28" t="str">
        <f>INDEX(TransactionTable[Account_Type],MATCH(R8,TransactionTable[Customer_ID],0))</f>
        <v>Savings</v>
      </c>
      <c r="U8" s="16">
        <f>SUMIFS(TransactionTable[Amount],TransactionTable[Customer_ID],R8)</f>
        <v>69191.51999999999</v>
      </c>
      <c r="V8" s="14">
        <f>COUNTIF(TransactionTable[Customer_ID],R8)</f>
        <v>5</v>
      </c>
      <c r="W8" s="29">
        <f t="shared" si="5"/>
        <v>69191.520000799996</v>
      </c>
    </row>
    <row r="9" spans="2:23" x14ac:dyDescent="0.3">
      <c r="B9" s="27">
        <v>3</v>
      </c>
      <c r="C9" s="28" t="str">
        <f t="shared" si="0"/>
        <v>CUST-0329</v>
      </c>
      <c r="D9" s="28" t="str">
        <f t="shared" si="1"/>
        <v>Rivers</v>
      </c>
      <c r="E9" s="28" t="str">
        <f t="shared" si="2"/>
        <v>Current</v>
      </c>
      <c r="F9" s="16">
        <f t="shared" si="3"/>
        <v>325244.08</v>
      </c>
      <c r="G9" s="14">
        <f t="shared" si="4"/>
        <v>8</v>
      </c>
      <c r="H9" s="15">
        <f>F9/SUM(TransactionTable[Amount])</f>
        <v>8.7991219664264372E-3</v>
      </c>
      <c r="R9" s="28" t="s">
        <v>511</v>
      </c>
      <c r="S9" s="28" t="str">
        <f>INDEX(TransactionTable[State],MATCH(R9,TransactionTable[Customer_ID],0))</f>
        <v>Ogun</v>
      </c>
      <c r="T9" s="28" t="str">
        <f>INDEX(TransactionTable[Account_Type],MATCH(R9,TransactionTable[Customer_ID],0))</f>
        <v>Current</v>
      </c>
      <c r="U9" s="16">
        <f>SUMIFS(TransactionTable[Amount],TransactionTable[Customer_ID],R9)</f>
        <v>112426.03</v>
      </c>
      <c r="V9" s="14">
        <f>COUNTIF(TransactionTable[Customer_ID],R9)</f>
        <v>7</v>
      </c>
      <c r="W9" s="29">
        <f t="shared" si="5"/>
        <v>112426.03000090001</v>
      </c>
    </row>
    <row r="10" spans="2:23" x14ac:dyDescent="0.3">
      <c r="B10" s="30">
        <v>4</v>
      </c>
      <c r="C10" s="31" t="str">
        <f t="shared" si="0"/>
        <v>CUST-0164</v>
      </c>
      <c r="D10" s="31" t="str">
        <f t="shared" si="1"/>
        <v>Kano</v>
      </c>
      <c r="E10" s="31" t="str">
        <f t="shared" si="2"/>
        <v>Current</v>
      </c>
      <c r="F10" s="32">
        <f t="shared" si="3"/>
        <v>273501.11</v>
      </c>
      <c r="G10" s="33">
        <f t="shared" si="4"/>
        <v>10</v>
      </c>
      <c r="H10" s="34">
        <f>F10/SUM(TransactionTable[Amount])</f>
        <v>7.3992726473084865E-3</v>
      </c>
      <c r="R10" s="28" t="s">
        <v>524</v>
      </c>
      <c r="S10" s="28" t="str">
        <f>INDEX(TransactionTable[State],MATCH(R10,TransactionTable[Customer_ID],0))</f>
        <v>Lagos</v>
      </c>
      <c r="T10" s="28" t="str">
        <f>INDEX(TransactionTable[Account_Type],MATCH(R10,TransactionTable[Customer_ID],0))</f>
        <v>Tier 3 Verified</v>
      </c>
      <c r="U10" s="16">
        <f>SUMIFS(TransactionTable[Amount],TransactionTable[Customer_ID],R10)</f>
        <v>175479.31</v>
      </c>
      <c r="V10" s="14">
        <f>COUNTIF(TransactionTable[Customer_ID],R10)</f>
        <v>6</v>
      </c>
      <c r="W10" s="29">
        <f t="shared" si="5"/>
        <v>175479.31000100001</v>
      </c>
    </row>
    <row r="11" spans="2:23" x14ac:dyDescent="0.3">
      <c r="B11" s="27">
        <v>5</v>
      </c>
      <c r="C11" s="28" t="str">
        <f t="shared" si="0"/>
        <v>CUST-0251</v>
      </c>
      <c r="D11" s="28" t="str">
        <f t="shared" si="1"/>
        <v>Delta</v>
      </c>
      <c r="E11" s="28" t="str">
        <f t="shared" si="2"/>
        <v>Current</v>
      </c>
      <c r="F11" s="16">
        <f t="shared" si="3"/>
        <v>269972.15999999997</v>
      </c>
      <c r="G11" s="14">
        <f t="shared" si="4"/>
        <v>11</v>
      </c>
      <c r="H11" s="15">
        <f>F11/SUM(TransactionTable[Amount])</f>
        <v>7.3038007744202216E-3</v>
      </c>
      <c r="R11" s="28" t="s">
        <v>452</v>
      </c>
      <c r="S11" s="28" t="str">
        <f>INDEX(TransactionTable[State],MATCH(R11,TransactionTable[Customer_ID],0))</f>
        <v>Lagos</v>
      </c>
      <c r="T11" s="28" t="str">
        <f>INDEX(TransactionTable[Account_Type],MATCH(R11,TransactionTable[Customer_ID],0))</f>
        <v>Savings</v>
      </c>
      <c r="U11" s="16">
        <f>SUMIFS(TransactionTable[Amount],TransactionTable[Customer_ID],R11)</f>
        <v>106835.97</v>
      </c>
      <c r="V11" s="14">
        <f>COUNTIF(TransactionTable[Customer_ID],R11)</f>
        <v>7</v>
      </c>
      <c r="W11" s="29">
        <f t="shared" si="5"/>
        <v>106835.97000109999</v>
      </c>
    </row>
    <row r="12" spans="2:23" x14ac:dyDescent="0.3">
      <c r="B12" s="30">
        <v>6</v>
      </c>
      <c r="C12" s="31" t="str">
        <f t="shared" si="0"/>
        <v>CUST-0116</v>
      </c>
      <c r="D12" s="31" t="str">
        <f t="shared" si="1"/>
        <v>Oyo</v>
      </c>
      <c r="E12" s="31" t="str">
        <f t="shared" si="2"/>
        <v>Savings</v>
      </c>
      <c r="F12" s="32">
        <f t="shared" si="3"/>
        <v>263967.93000000005</v>
      </c>
      <c r="G12" s="33">
        <f t="shared" si="4"/>
        <v>7</v>
      </c>
      <c r="H12" s="34">
        <f>F12/SUM(TransactionTable[Amount])</f>
        <v>7.1413629151839339E-3</v>
      </c>
      <c r="R12" s="28" t="s">
        <v>299</v>
      </c>
      <c r="S12" s="28" t="str">
        <f>INDEX(TransactionTable[State],MATCH(R12,TransactionTable[Customer_ID],0))</f>
        <v>Lagos</v>
      </c>
      <c r="T12" s="28" t="str">
        <f>INDEX(TransactionTable[Account_Type],MATCH(R12,TransactionTable[Customer_ID],0))</f>
        <v>Current</v>
      </c>
      <c r="U12" s="16">
        <f>SUMIFS(TransactionTable[Amount],TransactionTable[Customer_ID],R12)</f>
        <v>247545.09</v>
      </c>
      <c r="V12" s="14">
        <f>COUNTIF(TransactionTable[Customer_ID],R12)</f>
        <v>10</v>
      </c>
      <c r="W12" s="29">
        <f t="shared" si="5"/>
        <v>247545.09000120001</v>
      </c>
    </row>
    <row r="13" spans="2:23" x14ac:dyDescent="0.3">
      <c r="B13" s="27">
        <v>7</v>
      </c>
      <c r="C13" s="28" t="str">
        <f t="shared" si="0"/>
        <v>CUST-0257</v>
      </c>
      <c r="D13" s="28" t="str">
        <f t="shared" si="1"/>
        <v>Ogun</v>
      </c>
      <c r="E13" s="28" t="str">
        <f t="shared" si="2"/>
        <v>Savings</v>
      </c>
      <c r="F13" s="16">
        <f t="shared" si="3"/>
        <v>258224.20999999996</v>
      </c>
      <c r="G13" s="14">
        <f t="shared" si="4"/>
        <v>16</v>
      </c>
      <c r="H13" s="15">
        <f>F13/SUM(TransactionTable[Amount])</f>
        <v>6.9859728683581658E-3</v>
      </c>
      <c r="R13" s="28" t="s">
        <v>716</v>
      </c>
      <c r="S13" s="28" t="str">
        <f>INDEX(TransactionTable[State],MATCH(R13,TransactionTable[Customer_ID],0))</f>
        <v>Lagos</v>
      </c>
      <c r="T13" s="28" t="str">
        <f>INDEX(TransactionTable[Account_Type],MATCH(R13,TransactionTable[Customer_ID],0))</f>
        <v>Current</v>
      </c>
      <c r="U13" s="16">
        <f>SUMIFS(TransactionTable[Amount],TransactionTable[Customer_ID],R13)</f>
        <v>103999.78</v>
      </c>
      <c r="V13" s="14">
        <f>COUNTIF(TransactionTable[Customer_ID],R13)</f>
        <v>7</v>
      </c>
      <c r="W13" s="29">
        <f t="shared" si="5"/>
        <v>103999.78000129999</v>
      </c>
    </row>
    <row r="14" spans="2:23" x14ac:dyDescent="0.3">
      <c r="B14" s="30">
        <v>8</v>
      </c>
      <c r="C14" s="31" t="str">
        <f t="shared" si="0"/>
        <v>CUST-0168</v>
      </c>
      <c r="D14" s="31" t="str">
        <f t="shared" si="1"/>
        <v>Lagos</v>
      </c>
      <c r="E14" s="31" t="str">
        <f t="shared" si="2"/>
        <v>Tier 1 Wallet</v>
      </c>
      <c r="F14" s="32">
        <f t="shared" si="3"/>
        <v>257489.54000000004</v>
      </c>
      <c r="G14" s="33">
        <f t="shared" si="4"/>
        <v>10</v>
      </c>
      <c r="H14" s="34">
        <f>F14/SUM(TransactionTable[Amount])</f>
        <v>6.9660971770463551E-3</v>
      </c>
      <c r="R14" s="28" t="s">
        <v>505</v>
      </c>
      <c r="S14" s="28" t="str">
        <f>INDEX(TransactionTable[State],MATCH(R14,TransactionTable[Customer_ID],0))</f>
        <v>Lagos</v>
      </c>
      <c r="T14" s="28" t="str">
        <f>INDEX(TransactionTable[Account_Type],MATCH(R14,TransactionTable[Customer_ID],0))</f>
        <v>Savings</v>
      </c>
      <c r="U14" s="16">
        <f>SUMIFS(TransactionTable[Amount],TransactionTable[Customer_ID],R14)</f>
        <v>17482.989999999998</v>
      </c>
      <c r="V14" s="14">
        <f>COUNTIF(TransactionTable[Customer_ID],R14)</f>
        <v>3</v>
      </c>
      <c r="W14" s="29">
        <f t="shared" si="5"/>
        <v>17482.990001399998</v>
      </c>
    </row>
    <row r="15" spans="2:23" x14ac:dyDescent="0.3">
      <c r="B15" s="27">
        <v>9</v>
      </c>
      <c r="C15" s="28" t="str">
        <f t="shared" si="0"/>
        <v>CUST-0006</v>
      </c>
      <c r="D15" s="28" t="str">
        <f t="shared" si="1"/>
        <v>Lagos</v>
      </c>
      <c r="E15" s="28" t="str">
        <f t="shared" si="2"/>
        <v>Current</v>
      </c>
      <c r="F15" s="16">
        <f t="shared" si="3"/>
        <v>247545.09</v>
      </c>
      <c r="G15" s="14">
        <f t="shared" si="4"/>
        <v>10</v>
      </c>
      <c r="H15" s="15">
        <f>F15/SUM(TransactionTable[Amount])</f>
        <v>6.6970609860139783E-3</v>
      </c>
      <c r="R15" s="28" t="s">
        <v>77</v>
      </c>
      <c r="S15" s="28" t="str">
        <f>INDEX(TransactionTable[State],MATCH(R15,TransactionTable[Customer_ID],0))</f>
        <v>Kaduna</v>
      </c>
      <c r="T15" s="28" t="str">
        <f>INDEX(TransactionTable[Account_Type],MATCH(R15,TransactionTable[Customer_ID],0))</f>
        <v>Savings</v>
      </c>
      <c r="U15" s="16">
        <f>SUMIFS(TransactionTable[Amount],TransactionTable[Customer_ID],R15)</f>
        <v>88877.39</v>
      </c>
      <c r="V15" s="14">
        <f>COUNTIF(TransactionTable[Customer_ID],R15)</f>
        <v>6</v>
      </c>
      <c r="W15" s="29">
        <f t="shared" si="5"/>
        <v>88877.390001499996</v>
      </c>
    </row>
    <row r="16" spans="2:23" x14ac:dyDescent="0.3">
      <c r="B16" s="30">
        <v>10</v>
      </c>
      <c r="C16" s="31" t="str">
        <f t="shared" si="0"/>
        <v>CUST-0275</v>
      </c>
      <c r="D16" s="31" t="str">
        <f t="shared" si="1"/>
        <v>Kano</v>
      </c>
      <c r="E16" s="31" t="str">
        <f t="shared" si="2"/>
        <v>Current</v>
      </c>
      <c r="F16" s="32">
        <f t="shared" si="3"/>
        <v>247160.95</v>
      </c>
      <c r="G16" s="33">
        <f t="shared" si="4"/>
        <v>11</v>
      </c>
      <c r="H16" s="34">
        <f>F16/SUM(TransactionTable[Amount])</f>
        <v>6.6866684995091265E-3</v>
      </c>
      <c r="R16" s="28" t="s">
        <v>248</v>
      </c>
      <c r="S16" s="28" t="str">
        <f>INDEX(TransactionTable[State],MATCH(R16,TransactionTable[Customer_ID],0))</f>
        <v>Oyo</v>
      </c>
      <c r="T16" s="28" t="str">
        <f>INDEX(TransactionTable[Account_Type],MATCH(R16,TransactionTable[Customer_ID],0))</f>
        <v>Savings</v>
      </c>
      <c r="U16" s="16">
        <f>SUMIFS(TransactionTable[Amount],TransactionTable[Customer_ID],R16)</f>
        <v>159383.87000000002</v>
      </c>
      <c r="V16" s="14">
        <f>COUNTIF(TransactionTable[Customer_ID],R16)</f>
        <v>10</v>
      </c>
      <c r="W16" s="29">
        <f t="shared" si="5"/>
        <v>159383.87000160004</v>
      </c>
    </row>
    <row r="17" spans="2:23" x14ac:dyDescent="0.3">
      <c r="B17" s="21" t="s">
        <v>2919</v>
      </c>
      <c r="C17" s="21"/>
      <c r="D17" s="21"/>
      <c r="E17" s="21"/>
      <c r="F17" s="24">
        <f>SUM(F7:F16)</f>
        <v>2866641.98</v>
      </c>
      <c r="G17" s="22">
        <f>SUM(G7:G16)</f>
        <v>101</v>
      </c>
      <c r="H17" s="23">
        <f>SUM(H7:H16)</f>
        <v>7.7553855603146329E-2</v>
      </c>
      <c r="R17" s="28" t="s">
        <v>179</v>
      </c>
      <c r="S17" s="28" t="str">
        <f>INDEX(TransactionTable[State],MATCH(R17,TransactionTable[Customer_ID],0))</f>
        <v>Lagos</v>
      </c>
      <c r="T17" s="28" t="str">
        <f>INDEX(TransactionTable[Account_Type],MATCH(R17,TransactionTable[Customer_ID],0))</f>
        <v>Savings</v>
      </c>
      <c r="U17" s="16">
        <f>SUMIFS(TransactionTable[Amount],TransactionTable[Customer_ID],R17)</f>
        <v>201268.13999999998</v>
      </c>
      <c r="V17" s="14">
        <f>COUNTIF(TransactionTable[Customer_ID],R17)</f>
        <v>13</v>
      </c>
      <c r="W17" s="29">
        <f t="shared" si="5"/>
        <v>201268.1400017</v>
      </c>
    </row>
    <row r="18" spans="2:23" x14ac:dyDescent="0.3">
      <c r="B18" s="35" t="s">
        <v>2920</v>
      </c>
      <c r="R18" s="28" t="s">
        <v>654</v>
      </c>
      <c r="S18" s="28" t="str">
        <f>INDEX(TransactionTable[State],MATCH(R18,TransactionTable[Customer_ID],0))</f>
        <v>Edo</v>
      </c>
      <c r="T18" s="28" t="str">
        <f>INDEX(TransactionTable[Account_Type],MATCH(R18,TransactionTable[Customer_ID],0))</f>
        <v>Tier 1 Wallet</v>
      </c>
      <c r="U18" s="16">
        <f>SUMIFS(TransactionTable[Amount],TransactionTable[Customer_ID],R18)</f>
        <v>129369.67</v>
      </c>
      <c r="V18" s="14">
        <f>COUNTIF(TransactionTable[Customer_ID],R18)</f>
        <v>8</v>
      </c>
      <c r="W18" s="29">
        <f t="shared" si="5"/>
        <v>129369.6700018</v>
      </c>
    </row>
    <row r="19" spans="2:23" x14ac:dyDescent="0.3">
      <c r="R19" s="28" t="s">
        <v>765</v>
      </c>
      <c r="S19" s="28" t="str">
        <f>INDEX(TransactionTable[State],MATCH(R19,TransactionTable[Customer_ID],0))</f>
        <v>Lagos</v>
      </c>
      <c r="T19" s="28" t="str">
        <f>INDEX(TransactionTable[Account_Type],MATCH(R19,TransactionTable[Customer_ID],0))</f>
        <v>Current</v>
      </c>
      <c r="U19" s="16">
        <f>SUMIFS(TransactionTable[Amount],TransactionTable[Customer_ID],R19)</f>
        <v>7652.34</v>
      </c>
      <c r="V19" s="14">
        <f>COUNTIF(TransactionTable[Customer_ID],R19)</f>
        <v>2</v>
      </c>
      <c r="W19" s="29">
        <f t="shared" si="5"/>
        <v>7652.3400019000001</v>
      </c>
    </row>
    <row r="20" spans="2:23" x14ac:dyDescent="0.3">
      <c r="R20" s="28" t="s">
        <v>84</v>
      </c>
      <c r="S20" s="28" t="str">
        <f>INDEX(TransactionTable[State],MATCH(R20,TransactionTable[Customer_ID],0))</f>
        <v>Lagos</v>
      </c>
      <c r="T20" s="28" t="str">
        <f>INDEX(TransactionTable[Account_Type],MATCH(R20,TransactionTable[Customer_ID],0))</f>
        <v>Savings</v>
      </c>
      <c r="U20" s="16">
        <f>SUMIFS(TransactionTable[Amount],TransactionTable[Customer_ID],R20)</f>
        <v>222343.95</v>
      </c>
      <c r="V20" s="14">
        <f>COUNTIF(TransactionTable[Customer_ID],R20)</f>
        <v>17</v>
      </c>
      <c r="W20" s="29">
        <f t="shared" si="5"/>
        <v>222343.950002</v>
      </c>
    </row>
    <row r="21" spans="2:23" ht="15.6" x14ac:dyDescent="0.3">
      <c r="B21" s="6" t="s">
        <v>2921</v>
      </c>
      <c r="R21" s="28" t="s">
        <v>1175</v>
      </c>
      <c r="S21" s="28" t="str">
        <f>INDEX(TransactionTable[State],MATCH(R21,TransactionTable[Customer_ID],0))</f>
        <v>Enugu</v>
      </c>
      <c r="T21" s="28" t="str">
        <f>INDEX(TransactionTable[Account_Type],MATCH(R21,TransactionTable[Customer_ID],0))</f>
        <v>Savings</v>
      </c>
      <c r="U21" s="16">
        <f>SUMIFS(TransactionTable[Amount],TransactionTable[Customer_ID],R21)</f>
        <v>14487.74</v>
      </c>
      <c r="V21" s="14">
        <f>COUNTIF(TransactionTable[Customer_ID],R21)</f>
        <v>2</v>
      </c>
      <c r="W21" s="29">
        <f t="shared" si="5"/>
        <v>14487.740002099999</v>
      </c>
    </row>
    <row r="22" spans="2:23" ht="31.95" customHeight="1" x14ac:dyDescent="0.3">
      <c r="B22" s="7" t="s">
        <v>9</v>
      </c>
      <c r="C22" s="7" t="s">
        <v>2922</v>
      </c>
      <c r="D22" s="7" t="s">
        <v>2902</v>
      </c>
      <c r="E22" s="7" t="s">
        <v>2923</v>
      </c>
      <c r="F22" s="7" t="s">
        <v>2924</v>
      </c>
      <c r="G22" s="7" t="s">
        <v>2905</v>
      </c>
      <c r="R22" s="28" t="s">
        <v>223</v>
      </c>
      <c r="S22" s="28" t="str">
        <f>INDEX(TransactionTable[State],MATCH(R22,TransactionTable[Customer_ID],0))</f>
        <v>Lagos</v>
      </c>
      <c r="T22" s="28" t="str">
        <f>INDEX(TransactionTable[Account_Type],MATCH(R22,TransactionTable[Customer_ID],0))</f>
        <v>Current</v>
      </c>
      <c r="U22" s="16">
        <f>SUMIFS(TransactionTable[Amount],TransactionTable[Customer_ID],R22)</f>
        <v>57390.950000000004</v>
      </c>
      <c r="V22" s="14">
        <f>COUNTIF(TransactionTable[Customer_ID],R22)</f>
        <v>10</v>
      </c>
      <c r="W22" s="29">
        <f t="shared" si="5"/>
        <v>57390.950002200007</v>
      </c>
    </row>
    <row r="23" spans="2:23" x14ac:dyDescent="0.3">
      <c r="B23" s="13" t="s">
        <v>17</v>
      </c>
      <c r="C23" s="14">
        <f>COUNTIF($T$7:$T$356,B23)</f>
        <v>181</v>
      </c>
      <c r="D23" s="14">
        <f>COUNTIF(TransactionTable[Account_Type],B23)</f>
        <v>1265</v>
      </c>
      <c r="E23" s="16">
        <f>SUMIF(TransactionTable[Account_Type],B23,TransactionTable[Amount])</f>
        <v>18475808.240000013</v>
      </c>
      <c r="F23" s="16">
        <f>IFERROR(AVERAGEIF(TransactionTable[Account_Type],B23,TransactionTable[Amount]),0)</f>
        <v>14605.382007905149</v>
      </c>
      <c r="G23" s="15">
        <f>E23/SUM(TransactionTable[Amount])</f>
        <v>0.49984273390023481</v>
      </c>
      <c r="R23" s="28" t="s">
        <v>1130</v>
      </c>
      <c r="S23" s="28" t="str">
        <f>INDEX(TransactionTable[State],MATCH(R23,TransactionTable[Customer_ID],0))</f>
        <v>Lagos</v>
      </c>
      <c r="T23" s="28" t="str">
        <f>INDEX(TransactionTable[Account_Type],MATCH(R23,TransactionTable[Customer_ID],0))</f>
        <v>Tier 3 Verified</v>
      </c>
      <c r="U23" s="16">
        <f>SUMIFS(TransactionTable[Amount],TransactionTable[Customer_ID],R23)</f>
        <v>164629.67000000001</v>
      </c>
      <c r="V23" s="14">
        <f>COUNTIF(TransactionTable[Customer_ID],R23)</f>
        <v>7</v>
      </c>
      <c r="W23" s="29">
        <f t="shared" si="5"/>
        <v>164629.6700023</v>
      </c>
    </row>
    <row r="24" spans="2:23" x14ac:dyDescent="0.3">
      <c r="B24" s="13" t="s">
        <v>49</v>
      </c>
      <c r="C24" s="14">
        <f>COUNTIF($T$7:$T$356,B24)</f>
        <v>72</v>
      </c>
      <c r="D24" s="14">
        <f>COUNTIF(TransactionTable[Account_Type],B24)</f>
        <v>551</v>
      </c>
      <c r="E24" s="16">
        <f>SUMIF(TransactionTable[Account_Type],B24,TransactionTable[Amount])</f>
        <v>7926946.6100000013</v>
      </c>
      <c r="F24" s="16">
        <f>IFERROR(AVERAGEIF(TransactionTable[Account_Type],B24,TransactionTable[Amount]),0)</f>
        <v>14386.472976406536</v>
      </c>
      <c r="G24" s="15">
        <f>E24/SUM(TransactionTable[Amount])</f>
        <v>0.21445484893296318</v>
      </c>
      <c r="R24" s="28" t="s">
        <v>734</v>
      </c>
      <c r="S24" s="28" t="str">
        <f>INDEX(TransactionTable[State],MATCH(R24,TransactionTable[Customer_ID],0))</f>
        <v>Delta</v>
      </c>
      <c r="T24" s="28" t="str">
        <f>INDEX(TransactionTable[Account_Type],MATCH(R24,TransactionTable[Customer_ID],0))</f>
        <v>Tier 1 Wallet</v>
      </c>
      <c r="U24" s="16">
        <f>SUMIFS(TransactionTable[Amount],TransactionTable[Customer_ID],R24)</f>
        <v>88948.92</v>
      </c>
      <c r="V24" s="14">
        <f>COUNTIF(TransactionTable[Customer_ID],R24)</f>
        <v>6</v>
      </c>
      <c r="W24" s="29">
        <f t="shared" si="5"/>
        <v>88948.920002400002</v>
      </c>
    </row>
    <row r="25" spans="2:23" x14ac:dyDescent="0.3">
      <c r="B25" s="13" t="s">
        <v>44</v>
      </c>
      <c r="C25" s="14">
        <f>COUNTIF($T$7:$T$356,B25)</f>
        <v>65</v>
      </c>
      <c r="D25" s="14">
        <f>COUNTIF(TransactionTable[Account_Type],B25)</f>
        <v>457</v>
      </c>
      <c r="E25" s="16">
        <f>SUMIF(TransactionTable[Account_Type],B25,TransactionTable[Amount])</f>
        <v>7113532.0599999949</v>
      </c>
      <c r="F25" s="16">
        <f>IFERROR(AVERAGEIF(TransactionTable[Account_Type],B25,TransactionTable[Amount]),0)</f>
        <v>15565.715667396051</v>
      </c>
      <c r="G25" s="15">
        <f>E25/SUM(TransactionTable[Amount])</f>
        <v>0.19244881016135532</v>
      </c>
      <c r="R25" s="28" t="s">
        <v>743</v>
      </c>
      <c r="S25" s="28" t="str">
        <f>INDEX(TransactionTable[State],MATCH(R25,TransactionTable[Customer_ID],0))</f>
        <v>Delta</v>
      </c>
      <c r="T25" s="28" t="str">
        <f>INDEX(TransactionTable[Account_Type],MATCH(R25,TransactionTable[Customer_ID],0))</f>
        <v>Savings</v>
      </c>
      <c r="U25" s="16">
        <f>SUMIFS(TransactionTable[Amount],TransactionTable[Customer_ID],R25)</f>
        <v>74919.28</v>
      </c>
      <c r="V25" s="14">
        <f>COUNTIF(TransactionTable[Customer_ID],R25)</f>
        <v>5</v>
      </c>
      <c r="W25" s="29">
        <f t="shared" si="5"/>
        <v>74919.280002500003</v>
      </c>
    </row>
    <row r="26" spans="2:23" x14ac:dyDescent="0.3">
      <c r="B26" s="13" t="s">
        <v>52</v>
      </c>
      <c r="C26" s="14">
        <f>COUNTIF($T$7:$T$356,B26)</f>
        <v>32</v>
      </c>
      <c r="D26" s="14">
        <f>COUNTIF(TransactionTable[Account_Type],B26)</f>
        <v>227</v>
      </c>
      <c r="E26" s="16">
        <f>SUMIF(TransactionTable[Account_Type],B26,TransactionTable[Amount])</f>
        <v>3446955.6999999983</v>
      </c>
      <c r="F26" s="16">
        <f>IFERROR(AVERAGEIF(TransactionTable[Account_Type],B26,TransactionTable[Amount]),0)</f>
        <v>15184.826872246689</v>
      </c>
      <c r="G26" s="15">
        <f>E26/SUM(TransactionTable[Amount])</f>
        <v>9.3253607005448949E-2</v>
      </c>
      <c r="R26" s="28" t="s">
        <v>236</v>
      </c>
      <c r="S26" s="28" t="str">
        <f>INDEX(TransactionTable[State],MATCH(R26,TransactionTable[Customer_ID],0))</f>
        <v>Lagos</v>
      </c>
      <c r="T26" s="28" t="str">
        <f>INDEX(TransactionTable[Account_Type],MATCH(R26,TransactionTable[Customer_ID],0))</f>
        <v>Savings</v>
      </c>
      <c r="U26" s="16">
        <f>SUMIFS(TransactionTable[Amount],TransactionTable[Customer_ID],R26)</f>
        <v>164477.71</v>
      </c>
      <c r="V26" s="14">
        <f>COUNTIF(TransactionTable[Customer_ID],R26)</f>
        <v>11</v>
      </c>
      <c r="W26" s="29">
        <f t="shared" si="5"/>
        <v>164477.71000259998</v>
      </c>
    </row>
    <row r="27" spans="2:23" x14ac:dyDescent="0.3">
      <c r="B27" s="21" t="s">
        <v>2907</v>
      </c>
      <c r="C27" s="22">
        <f>SUM(C23:C26)</f>
        <v>350</v>
      </c>
      <c r="D27" s="22">
        <f>SUM(D23:D26)</f>
        <v>2500</v>
      </c>
      <c r="E27" s="24">
        <f>SUM(E23:E26)</f>
        <v>36963242.610000007</v>
      </c>
      <c r="F27" s="24">
        <f>IFERROR(E27/D27,0)</f>
        <v>14785.297044000003</v>
      </c>
      <c r="G27" s="23">
        <f>SUM(G23:G26)</f>
        <v>1.0000000000000022</v>
      </c>
      <c r="R27" s="28" t="s">
        <v>1290</v>
      </c>
      <c r="S27" s="28" t="str">
        <f>INDEX(TransactionTable[State],MATCH(R27,TransactionTable[Customer_ID],0))</f>
        <v>Lagos</v>
      </c>
      <c r="T27" s="28" t="str">
        <f>INDEX(TransactionTable[Account_Type],MATCH(R27,TransactionTable[Customer_ID],0))</f>
        <v>Tier 1 Wallet</v>
      </c>
      <c r="U27" s="16">
        <f>SUMIFS(TransactionTable[Amount],TransactionTable[Customer_ID],R27)</f>
        <v>127385.9</v>
      </c>
      <c r="V27" s="14">
        <f>COUNTIF(TransactionTable[Customer_ID],R27)</f>
        <v>11</v>
      </c>
      <c r="W27" s="29">
        <f t="shared" si="5"/>
        <v>127385.9000027</v>
      </c>
    </row>
    <row r="28" spans="2:23" x14ac:dyDescent="0.3">
      <c r="R28" s="28" t="s">
        <v>329</v>
      </c>
      <c r="S28" s="28" t="str">
        <f>INDEX(TransactionTable[State],MATCH(R28,TransactionTable[Customer_ID],0))</f>
        <v>Lagos</v>
      </c>
      <c r="T28" s="28" t="str">
        <f>INDEX(TransactionTable[Account_Type],MATCH(R28,TransactionTable[Customer_ID],0))</f>
        <v>Current</v>
      </c>
      <c r="U28" s="16">
        <f>SUMIFS(TransactionTable[Amount],TransactionTable[Customer_ID],R28)</f>
        <v>110345.60000000001</v>
      </c>
      <c r="V28" s="14">
        <f>COUNTIF(TransactionTable[Customer_ID],R28)</f>
        <v>7</v>
      </c>
      <c r="W28" s="29">
        <f t="shared" si="5"/>
        <v>110345.60000280001</v>
      </c>
    </row>
    <row r="29" spans="2:23" x14ac:dyDescent="0.3">
      <c r="R29" s="28" t="s">
        <v>256</v>
      </c>
      <c r="S29" s="28" t="str">
        <f>INDEX(TransactionTable[State],MATCH(R29,TransactionTable[Customer_ID],0))</f>
        <v>Kaduna</v>
      </c>
      <c r="T29" s="28" t="str">
        <f>INDEX(TransactionTable[Account_Type],MATCH(R29,TransactionTable[Customer_ID],0))</f>
        <v>Savings</v>
      </c>
      <c r="U29" s="16">
        <f>SUMIFS(TransactionTable[Amount],TransactionTable[Customer_ID],R29)</f>
        <v>189351.95</v>
      </c>
      <c r="V29" s="14">
        <f>COUNTIF(TransactionTable[Customer_ID],R29)</f>
        <v>6</v>
      </c>
      <c r="W29" s="29">
        <f t="shared" si="5"/>
        <v>189351.9500029</v>
      </c>
    </row>
    <row r="30" spans="2:23" ht="15.6" x14ac:dyDescent="0.3">
      <c r="B30" s="6" t="s">
        <v>2925</v>
      </c>
      <c r="R30" s="28" t="s">
        <v>113</v>
      </c>
      <c r="S30" s="28" t="str">
        <f>INDEX(TransactionTable[State],MATCH(R30,TransactionTable[Customer_ID],0))</f>
        <v>Kaduna</v>
      </c>
      <c r="T30" s="28" t="str">
        <f>INDEX(TransactionTable[Account_Type],MATCH(R30,TransactionTable[Customer_ID],0))</f>
        <v>Savings</v>
      </c>
      <c r="U30" s="16">
        <f>SUMIFS(TransactionTable[Amount],TransactionTable[Customer_ID],R30)</f>
        <v>186366.17000000004</v>
      </c>
      <c r="V30" s="14">
        <f>COUNTIF(TransactionTable[Customer_ID],R30)</f>
        <v>7</v>
      </c>
      <c r="W30" s="29">
        <f t="shared" si="5"/>
        <v>186366.17000300004</v>
      </c>
    </row>
    <row r="31" spans="2:23" ht="31.95" customHeight="1" x14ac:dyDescent="0.3">
      <c r="B31" s="7" t="s">
        <v>2926</v>
      </c>
      <c r="C31" s="7" t="s">
        <v>2927</v>
      </c>
      <c r="D31" s="7" t="s">
        <v>2928</v>
      </c>
      <c r="E31" s="7" t="s">
        <v>2902</v>
      </c>
      <c r="F31" s="7" t="s">
        <v>2923</v>
      </c>
      <c r="G31" s="7" t="s">
        <v>2924</v>
      </c>
      <c r="H31" s="7" t="s">
        <v>2905</v>
      </c>
      <c r="R31" s="28" t="s">
        <v>183</v>
      </c>
      <c r="S31" s="28" t="str">
        <f>INDEX(TransactionTable[State],MATCH(R31,TransactionTable[Customer_ID],0))</f>
        <v>Kaduna</v>
      </c>
      <c r="T31" s="28" t="str">
        <f>INDEX(TransactionTable[Account_Type],MATCH(R31,TransactionTable[Customer_ID],0))</f>
        <v>Tier 1 Wallet</v>
      </c>
      <c r="U31" s="16">
        <f>SUMIFS(TransactionTable[Amount],TransactionTable[Customer_ID],R31)</f>
        <v>159098.04999999999</v>
      </c>
      <c r="V31" s="14">
        <f>COUNTIF(TransactionTable[Customer_ID],R31)</f>
        <v>6</v>
      </c>
      <c r="W31" s="29">
        <f t="shared" si="5"/>
        <v>159098.05000309998</v>
      </c>
    </row>
    <row r="32" spans="2:23" x14ac:dyDescent="0.3">
      <c r="B32" s="13" t="s">
        <v>2929</v>
      </c>
      <c r="C32" s="36">
        <v>0</v>
      </c>
      <c r="D32" s="36">
        <v>24</v>
      </c>
      <c r="E32" s="14">
        <f>COUNTIFS(TransactionTable[Customer_Age],"&gt;="&amp;C32,TransactionTable[Customer_Age],"&lt;="&amp;D32)</f>
        <v>197</v>
      </c>
      <c r="F32" s="16">
        <f>SUMIFS(TransactionTable[Amount],TransactionTable[Customer_Age],"&gt;="&amp;C32,TransactionTable[Customer_Age],"&lt;="&amp;D32)</f>
        <v>2916156.2599999993</v>
      </c>
      <c r="G32" s="16">
        <f>IFERROR(F32/E32,0)</f>
        <v>14802.823654822332</v>
      </c>
      <c r="H32" s="15">
        <f>F32/SUM(TransactionTable[Amount])</f>
        <v>7.8893410157989521E-2</v>
      </c>
      <c r="R32" s="28" t="s">
        <v>1026</v>
      </c>
      <c r="S32" s="28" t="str">
        <f>INDEX(TransactionTable[State],MATCH(R32,TransactionTable[Customer_ID],0))</f>
        <v>Kaduna</v>
      </c>
      <c r="T32" s="28" t="str">
        <f>INDEX(TransactionTable[Account_Type],MATCH(R32,TransactionTable[Customer_ID],0))</f>
        <v>Savings</v>
      </c>
      <c r="U32" s="16">
        <f>SUMIFS(TransactionTable[Amount],TransactionTable[Customer_ID],R32)</f>
        <v>124809.19</v>
      </c>
      <c r="V32" s="14">
        <f>COUNTIF(TransactionTable[Customer_ID],R32)</f>
        <v>6</v>
      </c>
      <c r="W32" s="29">
        <f t="shared" si="5"/>
        <v>124809.1900032</v>
      </c>
    </row>
    <row r="33" spans="2:23" x14ac:dyDescent="0.3">
      <c r="B33" s="13" t="s">
        <v>2930</v>
      </c>
      <c r="C33" s="36">
        <v>25</v>
      </c>
      <c r="D33" s="36">
        <v>34</v>
      </c>
      <c r="E33" s="14">
        <f>COUNTIFS(TransactionTable[Customer_Age],"&gt;="&amp;C33,TransactionTable[Customer_Age],"&lt;="&amp;D33)</f>
        <v>934</v>
      </c>
      <c r="F33" s="16">
        <f>SUMIFS(TransactionTable[Amount],TransactionTable[Customer_Age],"&gt;="&amp;C33,TransactionTable[Customer_Age],"&lt;="&amp;D33)</f>
        <v>12580844.219999997</v>
      </c>
      <c r="G33" s="16">
        <f>IFERROR(F33/E33,0)</f>
        <v>13469.854625267662</v>
      </c>
      <c r="H33" s="15">
        <f>F33/SUM(TransactionTable[Amount])</f>
        <v>0.34036094594678262</v>
      </c>
      <c r="R33" s="28" t="s">
        <v>1229</v>
      </c>
      <c r="S33" s="28" t="str">
        <f>INDEX(TransactionTable[State],MATCH(R33,TransactionTable[Customer_ID],0))</f>
        <v>Lagos</v>
      </c>
      <c r="T33" s="28" t="str">
        <f>INDEX(TransactionTable[Account_Type],MATCH(R33,TransactionTable[Customer_ID],0))</f>
        <v>Tier 1 Wallet</v>
      </c>
      <c r="U33" s="16">
        <f>SUMIFS(TransactionTable[Amount],TransactionTable[Customer_ID],R33)</f>
        <v>72092.19</v>
      </c>
      <c r="V33" s="14">
        <f>COUNTIF(TransactionTable[Customer_ID],R33)</f>
        <v>7</v>
      </c>
      <c r="W33" s="29">
        <f t="shared" si="5"/>
        <v>72092.190003299998</v>
      </c>
    </row>
    <row r="34" spans="2:23" x14ac:dyDescent="0.3">
      <c r="B34" s="13" t="s">
        <v>2931</v>
      </c>
      <c r="C34" s="36">
        <v>35</v>
      </c>
      <c r="D34" s="36">
        <v>49</v>
      </c>
      <c r="E34" s="14">
        <f>COUNTIFS(TransactionTable[Customer_Age],"&gt;="&amp;C34,TransactionTable[Customer_Age],"&lt;="&amp;D34)</f>
        <v>994</v>
      </c>
      <c r="F34" s="16">
        <f>SUMIFS(TransactionTable[Amount],TransactionTable[Customer_Age],"&gt;="&amp;C34,TransactionTable[Customer_Age],"&lt;="&amp;D34)</f>
        <v>16058522.48000001</v>
      </c>
      <c r="G34" s="16">
        <f>IFERROR(F34/E34,0)</f>
        <v>16155.455211267616</v>
      </c>
      <c r="H34" s="15">
        <f>F34/SUM(TransactionTable[Amount])</f>
        <v>0.43444571812689359</v>
      </c>
      <c r="R34" s="28" t="s">
        <v>547</v>
      </c>
      <c r="S34" s="28" t="str">
        <f>INDEX(TransactionTable[State],MATCH(R34,TransactionTable[Customer_ID],0))</f>
        <v>Lagos</v>
      </c>
      <c r="T34" s="28" t="str">
        <f>INDEX(TransactionTable[Account_Type],MATCH(R34,TransactionTable[Customer_ID],0))</f>
        <v>Savings</v>
      </c>
      <c r="U34" s="16">
        <f>SUMIFS(TransactionTable[Amount],TransactionTable[Customer_ID],R34)</f>
        <v>117759.07</v>
      </c>
      <c r="V34" s="14">
        <f>COUNTIF(TransactionTable[Customer_ID],R34)</f>
        <v>6</v>
      </c>
      <c r="W34" s="29">
        <f t="shared" si="5"/>
        <v>117759.0700034</v>
      </c>
    </row>
    <row r="35" spans="2:23" x14ac:dyDescent="0.3">
      <c r="B35" s="13" t="s">
        <v>2932</v>
      </c>
      <c r="C35" s="36">
        <v>50</v>
      </c>
      <c r="D35" s="36">
        <v>150</v>
      </c>
      <c r="E35" s="14">
        <f>COUNTIFS(TransactionTable[Customer_Age],"&gt;="&amp;C35,TransactionTable[Customer_Age],"&lt;="&amp;D35)</f>
        <v>375</v>
      </c>
      <c r="F35" s="16">
        <f>SUMIFS(TransactionTable[Amount],TransactionTable[Customer_Age],"&gt;="&amp;C35,TransactionTable[Customer_Age],"&lt;="&amp;D35)</f>
        <v>5407719.6500000004</v>
      </c>
      <c r="G35" s="16">
        <f>IFERROR(F35/E35,0)</f>
        <v>14420.585733333335</v>
      </c>
      <c r="H35" s="15">
        <f>F35/SUM(TransactionTable[Amount])</f>
        <v>0.14629992576833648</v>
      </c>
      <c r="R35" s="28" t="s">
        <v>887</v>
      </c>
      <c r="S35" s="28" t="str">
        <f>INDEX(TransactionTable[State],MATCH(R35,TransactionTable[Customer_ID],0))</f>
        <v>Lagos</v>
      </c>
      <c r="T35" s="28" t="str">
        <f>INDEX(TransactionTable[Account_Type],MATCH(R35,TransactionTable[Customer_ID],0))</f>
        <v>Tier 1 Wallet</v>
      </c>
      <c r="U35" s="16">
        <f>SUMIFS(TransactionTable[Amount],TransactionTable[Customer_ID],R35)</f>
        <v>29132.730000000003</v>
      </c>
      <c r="V35" s="14">
        <f>COUNTIF(TransactionTable[Customer_ID],R35)</f>
        <v>3</v>
      </c>
      <c r="W35" s="29">
        <f t="shared" si="5"/>
        <v>29132.730003500004</v>
      </c>
    </row>
    <row r="36" spans="2:23" x14ac:dyDescent="0.3">
      <c r="B36" s="21" t="s">
        <v>2907</v>
      </c>
      <c r="C36" s="21"/>
      <c r="D36" s="21"/>
      <c r="E36" s="22">
        <f>SUM(E32:E35)</f>
        <v>2500</v>
      </c>
      <c r="F36" s="24">
        <f>SUM(F32:F35)</f>
        <v>36963242.610000007</v>
      </c>
      <c r="G36" s="24">
        <f>IFERROR(F36/E36,0)</f>
        <v>14785.297044000003</v>
      </c>
      <c r="H36" s="23">
        <f>SUM(H32:H35)</f>
        <v>1.0000000000000022</v>
      </c>
      <c r="R36" s="28" t="s">
        <v>377</v>
      </c>
      <c r="S36" s="28" t="str">
        <f>INDEX(TransactionTable[State],MATCH(R36,TransactionTable[Customer_ID],0))</f>
        <v>Enugu</v>
      </c>
      <c r="T36" s="28" t="str">
        <f>INDEX(TransactionTable[Account_Type],MATCH(R36,TransactionTable[Customer_ID],0))</f>
        <v>Savings</v>
      </c>
      <c r="U36" s="16">
        <f>SUMIFS(TransactionTable[Amount],TransactionTable[Customer_ID],R36)</f>
        <v>170030.9</v>
      </c>
      <c r="V36" s="14">
        <f>COUNTIF(TransactionTable[Customer_ID],R36)</f>
        <v>10</v>
      </c>
      <c r="W36" s="29">
        <f t="shared" si="5"/>
        <v>170030.90000359999</v>
      </c>
    </row>
    <row r="37" spans="2:23" x14ac:dyDescent="0.3">
      <c r="B37" s="35" t="s">
        <v>2933</v>
      </c>
      <c r="R37" s="28" t="s">
        <v>252</v>
      </c>
      <c r="S37" s="28" t="str">
        <f>INDEX(TransactionTable[State],MATCH(R37,TransactionTable[Customer_ID],0))</f>
        <v>FCT Abuja</v>
      </c>
      <c r="T37" s="28" t="str">
        <f>INDEX(TransactionTable[Account_Type],MATCH(R37,TransactionTable[Customer_ID],0))</f>
        <v>Tier 1 Wallet</v>
      </c>
      <c r="U37" s="16">
        <f>SUMIFS(TransactionTable[Amount],TransactionTable[Customer_ID],R37)</f>
        <v>197724.77</v>
      </c>
      <c r="V37" s="14">
        <f>COUNTIF(TransactionTable[Customer_ID],R37)</f>
        <v>8</v>
      </c>
      <c r="W37" s="29">
        <f t="shared" si="5"/>
        <v>197724.77000369999</v>
      </c>
    </row>
    <row r="38" spans="2:23" x14ac:dyDescent="0.3">
      <c r="R38" s="28" t="s">
        <v>837</v>
      </c>
      <c r="S38" s="28" t="str">
        <f>INDEX(TransactionTable[State],MATCH(R38,TransactionTable[Customer_ID],0))</f>
        <v>Kaduna</v>
      </c>
      <c r="T38" s="28" t="str">
        <f>INDEX(TransactionTable[Account_Type],MATCH(R38,TransactionTable[Customer_ID],0))</f>
        <v>Savings</v>
      </c>
      <c r="U38" s="16">
        <f>SUMIFS(TransactionTable[Amount],TransactionTable[Customer_ID],R38)</f>
        <v>111237.23999999999</v>
      </c>
      <c r="V38" s="14">
        <f>COUNTIF(TransactionTable[Customer_ID],R38)</f>
        <v>6</v>
      </c>
      <c r="W38" s="29">
        <f t="shared" si="5"/>
        <v>111237.24000379999</v>
      </c>
    </row>
    <row r="39" spans="2:23" x14ac:dyDescent="0.3">
      <c r="R39" s="28" t="s">
        <v>545</v>
      </c>
      <c r="S39" s="28" t="str">
        <f>INDEX(TransactionTable[State],MATCH(R39,TransactionTable[Customer_ID],0))</f>
        <v>Kano</v>
      </c>
      <c r="T39" s="28" t="str">
        <f>INDEX(TransactionTable[Account_Type],MATCH(R39,TransactionTable[Customer_ID],0))</f>
        <v>Savings</v>
      </c>
      <c r="U39" s="16">
        <f>SUMIFS(TransactionTable[Amount],TransactionTable[Customer_ID],R39)</f>
        <v>125937.75</v>
      </c>
      <c r="V39" s="14">
        <f>COUNTIF(TransactionTable[Customer_ID],R39)</f>
        <v>4</v>
      </c>
      <c r="W39" s="29">
        <f t="shared" si="5"/>
        <v>125937.7500039</v>
      </c>
    </row>
    <row r="40" spans="2:23" x14ac:dyDescent="0.3">
      <c r="R40" s="28" t="s">
        <v>88</v>
      </c>
      <c r="S40" s="28" t="str">
        <f>INDEX(TransactionTable[State],MATCH(R40,TransactionTable[Customer_ID],0))</f>
        <v>Lagos</v>
      </c>
      <c r="T40" s="28" t="str">
        <f>INDEX(TransactionTable[Account_Type],MATCH(R40,TransactionTable[Customer_ID],0))</f>
        <v>Current</v>
      </c>
      <c r="U40" s="16">
        <f>SUMIFS(TransactionTable[Amount],TransactionTable[Customer_ID],R40)</f>
        <v>349166.65</v>
      </c>
      <c r="V40" s="14">
        <f>COUNTIF(TransactionTable[Customer_ID],R40)</f>
        <v>10</v>
      </c>
      <c r="W40" s="29">
        <f t="shared" si="5"/>
        <v>349166.650004</v>
      </c>
    </row>
    <row r="41" spans="2:23" x14ac:dyDescent="0.3">
      <c r="R41" s="28" t="s">
        <v>51</v>
      </c>
      <c r="S41" s="28" t="str">
        <f>INDEX(TransactionTable[State],MATCH(R41,TransactionTable[Customer_ID],0))</f>
        <v>Rivers</v>
      </c>
      <c r="T41" s="28" t="str">
        <f>INDEX(TransactionTable[Account_Type],MATCH(R41,TransactionTable[Customer_ID],0))</f>
        <v>Tier 3 Verified</v>
      </c>
      <c r="U41" s="16">
        <f>SUMIFS(TransactionTable[Amount],TransactionTable[Customer_ID],R41)</f>
        <v>72466.84</v>
      </c>
      <c r="V41" s="14">
        <f>COUNTIF(TransactionTable[Customer_ID],R41)</f>
        <v>10</v>
      </c>
      <c r="W41" s="29">
        <f t="shared" si="5"/>
        <v>72466.840004099999</v>
      </c>
    </row>
    <row r="42" spans="2:23" x14ac:dyDescent="0.3">
      <c r="R42" s="28" t="s">
        <v>417</v>
      </c>
      <c r="S42" s="28" t="str">
        <f>INDEX(TransactionTable[State],MATCH(R42,TransactionTable[Customer_ID],0))</f>
        <v>Kano</v>
      </c>
      <c r="T42" s="28" t="str">
        <f>INDEX(TransactionTable[Account_Type],MATCH(R42,TransactionTable[Customer_ID],0))</f>
        <v>Tier 1 Wallet</v>
      </c>
      <c r="U42" s="16">
        <f>SUMIFS(TransactionTable[Amount],TransactionTable[Customer_ID],R42)</f>
        <v>72582.75</v>
      </c>
      <c r="V42" s="14">
        <f>COUNTIF(TransactionTable[Customer_ID],R42)</f>
        <v>4</v>
      </c>
      <c r="W42" s="29">
        <f t="shared" si="5"/>
        <v>72582.750004200003</v>
      </c>
    </row>
    <row r="43" spans="2:23" x14ac:dyDescent="0.3">
      <c r="R43" s="28" t="s">
        <v>529</v>
      </c>
      <c r="S43" s="28" t="str">
        <f>INDEX(TransactionTable[State],MATCH(R43,TransactionTable[Customer_ID],0))</f>
        <v>Lagos</v>
      </c>
      <c r="T43" s="28" t="str">
        <f>INDEX(TransactionTable[Account_Type],MATCH(R43,TransactionTable[Customer_ID],0))</f>
        <v>Savings</v>
      </c>
      <c r="U43" s="16">
        <f>SUMIFS(TransactionTable[Amount],TransactionTable[Customer_ID],R43)</f>
        <v>63308.19</v>
      </c>
      <c r="V43" s="14">
        <f>COUNTIF(TransactionTable[Customer_ID],R43)</f>
        <v>10</v>
      </c>
      <c r="W43" s="29">
        <f t="shared" si="5"/>
        <v>63308.190004300006</v>
      </c>
    </row>
    <row r="44" spans="2:23" x14ac:dyDescent="0.3">
      <c r="R44" s="28" t="s">
        <v>128</v>
      </c>
      <c r="S44" s="28" t="str">
        <f>INDEX(TransactionTable[State],MATCH(R44,TransactionTable[Customer_ID],0))</f>
        <v>Delta</v>
      </c>
      <c r="T44" s="28" t="str">
        <f>INDEX(TransactionTable[Account_Type],MATCH(R44,TransactionTable[Customer_ID],0))</f>
        <v>Tier 1 Wallet</v>
      </c>
      <c r="U44" s="16">
        <f>SUMIFS(TransactionTable[Amount],TransactionTable[Customer_ID],R44)</f>
        <v>114217.36000000002</v>
      </c>
      <c r="V44" s="14">
        <f>COUNTIF(TransactionTable[Customer_ID],R44)</f>
        <v>11</v>
      </c>
      <c r="W44" s="29">
        <f t="shared" si="5"/>
        <v>114217.36000440002</v>
      </c>
    </row>
    <row r="45" spans="2:23" x14ac:dyDescent="0.3">
      <c r="R45" s="28" t="s">
        <v>348</v>
      </c>
      <c r="S45" s="28" t="str">
        <f>INDEX(TransactionTable[State],MATCH(R45,TransactionTable[Customer_ID],0))</f>
        <v>Ogun</v>
      </c>
      <c r="T45" s="28" t="str">
        <f>INDEX(TransactionTable[Account_Type],MATCH(R45,TransactionTable[Customer_ID],0))</f>
        <v>Tier 1 Wallet</v>
      </c>
      <c r="U45" s="16">
        <f>SUMIFS(TransactionTable[Amount],TransactionTable[Customer_ID],R45)</f>
        <v>50566.04</v>
      </c>
      <c r="V45" s="14">
        <f>COUNTIF(TransactionTable[Customer_ID],R45)</f>
        <v>5</v>
      </c>
      <c r="W45" s="29">
        <f t="shared" si="5"/>
        <v>50566.040004499999</v>
      </c>
    </row>
    <row r="46" spans="2:23" x14ac:dyDescent="0.3">
      <c r="R46" s="28" t="s">
        <v>382</v>
      </c>
      <c r="S46" s="28" t="str">
        <f>INDEX(TransactionTable[State],MATCH(R46,TransactionTable[Customer_ID],0))</f>
        <v>Enugu</v>
      </c>
      <c r="T46" s="28" t="str">
        <f>INDEX(TransactionTable[Account_Type],MATCH(R46,TransactionTable[Customer_ID],0))</f>
        <v>Current</v>
      </c>
      <c r="U46" s="16">
        <f>SUMIFS(TransactionTable[Amount],TransactionTable[Customer_ID],R46)</f>
        <v>9576.07</v>
      </c>
      <c r="V46" s="14">
        <f>COUNTIF(TransactionTable[Customer_ID],R46)</f>
        <v>3</v>
      </c>
      <c r="W46" s="29">
        <f t="shared" si="5"/>
        <v>9576.0700046000002</v>
      </c>
    </row>
    <row r="47" spans="2:23" x14ac:dyDescent="0.3">
      <c r="R47" s="28" t="s">
        <v>845</v>
      </c>
      <c r="S47" s="28" t="str">
        <f>INDEX(TransactionTable[State],MATCH(R47,TransactionTable[Customer_ID],0))</f>
        <v>Enugu</v>
      </c>
      <c r="T47" s="28" t="str">
        <f>INDEX(TransactionTable[Account_Type],MATCH(R47,TransactionTable[Customer_ID],0))</f>
        <v>Savings</v>
      </c>
      <c r="U47" s="16">
        <f>SUMIFS(TransactionTable[Amount],TransactionTable[Customer_ID],R47)</f>
        <v>15017.44</v>
      </c>
      <c r="V47" s="14">
        <f>COUNTIF(TransactionTable[Customer_ID],R47)</f>
        <v>2</v>
      </c>
      <c r="W47" s="29">
        <f t="shared" si="5"/>
        <v>15017.4400047</v>
      </c>
    </row>
    <row r="48" spans="2:23" x14ac:dyDescent="0.3">
      <c r="R48" s="28" t="s">
        <v>947</v>
      </c>
      <c r="S48" s="28" t="str">
        <f>INDEX(TransactionTable[State],MATCH(R48,TransactionTable[Customer_ID],0))</f>
        <v>Lagos</v>
      </c>
      <c r="T48" s="28" t="str">
        <f>INDEX(TransactionTable[Account_Type],MATCH(R48,TransactionTable[Customer_ID],0))</f>
        <v>Savings</v>
      </c>
      <c r="U48" s="16">
        <f>SUMIFS(TransactionTable[Amount],TransactionTable[Customer_ID],R48)</f>
        <v>79711.62999999999</v>
      </c>
      <c r="V48" s="14">
        <f>COUNTIF(TransactionTable[Customer_ID],R48)</f>
        <v>9</v>
      </c>
      <c r="W48" s="29">
        <f t="shared" si="5"/>
        <v>79711.630004799983</v>
      </c>
    </row>
    <row r="49" spans="18:23" x14ac:dyDescent="0.3">
      <c r="R49" s="28" t="s">
        <v>12</v>
      </c>
      <c r="S49" s="28" t="str">
        <f>INDEX(TransactionTable[State],MATCH(R49,TransactionTable[Customer_ID],0))</f>
        <v>Ogun</v>
      </c>
      <c r="T49" s="28" t="str">
        <f>INDEX(TransactionTable[Account_Type],MATCH(R49,TransactionTable[Customer_ID],0))</f>
        <v>Savings</v>
      </c>
      <c r="U49" s="16">
        <f>SUMIFS(TransactionTable[Amount],TransactionTable[Customer_ID],R49)</f>
        <v>44844.990000000005</v>
      </c>
      <c r="V49" s="14">
        <f>COUNTIF(TransactionTable[Customer_ID],R49)</f>
        <v>7</v>
      </c>
      <c r="W49" s="29">
        <f t="shared" si="5"/>
        <v>44844.990004900006</v>
      </c>
    </row>
    <row r="50" spans="18:23" x14ac:dyDescent="0.3">
      <c r="R50" s="28" t="s">
        <v>454</v>
      </c>
      <c r="S50" s="28" t="str">
        <f>INDEX(TransactionTable[State],MATCH(R50,TransactionTable[Customer_ID],0))</f>
        <v>Kano</v>
      </c>
      <c r="T50" s="28" t="str">
        <f>INDEX(TransactionTable[Account_Type],MATCH(R50,TransactionTable[Customer_ID],0))</f>
        <v>Savings</v>
      </c>
      <c r="U50" s="16">
        <f>SUMIFS(TransactionTable[Amount],TransactionTable[Customer_ID],R50)</f>
        <v>128477.15</v>
      </c>
      <c r="V50" s="14">
        <f>COUNTIF(TransactionTable[Customer_ID],R50)</f>
        <v>9</v>
      </c>
      <c r="W50" s="29">
        <f t="shared" si="5"/>
        <v>128477.15000499999</v>
      </c>
    </row>
    <row r="51" spans="18:23" x14ac:dyDescent="0.3">
      <c r="R51" s="28" t="s">
        <v>238</v>
      </c>
      <c r="S51" s="28" t="str">
        <f>INDEX(TransactionTable[State],MATCH(R51,TransactionTable[Customer_ID],0))</f>
        <v>Lagos</v>
      </c>
      <c r="T51" s="28" t="str">
        <f>INDEX(TransactionTable[Account_Type],MATCH(R51,TransactionTable[Customer_ID],0))</f>
        <v>Tier 3 Verified</v>
      </c>
      <c r="U51" s="16">
        <f>SUMIFS(TransactionTable[Amount],TransactionTable[Customer_ID],R51)</f>
        <v>55698.06</v>
      </c>
      <c r="V51" s="14">
        <f>COUNTIF(TransactionTable[Customer_ID],R51)</f>
        <v>8</v>
      </c>
      <c r="W51" s="29">
        <f t="shared" si="5"/>
        <v>55698.0600051</v>
      </c>
    </row>
    <row r="52" spans="18:23" x14ac:dyDescent="0.3">
      <c r="R52" s="28" t="s">
        <v>435</v>
      </c>
      <c r="S52" s="28" t="str">
        <f>INDEX(TransactionTable[State],MATCH(R52,TransactionTable[Customer_ID],0))</f>
        <v>Rivers</v>
      </c>
      <c r="T52" s="28" t="str">
        <f>INDEX(TransactionTable[Account_Type],MATCH(R52,TransactionTable[Customer_ID],0))</f>
        <v>Tier 1 Wallet</v>
      </c>
      <c r="U52" s="16">
        <f>SUMIFS(TransactionTable[Amount],TransactionTable[Customer_ID],R52)</f>
        <v>186873.73</v>
      </c>
      <c r="V52" s="14">
        <f>COUNTIF(TransactionTable[Customer_ID],R52)</f>
        <v>11</v>
      </c>
      <c r="W52" s="29">
        <f t="shared" si="5"/>
        <v>186873.73000520002</v>
      </c>
    </row>
    <row r="53" spans="18:23" x14ac:dyDescent="0.3">
      <c r="R53" s="28" t="s">
        <v>165</v>
      </c>
      <c r="S53" s="28" t="str">
        <f>INDEX(TransactionTable[State],MATCH(R53,TransactionTable[Customer_ID],0))</f>
        <v>Edo</v>
      </c>
      <c r="T53" s="28" t="str">
        <f>INDEX(TransactionTable[Account_Type],MATCH(R53,TransactionTable[Customer_ID],0))</f>
        <v>Tier 3 Verified</v>
      </c>
      <c r="U53" s="16">
        <f>SUMIFS(TransactionTable[Amount],TransactionTable[Customer_ID],R53)</f>
        <v>170083.37</v>
      </c>
      <c r="V53" s="14">
        <f>COUNTIF(TransactionTable[Customer_ID],R53)</f>
        <v>12</v>
      </c>
      <c r="W53" s="29">
        <f t="shared" si="5"/>
        <v>170083.37000530001</v>
      </c>
    </row>
    <row r="54" spans="18:23" x14ac:dyDescent="0.3">
      <c r="R54" s="28" t="s">
        <v>1478</v>
      </c>
      <c r="S54" s="28" t="str">
        <f>INDEX(TransactionTable[State],MATCH(R54,TransactionTable[Customer_ID],0))</f>
        <v>Rivers</v>
      </c>
      <c r="T54" s="28" t="str">
        <f>INDEX(TransactionTable[Account_Type],MATCH(R54,TransactionTable[Customer_ID],0))</f>
        <v>Savings</v>
      </c>
      <c r="U54" s="16">
        <f>SUMIFS(TransactionTable[Amount],TransactionTable[Customer_ID],R54)</f>
        <v>46179.100000000006</v>
      </c>
      <c r="V54" s="14">
        <f>COUNTIF(TransactionTable[Customer_ID],R54)</f>
        <v>4</v>
      </c>
      <c r="W54" s="29">
        <f t="shared" si="5"/>
        <v>46179.100005400003</v>
      </c>
    </row>
    <row r="55" spans="18:23" x14ac:dyDescent="0.3">
      <c r="R55" s="28" t="s">
        <v>275</v>
      </c>
      <c r="S55" s="28" t="str">
        <f>INDEX(TransactionTable[State],MATCH(R55,TransactionTable[Customer_ID],0))</f>
        <v>Lagos</v>
      </c>
      <c r="T55" s="28" t="str">
        <f>INDEX(TransactionTable[Account_Type],MATCH(R55,TransactionTable[Customer_ID],0))</f>
        <v>Current</v>
      </c>
      <c r="U55" s="16">
        <f>SUMIFS(TransactionTable[Amount],TransactionTable[Customer_ID],R55)</f>
        <v>109731.23</v>
      </c>
      <c r="V55" s="14">
        <f>COUNTIF(TransactionTable[Customer_ID],R55)</f>
        <v>6</v>
      </c>
      <c r="W55" s="29">
        <f t="shared" si="5"/>
        <v>109731.23000549999</v>
      </c>
    </row>
    <row r="56" spans="18:23" x14ac:dyDescent="0.3">
      <c r="R56" s="28" t="s">
        <v>230</v>
      </c>
      <c r="S56" s="28" t="str">
        <f>INDEX(TransactionTable[State],MATCH(R56,TransactionTable[Customer_ID],0))</f>
        <v>Lagos</v>
      </c>
      <c r="T56" s="28" t="str">
        <f>INDEX(TransactionTable[Account_Type],MATCH(R56,TransactionTable[Customer_ID],0))</f>
        <v>Savings</v>
      </c>
      <c r="U56" s="16">
        <f>SUMIFS(TransactionTable[Amount],TransactionTable[Customer_ID],R56)</f>
        <v>31494.07</v>
      </c>
      <c r="V56" s="14">
        <f>COUNTIF(TransactionTable[Customer_ID],R56)</f>
        <v>7</v>
      </c>
      <c r="W56" s="29">
        <f t="shared" si="5"/>
        <v>31494.070005599999</v>
      </c>
    </row>
    <row r="57" spans="18:23" x14ac:dyDescent="0.3">
      <c r="R57" s="28" t="s">
        <v>279</v>
      </c>
      <c r="S57" s="28" t="str">
        <f>INDEX(TransactionTable[State],MATCH(R57,TransactionTable[Customer_ID],0))</f>
        <v>Lagos</v>
      </c>
      <c r="T57" s="28" t="str">
        <f>INDEX(TransactionTable[Account_Type],MATCH(R57,TransactionTable[Customer_ID],0))</f>
        <v>Savings</v>
      </c>
      <c r="U57" s="16">
        <f>SUMIFS(TransactionTable[Amount],TransactionTable[Customer_ID],R57)</f>
        <v>160906.43</v>
      </c>
      <c r="V57" s="14">
        <f>COUNTIF(TransactionTable[Customer_ID],R57)</f>
        <v>4</v>
      </c>
      <c r="W57" s="29">
        <f t="shared" si="5"/>
        <v>160906.43000570001</v>
      </c>
    </row>
    <row r="58" spans="18:23" x14ac:dyDescent="0.3">
      <c r="R58" s="28" t="s">
        <v>27</v>
      </c>
      <c r="S58" s="28" t="str">
        <f>INDEX(TransactionTable[State],MATCH(R58,TransactionTable[Customer_ID],0))</f>
        <v>Edo</v>
      </c>
      <c r="T58" s="28" t="str">
        <f>INDEX(TransactionTable[Account_Type],MATCH(R58,TransactionTable[Customer_ID],0))</f>
        <v>Savings</v>
      </c>
      <c r="U58" s="16">
        <f>SUMIFS(TransactionTable[Amount],TransactionTable[Customer_ID],R58)</f>
        <v>53060.71</v>
      </c>
      <c r="V58" s="14">
        <f>COUNTIF(TransactionTable[Customer_ID],R58)</f>
        <v>5</v>
      </c>
      <c r="W58" s="29">
        <f t="shared" si="5"/>
        <v>53060.7100058</v>
      </c>
    </row>
    <row r="59" spans="18:23" x14ac:dyDescent="0.3">
      <c r="R59" s="28" t="s">
        <v>86</v>
      </c>
      <c r="S59" s="28" t="str">
        <f>INDEX(TransactionTable[State],MATCH(R59,TransactionTable[Customer_ID],0))</f>
        <v>FCT Abuja</v>
      </c>
      <c r="T59" s="28" t="str">
        <f>INDEX(TransactionTable[Account_Type],MATCH(R59,TransactionTable[Customer_ID],0))</f>
        <v>Savings</v>
      </c>
      <c r="U59" s="16">
        <f>SUMIFS(TransactionTable[Amount],TransactionTable[Customer_ID],R59)</f>
        <v>116687.11000000002</v>
      </c>
      <c r="V59" s="14">
        <f>COUNTIF(TransactionTable[Customer_ID],R59)</f>
        <v>7</v>
      </c>
      <c r="W59" s="29">
        <f t="shared" si="5"/>
        <v>116687.11000590002</v>
      </c>
    </row>
    <row r="60" spans="18:23" x14ac:dyDescent="0.3">
      <c r="R60" s="28" t="s">
        <v>107</v>
      </c>
      <c r="S60" s="28" t="str">
        <f>INDEX(TransactionTable[State],MATCH(R60,TransactionTable[Customer_ID],0))</f>
        <v>Kano</v>
      </c>
      <c r="T60" s="28" t="str">
        <f>INDEX(TransactionTable[Account_Type],MATCH(R60,TransactionTable[Customer_ID],0))</f>
        <v>Current</v>
      </c>
      <c r="U60" s="16">
        <f>SUMIFS(TransactionTable[Amount],TransactionTable[Customer_ID],R60)</f>
        <v>14899.23</v>
      </c>
      <c r="V60" s="14">
        <f>COUNTIF(TransactionTable[Customer_ID],R60)</f>
        <v>3</v>
      </c>
      <c r="W60" s="29">
        <f t="shared" si="5"/>
        <v>14899.230006</v>
      </c>
    </row>
    <row r="61" spans="18:23" x14ac:dyDescent="0.3">
      <c r="R61" s="28" t="s">
        <v>567</v>
      </c>
      <c r="S61" s="28" t="str">
        <f>INDEX(TransactionTable[State],MATCH(R61,TransactionTable[Customer_ID],0))</f>
        <v>Rivers</v>
      </c>
      <c r="T61" s="28" t="str">
        <f>INDEX(TransactionTable[Account_Type],MATCH(R61,TransactionTable[Customer_ID],0))</f>
        <v>Savings</v>
      </c>
      <c r="U61" s="16">
        <f>SUMIFS(TransactionTable[Amount],TransactionTable[Customer_ID],R61)</f>
        <v>183124.87000000002</v>
      </c>
      <c r="V61" s="14">
        <f>COUNTIF(TransactionTable[Customer_ID],R61)</f>
        <v>9</v>
      </c>
      <c r="W61" s="29">
        <f t="shared" si="5"/>
        <v>183124.87000610001</v>
      </c>
    </row>
    <row r="62" spans="18:23" x14ac:dyDescent="0.3">
      <c r="R62" s="28" t="s">
        <v>575</v>
      </c>
      <c r="S62" s="28" t="str">
        <f>INDEX(TransactionTable[State],MATCH(R62,TransactionTable[Customer_ID],0))</f>
        <v>Lagos</v>
      </c>
      <c r="T62" s="28" t="str">
        <f>INDEX(TransactionTable[Account_Type],MATCH(R62,TransactionTable[Customer_ID],0))</f>
        <v>Savings</v>
      </c>
      <c r="U62" s="16">
        <f>SUMIFS(TransactionTable[Amount],TransactionTable[Customer_ID],R62)</f>
        <v>106979.41</v>
      </c>
      <c r="V62" s="14">
        <f>COUNTIF(TransactionTable[Customer_ID],R62)</f>
        <v>9</v>
      </c>
      <c r="W62" s="29">
        <f t="shared" si="5"/>
        <v>106979.41000620001</v>
      </c>
    </row>
    <row r="63" spans="18:23" x14ac:dyDescent="0.3">
      <c r="R63" s="28" t="s">
        <v>798</v>
      </c>
      <c r="S63" s="28" t="str">
        <f>INDEX(TransactionTable[State],MATCH(R63,TransactionTable[Customer_ID],0))</f>
        <v>Oyo</v>
      </c>
      <c r="T63" s="28" t="str">
        <f>INDEX(TransactionTable[Account_Type],MATCH(R63,TransactionTable[Customer_ID],0))</f>
        <v>Current</v>
      </c>
      <c r="U63" s="16">
        <f>SUMIFS(TransactionTable[Amount],TransactionTable[Customer_ID],R63)</f>
        <v>105042.67</v>
      </c>
      <c r="V63" s="14">
        <f>COUNTIF(TransactionTable[Customer_ID],R63)</f>
        <v>6</v>
      </c>
      <c r="W63" s="29">
        <f t="shared" si="5"/>
        <v>105042.6700063</v>
      </c>
    </row>
    <row r="64" spans="18:23" x14ac:dyDescent="0.3">
      <c r="R64" s="28" t="s">
        <v>752</v>
      </c>
      <c r="S64" s="28" t="str">
        <f>INDEX(TransactionTable[State],MATCH(R64,TransactionTable[Customer_ID],0))</f>
        <v>Rivers</v>
      </c>
      <c r="T64" s="28" t="str">
        <f>INDEX(TransactionTable[Account_Type],MATCH(R64,TransactionTable[Customer_ID],0))</f>
        <v>Savings</v>
      </c>
      <c r="U64" s="16">
        <f>SUMIFS(TransactionTable[Amount],TransactionTable[Customer_ID],R64)</f>
        <v>133688.01999999999</v>
      </c>
      <c r="V64" s="14">
        <f>COUNTIF(TransactionTable[Customer_ID],R64)</f>
        <v>10</v>
      </c>
      <c r="W64" s="29">
        <f t="shared" si="5"/>
        <v>133688.02000639998</v>
      </c>
    </row>
    <row r="65" spans="18:23" x14ac:dyDescent="0.3">
      <c r="R65" s="28" t="s">
        <v>198</v>
      </c>
      <c r="S65" s="28" t="str">
        <f>INDEX(TransactionTable[State],MATCH(R65,TransactionTable[Customer_ID],0))</f>
        <v>Lagos</v>
      </c>
      <c r="T65" s="28" t="str">
        <f>INDEX(TransactionTable[Account_Type],MATCH(R65,TransactionTable[Customer_ID],0))</f>
        <v>Current</v>
      </c>
      <c r="U65" s="16">
        <f>SUMIFS(TransactionTable[Amount],TransactionTable[Customer_ID],R65)</f>
        <v>139354.85</v>
      </c>
      <c r="V65" s="14">
        <f>COUNTIF(TransactionTable[Customer_ID],R65)</f>
        <v>10</v>
      </c>
      <c r="W65" s="29">
        <f t="shared" si="5"/>
        <v>139354.8500065</v>
      </c>
    </row>
    <row r="66" spans="18:23" x14ac:dyDescent="0.3">
      <c r="R66" s="28" t="s">
        <v>1274</v>
      </c>
      <c r="S66" s="28" t="str">
        <f>INDEX(TransactionTable[State],MATCH(R66,TransactionTable[Customer_ID],0))</f>
        <v>Delta</v>
      </c>
      <c r="T66" s="28" t="str">
        <f>INDEX(TransactionTable[Account_Type],MATCH(R66,TransactionTable[Customer_ID],0))</f>
        <v>Savings</v>
      </c>
      <c r="U66" s="16">
        <f>SUMIFS(TransactionTable[Amount],TransactionTable[Customer_ID],R66)</f>
        <v>157625.35999999999</v>
      </c>
      <c r="V66" s="14">
        <f>COUNTIF(TransactionTable[Customer_ID],R66)</f>
        <v>6</v>
      </c>
      <c r="W66" s="29">
        <f t="shared" si="5"/>
        <v>157625.36000659998</v>
      </c>
    </row>
    <row r="67" spans="18:23" x14ac:dyDescent="0.3">
      <c r="R67" s="28" t="s">
        <v>403</v>
      </c>
      <c r="S67" s="28" t="str">
        <f>INDEX(TransactionTable[State],MATCH(R67,TransactionTable[Customer_ID],0))</f>
        <v>Lagos</v>
      </c>
      <c r="T67" s="28" t="str">
        <f>INDEX(TransactionTable[Account_Type],MATCH(R67,TransactionTable[Customer_ID],0))</f>
        <v>Tier 3 Verified</v>
      </c>
      <c r="U67" s="16">
        <f>SUMIFS(TransactionTable[Amount],TransactionTable[Customer_ID],R67)</f>
        <v>73698.37000000001</v>
      </c>
      <c r="V67" s="14">
        <f>COUNTIF(TransactionTable[Customer_ID],R67)</f>
        <v>7</v>
      </c>
      <c r="W67" s="29">
        <f t="shared" si="5"/>
        <v>73698.370006700003</v>
      </c>
    </row>
    <row r="68" spans="18:23" x14ac:dyDescent="0.3">
      <c r="R68" s="28" t="s">
        <v>660</v>
      </c>
      <c r="S68" s="28" t="str">
        <f>INDEX(TransactionTable[State],MATCH(R68,TransactionTable[Customer_ID],0))</f>
        <v>Lagos</v>
      </c>
      <c r="T68" s="28" t="str">
        <f>INDEX(TransactionTable[Account_Type],MATCH(R68,TransactionTable[Customer_ID],0))</f>
        <v>Current</v>
      </c>
      <c r="U68" s="16">
        <f>SUMIFS(TransactionTable[Amount],TransactionTable[Customer_ID],R68)</f>
        <v>181686.88999999996</v>
      </c>
      <c r="V68" s="14">
        <f>COUNTIF(TransactionTable[Customer_ID],R68)</f>
        <v>7</v>
      </c>
      <c r="W68" s="29">
        <f t="shared" si="5"/>
        <v>181686.89000679995</v>
      </c>
    </row>
    <row r="69" spans="18:23" x14ac:dyDescent="0.3">
      <c r="R69" s="28" t="s">
        <v>623</v>
      </c>
      <c r="S69" s="28" t="str">
        <f>INDEX(TransactionTable[State],MATCH(R69,TransactionTable[Customer_ID],0))</f>
        <v>Rivers</v>
      </c>
      <c r="T69" s="28" t="str">
        <f>INDEX(TransactionTable[Account_Type],MATCH(R69,TransactionTable[Customer_ID],0))</f>
        <v>Current</v>
      </c>
      <c r="U69" s="16">
        <f>SUMIFS(TransactionTable[Amount],TransactionTable[Customer_ID],R69)</f>
        <v>111002.65</v>
      </c>
      <c r="V69" s="14">
        <f>COUNTIF(TransactionTable[Customer_ID],R69)</f>
        <v>6</v>
      </c>
      <c r="W69" s="29">
        <f t="shared" si="5"/>
        <v>111002.65000689999</v>
      </c>
    </row>
    <row r="70" spans="18:23" x14ac:dyDescent="0.3">
      <c r="R70" s="28" t="s">
        <v>423</v>
      </c>
      <c r="S70" s="28" t="str">
        <f>INDEX(TransactionTable[State],MATCH(R70,TransactionTable[Customer_ID],0))</f>
        <v>Lagos</v>
      </c>
      <c r="T70" s="28" t="str">
        <f>INDEX(TransactionTable[Account_Type],MATCH(R70,TransactionTable[Customer_ID],0))</f>
        <v>Tier 1 Wallet</v>
      </c>
      <c r="U70" s="16">
        <f>SUMIFS(TransactionTable[Amount],TransactionTable[Customer_ID],R70)</f>
        <v>102149.90000000001</v>
      </c>
      <c r="V70" s="14">
        <f>COUNTIF(TransactionTable[Customer_ID],R70)</f>
        <v>6</v>
      </c>
      <c r="W70" s="29">
        <f t="shared" si="5"/>
        <v>102149.900007</v>
      </c>
    </row>
    <row r="71" spans="18:23" x14ac:dyDescent="0.3">
      <c r="R71" s="28" t="s">
        <v>171</v>
      </c>
      <c r="S71" s="28" t="str">
        <f>INDEX(TransactionTable[State],MATCH(R71,TransactionTable[Customer_ID],0))</f>
        <v>Oyo</v>
      </c>
      <c r="T71" s="28" t="str">
        <f>INDEX(TransactionTable[Account_Type],MATCH(R71,TransactionTable[Customer_ID],0))</f>
        <v>Savings</v>
      </c>
      <c r="U71" s="16">
        <f>SUMIFS(TransactionTable[Amount],TransactionTable[Customer_ID],R71)</f>
        <v>44049.83</v>
      </c>
      <c r="V71" s="14">
        <f>COUNTIF(TransactionTable[Customer_ID],R71)</f>
        <v>7</v>
      </c>
      <c r="W71" s="29">
        <f t="shared" ref="W71:W134" si="6">U71+ROW()/10^7</f>
        <v>44049.830007100005</v>
      </c>
    </row>
    <row r="72" spans="18:23" x14ac:dyDescent="0.3">
      <c r="R72" s="28" t="s">
        <v>92</v>
      </c>
      <c r="S72" s="28" t="str">
        <f>INDEX(TransactionTable[State],MATCH(R72,TransactionTable[Customer_ID],0))</f>
        <v>FCT Abuja</v>
      </c>
      <c r="T72" s="28" t="str">
        <f>INDEX(TransactionTable[Account_Type],MATCH(R72,TransactionTable[Customer_ID],0))</f>
        <v>Tier 1 Wallet</v>
      </c>
      <c r="U72" s="16">
        <f>SUMIFS(TransactionTable[Amount],TransactionTable[Customer_ID],R72)</f>
        <v>67565.98</v>
      </c>
      <c r="V72" s="14">
        <f>COUNTIF(TransactionTable[Customer_ID],R72)</f>
        <v>10</v>
      </c>
      <c r="W72" s="29">
        <f t="shared" si="6"/>
        <v>67565.980007199993</v>
      </c>
    </row>
    <row r="73" spans="18:23" x14ac:dyDescent="0.3">
      <c r="R73" s="28" t="s">
        <v>896</v>
      </c>
      <c r="S73" s="28" t="str">
        <f>INDEX(TransactionTable[State],MATCH(R73,TransactionTable[Customer_ID],0))</f>
        <v>Kaduna</v>
      </c>
      <c r="T73" s="28" t="str">
        <f>INDEX(TransactionTable[Account_Type],MATCH(R73,TransactionTable[Customer_ID],0))</f>
        <v>Current</v>
      </c>
      <c r="U73" s="16">
        <f>SUMIFS(TransactionTable[Amount],TransactionTable[Customer_ID],R73)</f>
        <v>17586.2</v>
      </c>
      <c r="V73" s="14">
        <f>COUNTIF(TransactionTable[Customer_ID],R73)</f>
        <v>8</v>
      </c>
      <c r="W73" s="29">
        <f t="shared" si="6"/>
        <v>17586.200007300002</v>
      </c>
    </row>
    <row r="74" spans="18:23" x14ac:dyDescent="0.3">
      <c r="R74" s="28" t="s">
        <v>688</v>
      </c>
      <c r="S74" s="28" t="str">
        <f>INDEX(TransactionTable[State],MATCH(R74,TransactionTable[Customer_ID],0))</f>
        <v>Lagos</v>
      </c>
      <c r="T74" s="28" t="str">
        <f>INDEX(TransactionTable[Account_Type],MATCH(R74,TransactionTable[Customer_ID],0))</f>
        <v>Tier 1 Wallet</v>
      </c>
      <c r="U74" s="16">
        <f>SUMIFS(TransactionTable[Amount],TransactionTable[Customer_ID],R74)</f>
        <v>111685.54000000001</v>
      </c>
      <c r="V74" s="14">
        <f>COUNTIF(TransactionTable[Customer_ID],R74)</f>
        <v>7</v>
      </c>
      <c r="W74" s="29">
        <f t="shared" si="6"/>
        <v>111685.54000740001</v>
      </c>
    </row>
    <row r="75" spans="18:23" x14ac:dyDescent="0.3">
      <c r="R75" s="28" t="s">
        <v>343</v>
      </c>
      <c r="S75" s="28" t="str">
        <f>INDEX(TransactionTable[State],MATCH(R75,TransactionTable[Customer_ID],0))</f>
        <v>Lagos</v>
      </c>
      <c r="T75" s="28" t="str">
        <f>INDEX(TransactionTable[Account_Type],MATCH(R75,TransactionTable[Customer_ID],0))</f>
        <v>Savings</v>
      </c>
      <c r="U75" s="16">
        <f>SUMIFS(TransactionTable[Amount],TransactionTable[Customer_ID],R75)</f>
        <v>117401</v>
      </c>
      <c r="V75" s="14">
        <f>COUNTIF(TransactionTable[Customer_ID],R75)</f>
        <v>9</v>
      </c>
      <c r="W75" s="29">
        <f t="shared" si="6"/>
        <v>117401.0000075</v>
      </c>
    </row>
    <row r="76" spans="18:23" x14ac:dyDescent="0.3">
      <c r="R76" s="28" t="s">
        <v>730</v>
      </c>
      <c r="S76" s="28" t="str">
        <f>INDEX(TransactionTable[State],MATCH(R76,TransactionTable[Customer_ID],0))</f>
        <v>Lagos</v>
      </c>
      <c r="T76" s="28" t="str">
        <f>INDEX(TransactionTable[Account_Type],MATCH(R76,TransactionTable[Customer_ID],0))</f>
        <v>Savings</v>
      </c>
      <c r="U76" s="16">
        <f>SUMIFS(TransactionTable[Amount],TransactionTable[Customer_ID],R76)</f>
        <v>85268.340000000011</v>
      </c>
      <c r="V76" s="14">
        <f>COUNTIF(TransactionTable[Customer_ID],R76)</f>
        <v>9</v>
      </c>
      <c r="W76" s="29">
        <f t="shared" si="6"/>
        <v>85268.340007600011</v>
      </c>
    </row>
    <row r="77" spans="18:23" x14ac:dyDescent="0.3">
      <c r="R77" s="28" t="s">
        <v>1311</v>
      </c>
      <c r="S77" s="28" t="str">
        <f>INDEX(TransactionTable[State],MATCH(R77,TransactionTable[Customer_ID],0))</f>
        <v>FCT Abuja</v>
      </c>
      <c r="T77" s="28" t="str">
        <f>INDEX(TransactionTable[Account_Type],MATCH(R77,TransactionTable[Customer_ID],0))</f>
        <v>Current</v>
      </c>
      <c r="U77" s="16">
        <f>SUMIFS(TransactionTable[Amount],TransactionTable[Customer_ID],R77)</f>
        <v>196567.22999999998</v>
      </c>
      <c r="V77" s="14">
        <f>COUNTIF(TransactionTable[Customer_ID],R77)</f>
        <v>5</v>
      </c>
      <c r="W77" s="29">
        <f t="shared" si="6"/>
        <v>196567.23000769998</v>
      </c>
    </row>
    <row r="78" spans="18:23" x14ac:dyDescent="0.3">
      <c r="R78" s="28" t="s">
        <v>759</v>
      </c>
      <c r="S78" s="28" t="str">
        <f>INDEX(TransactionTable[State],MATCH(R78,TransactionTable[Customer_ID],0))</f>
        <v>FCT Abuja</v>
      </c>
      <c r="T78" s="28" t="str">
        <f>INDEX(TransactionTable[Account_Type],MATCH(R78,TransactionTable[Customer_ID],0))</f>
        <v>Savings</v>
      </c>
      <c r="U78" s="16">
        <f>SUMIFS(TransactionTable[Amount],TransactionTable[Customer_ID],R78)</f>
        <v>20331.96</v>
      </c>
      <c r="V78" s="14">
        <f>COUNTIF(TransactionTable[Customer_ID],R78)</f>
        <v>4</v>
      </c>
      <c r="W78" s="29">
        <f t="shared" si="6"/>
        <v>20331.9600078</v>
      </c>
    </row>
    <row r="79" spans="18:23" x14ac:dyDescent="0.3">
      <c r="R79" s="28" t="s">
        <v>1077</v>
      </c>
      <c r="S79" s="28" t="str">
        <f>INDEX(TransactionTable[State],MATCH(R79,TransactionTable[Customer_ID],0))</f>
        <v>FCT Abuja</v>
      </c>
      <c r="T79" s="28" t="str">
        <f>INDEX(TransactionTable[Account_Type],MATCH(R79,TransactionTable[Customer_ID],0))</f>
        <v>Current</v>
      </c>
      <c r="U79" s="16">
        <f>SUMIFS(TransactionTable[Amount],TransactionTable[Customer_ID],R79)</f>
        <v>10069.679999999998</v>
      </c>
      <c r="V79" s="14">
        <f>COUNTIF(TransactionTable[Customer_ID],R79)</f>
        <v>5</v>
      </c>
      <c r="W79" s="29">
        <f t="shared" si="6"/>
        <v>10069.680007899999</v>
      </c>
    </row>
    <row r="80" spans="18:23" x14ac:dyDescent="0.3">
      <c r="R80" s="28" t="s">
        <v>192</v>
      </c>
      <c r="S80" s="28" t="str">
        <f>INDEX(TransactionTable[State],MATCH(R80,TransactionTable[Customer_ID],0))</f>
        <v>FCT Abuja</v>
      </c>
      <c r="T80" s="28" t="str">
        <f>INDEX(TransactionTable[Account_Type],MATCH(R80,TransactionTable[Customer_ID],0))</f>
        <v>Current</v>
      </c>
      <c r="U80" s="16">
        <f>SUMIFS(TransactionTable[Amount],TransactionTable[Customer_ID],R80)</f>
        <v>113303.73</v>
      </c>
      <c r="V80" s="14">
        <f>COUNTIF(TransactionTable[Customer_ID],R80)</f>
        <v>9</v>
      </c>
      <c r="W80" s="29">
        <f t="shared" si="6"/>
        <v>113303.730008</v>
      </c>
    </row>
    <row r="81" spans="18:23" x14ac:dyDescent="0.3">
      <c r="R81" s="28" t="s">
        <v>395</v>
      </c>
      <c r="S81" s="28" t="str">
        <f>INDEX(TransactionTable[State],MATCH(R81,TransactionTable[Customer_ID],0))</f>
        <v>Kano</v>
      </c>
      <c r="T81" s="28" t="str">
        <f>INDEX(TransactionTable[Account_Type],MATCH(R81,TransactionTable[Customer_ID],0))</f>
        <v>Savings</v>
      </c>
      <c r="U81" s="16">
        <f>SUMIFS(TransactionTable[Amount],TransactionTable[Customer_ID],R81)</f>
        <v>34883.5</v>
      </c>
      <c r="V81" s="14">
        <f>COUNTIF(TransactionTable[Customer_ID],R81)</f>
        <v>3</v>
      </c>
      <c r="W81" s="29">
        <f t="shared" si="6"/>
        <v>34883.500008100003</v>
      </c>
    </row>
    <row r="82" spans="18:23" x14ac:dyDescent="0.3">
      <c r="R82" s="28" t="s">
        <v>489</v>
      </c>
      <c r="S82" s="28" t="str">
        <f>INDEX(TransactionTable[State],MATCH(R82,TransactionTable[Customer_ID],0))</f>
        <v>Edo</v>
      </c>
      <c r="T82" s="28" t="str">
        <f>INDEX(TransactionTable[Account_Type],MATCH(R82,TransactionTable[Customer_ID],0))</f>
        <v>Savings</v>
      </c>
      <c r="U82" s="16">
        <f>SUMIFS(TransactionTable[Amount],TransactionTable[Customer_ID],R82)</f>
        <v>140593.85999999999</v>
      </c>
      <c r="V82" s="14">
        <f>COUNTIF(TransactionTable[Customer_ID],R82)</f>
        <v>12</v>
      </c>
      <c r="W82" s="29">
        <f t="shared" si="6"/>
        <v>140593.86000819999</v>
      </c>
    </row>
    <row r="83" spans="18:23" x14ac:dyDescent="0.3">
      <c r="R83" s="28" t="s">
        <v>64</v>
      </c>
      <c r="S83" s="28" t="str">
        <f>INDEX(TransactionTable[State],MATCH(R83,TransactionTable[Customer_ID],0))</f>
        <v>Oyo</v>
      </c>
      <c r="T83" s="28" t="str">
        <f>INDEX(TransactionTable[Account_Type],MATCH(R83,TransactionTable[Customer_ID],0))</f>
        <v>Tier 1 Wallet</v>
      </c>
      <c r="U83" s="16">
        <f>SUMIFS(TransactionTable[Amount],TransactionTable[Customer_ID],R83)</f>
        <v>66873.17</v>
      </c>
      <c r="V83" s="14">
        <f>COUNTIF(TransactionTable[Customer_ID],R83)</f>
        <v>6</v>
      </c>
      <c r="W83" s="29">
        <f t="shared" si="6"/>
        <v>66873.170008300003</v>
      </c>
    </row>
    <row r="84" spans="18:23" x14ac:dyDescent="0.3">
      <c r="R84" s="28" t="s">
        <v>390</v>
      </c>
      <c r="S84" s="28" t="str">
        <f>INDEX(TransactionTable[State],MATCH(R84,TransactionTable[Customer_ID],0))</f>
        <v>Oyo</v>
      </c>
      <c r="T84" s="28" t="str">
        <f>INDEX(TransactionTable[Account_Type],MATCH(R84,TransactionTable[Customer_ID],0))</f>
        <v>Savings</v>
      </c>
      <c r="U84" s="16">
        <f>SUMIFS(TransactionTable[Amount],TransactionTable[Customer_ID],R84)</f>
        <v>74061.919999999998</v>
      </c>
      <c r="V84" s="14">
        <f>COUNTIF(TransactionTable[Customer_ID],R84)</f>
        <v>7</v>
      </c>
      <c r="W84" s="29">
        <f t="shared" si="6"/>
        <v>74061.920008400004</v>
      </c>
    </row>
    <row r="85" spans="18:23" x14ac:dyDescent="0.3">
      <c r="R85" s="28" t="s">
        <v>80</v>
      </c>
      <c r="S85" s="28" t="str">
        <f>INDEX(TransactionTable[State],MATCH(R85,TransactionTable[Customer_ID],0))</f>
        <v>FCT Abuja</v>
      </c>
      <c r="T85" s="28" t="str">
        <f>INDEX(TransactionTable[Account_Type],MATCH(R85,TransactionTable[Customer_ID],0))</f>
        <v>Savings</v>
      </c>
      <c r="U85" s="16">
        <f>SUMIFS(TransactionTable[Amount],TransactionTable[Customer_ID],R85)</f>
        <v>20411.159999999996</v>
      </c>
      <c r="V85" s="14">
        <f>COUNTIF(TransactionTable[Customer_ID],R85)</f>
        <v>5</v>
      </c>
      <c r="W85" s="29">
        <f t="shared" si="6"/>
        <v>20411.160008499995</v>
      </c>
    </row>
    <row r="86" spans="18:23" x14ac:dyDescent="0.3">
      <c r="R86" s="28" t="s">
        <v>724</v>
      </c>
      <c r="S86" s="28" t="str">
        <f>INDEX(TransactionTable[State],MATCH(R86,TransactionTable[Customer_ID],0))</f>
        <v>Oyo</v>
      </c>
      <c r="T86" s="28" t="str">
        <f>INDEX(TransactionTable[Account_Type],MATCH(R86,TransactionTable[Customer_ID],0))</f>
        <v>Savings</v>
      </c>
      <c r="U86" s="16">
        <f>SUMIFS(TransactionTable[Amount],TransactionTable[Customer_ID],R86)</f>
        <v>26475.119999999999</v>
      </c>
      <c r="V86" s="14">
        <f>COUNTIF(TransactionTable[Customer_ID],R86)</f>
        <v>4</v>
      </c>
      <c r="W86" s="29">
        <f t="shared" si="6"/>
        <v>26475.120008599999</v>
      </c>
    </row>
    <row r="87" spans="18:23" x14ac:dyDescent="0.3">
      <c r="R87" s="28" t="s">
        <v>1214</v>
      </c>
      <c r="S87" s="28" t="str">
        <f>INDEX(TransactionTable[State],MATCH(R87,TransactionTable[Customer_ID],0))</f>
        <v>Delta</v>
      </c>
      <c r="T87" s="28" t="str">
        <f>INDEX(TransactionTable[Account_Type],MATCH(R87,TransactionTable[Customer_ID],0))</f>
        <v>Tier 3 Verified</v>
      </c>
      <c r="U87" s="16">
        <f>SUMIFS(TransactionTable[Amount],TransactionTable[Customer_ID],R87)</f>
        <v>87672.93</v>
      </c>
      <c r="V87" s="14">
        <f>COUNTIF(TransactionTable[Customer_ID],R87)</f>
        <v>6</v>
      </c>
      <c r="W87" s="29">
        <f t="shared" si="6"/>
        <v>87672.930008699987</v>
      </c>
    </row>
    <row r="88" spans="18:23" x14ac:dyDescent="0.3">
      <c r="R88" s="28" t="s">
        <v>772</v>
      </c>
      <c r="S88" s="28" t="str">
        <f>INDEX(TransactionTable[State],MATCH(R88,TransactionTable[Customer_ID],0))</f>
        <v>Lagos</v>
      </c>
      <c r="T88" s="28" t="str">
        <f>INDEX(TransactionTable[Account_Type],MATCH(R88,TransactionTable[Customer_ID],0))</f>
        <v>Tier 3 Verified</v>
      </c>
      <c r="U88" s="16">
        <f>SUMIFS(TransactionTable[Amount],TransactionTable[Customer_ID],R88)</f>
        <v>161066.34999999998</v>
      </c>
      <c r="V88" s="14">
        <f>COUNTIF(TransactionTable[Customer_ID],R88)</f>
        <v>7</v>
      </c>
      <c r="W88" s="29">
        <f t="shared" si="6"/>
        <v>161066.35000879999</v>
      </c>
    </row>
    <row r="89" spans="18:23" x14ac:dyDescent="0.3">
      <c r="R89" s="28" t="s">
        <v>595</v>
      </c>
      <c r="S89" s="28" t="str">
        <f>INDEX(TransactionTable[State],MATCH(R89,TransactionTable[Customer_ID],0))</f>
        <v>Edo</v>
      </c>
      <c r="T89" s="28" t="str">
        <f>INDEX(TransactionTable[Account_Type],MATCH(R89,TransactionTable[Customer_ID],0))</f>
        <v>Tier 3 Verified</v>
      </c>
      <c r="U89" s="16">
        <f>SUMIFS(TransactionTable[Amount],TransactionTable[Customer_ID],R89)</f>
        <v>79959.3</v>
      </c>
      <c r="V89" s="14">
        <f>COUNTIF(TransactionTable[Customer_ID],R89)</f>
        <v>3</v>
      </c>
      <c r="W89" s="29">
        <f t="shared" si="6"/>
        <v>79959.300008899998</v>
      </c>
    </row>
    <row r="90" spans="18:23" x14ac:dyDescent="0.3">
      <c r="R90" s="28" t="s">
        <v>603</v>
      </c>
      <c r="S90" s="28" t="str">
        <f>INDEX(TransactionTable[State],MATCH(R90,TransactionTable[Customer_ID],0))</f>
        <v>Lagos</v>
      </c>
      <c r="T90" s="28" t="str">
        <f>INDEX(TransactionTable[Account_Type],MATCH(R90,TransactionTable[Customer_ID],0))</f>
        <v>Savings</v>
      </c>
      <c r="U90" s="16">
        <f>SUMIFS(TransactionTable[Amount],TransactionTable[Customer_ID],R90)</f>
        <v>99245.5</v>
      </c>
      <c r="V90" s="14">
        <f>COUNTIF(TransactionTable[Customer_ID],R90)</f>
        <v>8</v>
      </c>
      <c r="W90" s="29">
        <f t="shared" si="6"/>
        <v>99245.500008999996</v>
      </c>
    </row>
    <row r="91" spans="18:23" x14ac:dyDescent="0.3">
      <c r="R91" s="28" t="s">
        <v>327</v>
      </c>
      <c r="S91" s="28" t="str">
        <f>INDEX(TransactionTable[State],MATCH(R91,TransactionTable[Customer_ID],0))</f>
        <v>Lagos</v>
      </c>
      <c r="T91" s="28" t="str">
        <f>INDEX(TransactionTable[Account_Type],MATCH(R91,TransactionTable[Customer_ID],0))</f>
        <v>Savings</v>
      </c>
      <c r="U91" s="16">
        <f>SUMIFS(TransactionTable[Amount],TransactionTable[Customer_ID],R91)</f>
        <v>119874.34</v>
      </c>
      <c r="V91" s="14">
        <f>COUNTIF(TransactionTable[Customer_ID],R91)</f>
        <v>13</v>
      </c>
      <c r="W91" s="29">
        <f t="shared" si="6"/>
        <v>119874.34000909999</v>
      </c>
    </row>
    <row r="92" spans="18:23" x14ac:dyDescent="0.3">
      <c r="R92" s="28" t="s">
        <v>1424</v>
      </c>
      <c r="S92" s="28" t="str">
        <f>INDEX(TransactionTable[State],MATCH(R92,TransactionTable[Customer_ID],0))</f>
        <v>Delta</v>
      </c>
      <c r="T92" s="28" t="str">
        <f>INDEX(TransactionTable[Account_Type],MATCH(R92,TransactionTable[Customer_ID],0))</f>
        <v>Current</v>
      </c>
      <c r="U92" s="16">
        <f>SUMIFS(TransactionTable[Amount],TransactionTable[Customer_ID],R92)</f>
        <v>90209.419999999984</v>
      </c>
      <c r="V92" s="14">
        <f>COUNTIF(TransactionTable[Customer_ID],R92)</f>
        <v>7</v>
      </c>
      <c r="W92" s="29">
        <f t="shared" si="6"/>
        <v>90209.420009199981</v>
      </c>
    </row>
    <row r="93" spans="18:23" x14ac:dyDescent="0.3">
      <c r="R93" s="28" t="s">
        <v>958</v>
      </c>
      <c r="S93" s="28" t="str">
        <f>INDEX(TransactionTable[State],MATCH(R93,TransactionTable[Customer_ID],0))</f>
        <v>Lagos</v>
      </c>
      <c r="T93" s="28" t="str">
        <f>INDEX(TransactionTable[Account_Type],MATCH(R93,TransactionTable[Customer_ID],0))</f>
        <v>Current</v>
      </c>
      <c r="U93" s="16">
        <f>SUMIFS(TransactionTable[Amount],TransactionTable[Customer_ID],R93)</f>
        <v>40573.740000000005</v>
      </c>
      <c r="V93" s="14">
        <f>COUNTIF(TransactionTable[Customer_ID],R93)</f>
        <v>7</v>
      </c>
      <c r="W93" s="29">
        <f t="shared" si="6"/>
        <v>40573.740009300003</v>
      </c>
    </row>
    <row r="94" spans="18:23" x14ac:dyDescent="0.3">
      <c r="R94" s="28" t="s">
        <v>54</v>
      </c>
      <c r="S94" s="28" t="str">
        <f>INDEX(TransactionTable[State],MATCH(R94,TransactionTable[Customer_ID],0))</f>
        <v>Lagos</v>
      </c>
      <c r="T94" s="28" t="str">
        <f>INDEX(TransactionTable[Account_Type],MATCH(R94,TransactionTable[Customer_ID],0))</f>
        <v>Current</v>
      </c>
      <c r="U94" s="16">
        <f>SUMIFS(TransactionTable[Amount],TransactionTable[Customer_ID],R94)</f>
        <v>86006.85</v>
      </c>
      <c r="V94" s="14">
        <f>COUNTIF(TransactionTable[Customer_ID],R94)</f>
        <v>6</v>
      </c>
      <c r="W94" s="29">
        <f t="shared" si="6"/>
        <v>86006.850009400005</v>
      </c>
    </row>
    <row r="95" spans="18:23" x14ac:dyDescent="0.3">
      <c r="R95" s="28" t="s">
        <v>262</v>
      </c>
      <c r="S95" s="28" t="str">
        <f>INDEX(TransactionTable[State],MATCH(R95,TransactionTable[Customer_ID],0))</f>
        <v>FCT Abuja</v>
      </c>
      <c r="T95" s="28" t="str">
        <f>INDEX(TransactionTable[Account_Type],MATCH(R95,TransactionTable[Customer_ID],0))</f>
        <v>Current</v>
      </c>
      <c r="U95" s="16">
        <f>SUMIFS(TransactionTable[Amount],TransactionTable[Customer_ID],R95)</f>
        <v>65080.12000000001</v>
      </c>
      <c r="V95" s="14">
        <f>COUNTIF(TransactionTable[Customer_ID],R95)</f>
        <v>8</v>
      </c>
      <c r="W95" s="29">
        <f t="shared" si="6"/>
        <v>65080.120009500009</v>
      </c>
    </row>
    <row r="96" spans="18:23" x14ac:dyDescent="0.3">
      <c r="R96" s="28" t="s">
        <v>581</v>
      </c>
      <c r="S96" s="28" t="str">
        <f>INDEX(TransactionTable[State],MATCH(R96,TransactionTable[Customer_ID],0))</f>
        <v>Kano</v>
      </c>
      <c r="T96" s="28" t="str">
        <f>INDEX(TransactionTable[Account_Type],MATCH(R96,TransactionTable[Customer_ID],0))</f>
        <v>Savings</v>
      </c>
      <c r="U96" s="16">
        <f>SUMIFS(TransactionTable[Amount],TransactionTable[Customer_ID],R96)</f>
        <v>53070.09</v>
      </c>
      <c r="V96" s="14">
        <f>COUNTIF(TransactionTable[Customer_ID],R96)</f>
        <v>6</v>
      </c>
      <c r="W96" s="29">
        <f t="shared" si="6"/>
        <v>53070.090009599997</v>
      </c>
    </row>
    <row r="97" spans="18:23" x14ac:dyDescent="0.3">
      <c r="R97" s="28" t="s">
        <v>234</v>
      </c>
      <c r="S97" s="28" t="str">
        <f>INDEX(TransactionTable[State],MATCH(R97,TransactionTable[Customer_ID],0))</f>
        <v>Kaduna</v>
      </c>
      <c r="T97" s="28" t="str">
        <f>INDEX(TransactionTable[Account_Type],MATCH(R97,TransactionTable[Customer_ID],0))</f>
        <v>Tier 1 Wallet</v>
      </c>
      <c r="U97" s="16">
        <f>SUMIFS(TransactionTable[Amount],TransactionTable[Customer_ID],R97)</f>
        <v>57931.03</v>
      </c>
      <c r="V97" s="14">
        <f>COUNTIF(TransactionTable[Customer_ID],R97)</f>
        <v>3</v>
      </c>
      <c r="W97" s="29">
        <f t="shared" si="6"/>
        <v>57931.0300097</v>
      </c>
    </row>
    <row r="98" spans="18:23" x14ac:dyDescent="0.3">
      <c r="R98" s="28" t="s">
        <v>393</v>
      </c>
      <c r="S98" s="28" t="str">
        <f>INDEX(TransactionTable[State],MATCH(R98,TransactionTable[Customer_ID],0))</f>
        <v>Rivers</v>
      </c>
      <c r="T98" s="28" t="str">
        <f>INDEX(TransactionTable[Account_Type],MATCH(R98,TransactionTable[Customer_ID],0))</f>
        <v>Current</v>
      </c>
      <c r="U98" s="16">
        <f>SUMIFS(TransactionTable[Amount],TransactionTable[Customer_ID],R98)</f>
        <v>107578.79000000001</v>
      </c>
      <c r="V98" s="14">
        <f>COUNTIF(TransactionTable[Customer_ID],R98)</f>
        <v>9</v>
      </c>
      <c r="W98" s="29">
        <f t="shared" si="6"/>
        <v>107578.79000980001</v>
      </c>
    </row>
    <row r="99" spans="18:23" x14ac:dyDescent="0.3">
      <c r="R99" s="28" t="s">
        <v>564</v>
      </c>
      <c r="S99" s="28" t="str">
        <f>INDEX(TransactionTable[State],MATCH(R99,TransactionTable[Customer_ID],0))</f>
        <v>Oyo</v>
      </c>
      <c r="T99" s="28" t="str">
        <f>INDEX(TransactionTable[Account_Type],MATCH(R99,TransactionTable[Customer_ID],0))</f>
        <v>Tier 1 Wallet</v>
      </c>
      <c r="U99" s="16">
        <f>SUMIFS(TransactionTable[Amount],TransactionTable[Customer_ID],R99)</f>
        <v>118353.82000000002</v>
      </c>
      <c r="V99" s="14">
        <f>COUNTIF(TransactionTable[Customer_ID],R99)</f>
        <v>7</v>
      </c>
      <c r="W99" s="29">
        <f t="shared" si="6"/>
        <v>118353.82000990002</v>
      </c>
    </row>
    <row r="100" spans="18:23" x14ac:dyDescent="0.3">
      <c r="R100" s="28" t="s">
        <v>538</v>
      </c>
      <c r="S100" s="28" t="str">
        <f>INDEX(TransactionTable[State],MATCH(R100,TransactionTable[Customer_ID],0))</f>
        <v>Enugu</v>
      </c>
      <c r="T100" s="28" t="str">
        <f>INDEX(TransactionTable[Account_Type],MATCH(R100,TransactionTable[Customer_ID],0))</f>
        <v>Savings</v>
      </c>
      <c r="U100" s="16">
        <f>SUMIFS(TransactionTable[Amount],TransactionTable[Customer_ID],R100)</f>
        <v>140304.15</v>
      </c>
      <c r="V100" s="14">
        <f>COUNTIF(TransactionTable[Customer_ID],R100)</f>
        <v>7</v>
      </c>
      <c r="W100" s="29">
        <f t="shared" si="6"/>
        <v>140304.15000999998</v>
      </c>
    </row>
    <row r="101" spans="18:23" x14ac:dyDescent="0.3">
      <c r="R101" s="28" t="s">
        <v>176</v>
      </c>
      <c r="S101" s="28" t="str">
        <f>INDEX(TransactionTable[State],MATCH(R101,TransactionTable[Customer_ID],0))</f>
        <v>Lagos</v>
      </c>
      <c r="T101" s="28" t="str">
        <f>INDEX(TransactionTable[Account_Type],MATCH(R101,TransactionTable[Customer_ID],0))</f>
        <v>Current</v>
      </c>
      <c r="U101" s="16">
        <f>SUMIFS(TransactionTable[Amount],TransactionTable[Customer_ID],R101)</f>
        <v>197997.76</v>
      </c>
      <c r="V101" s="14">
        <f>COUNTIF(TransactionTable[Customer_ID],R101)</f>
        <v>11</v>
      </c>
      <c r="W101" s="29">
        <f t="shared" si="6"/>
        <v>197997.7600101</v>
      </c>
    </row>
    <row r="102" spans="18:23" x14ac:dyDescent="0.3">
      <c r="R102" s="28" t="s">
        <v>629</v>
      </c>
      <c r="S102" s="28" t="str">
        <f>INDEX(TransactionTable[State],MATCH(R102,TransactionTable[Customer_ID],0))</f>
        <v>Kano</v>
      </c>
      <c r="T102" s="28" t="str">
        <f>INDEX(TransactionTable[Account_Type],MATCH(R102,TransactionTable[Customer_ID],0))</f>
        <v>Current</v>
      </c>
      <c r="U102" s="16">
        <f>SUMIFS(TransactionTable[Amount],TransactionTable[Customer_ID],R102)</f>
        <v>78802.36</v>
      </c>
      <c r="V102" s="14">
        <f>COUNTIF(TransactionTable[Customer_ID],R102)</f>
        <v>6</v>
      </c>
      <c r="W102" s="29">
        <f t="shared" si="6"/>
        <v>78802.360010200005</v>
      </c>
    </row>
    <row r="103" spans="18:23" x14ac:dyDescent="0.3">
      <c r="R103" s="28" t="s">
        <v>250</v>
      </c>
      <c r="S103" s="28" t="str">
        <f>INDEX(TransactionTable[State],MATCH(R103,TransactionTable[Customer_ID],0))</f>
        <v>Oyo</v>
      </c>
      <c r="T103" s="28" t="str">
        <f>INDEX(TransactionTable[Account_Type],MATCH(R103,TransactionTable[Customer_ID],0))</f>
        <v>Savings</v>
      </c>
      <c r="U103" s="16">
        <f>SUMIFS(TransactionTable[Amount],TransactionTable[Customer_ID],R103)</f>
        <v>144210.32999999999</v>
      </c>
      <c r="V103" s="14">
        <f>COUNTIF(TransactionTable[Customer_ID],R103)</f>
        <v>7</v>
      </c>
      <c r="W103" s="29">
        <f t="shared" si="6"/>
        <v>144210.33001029998</v>
      </c>
    </row>
    <row r="104" spans="18:23" x14ac:dyDescent="0.3">
      <c r="R104" s="28" t="s">
        <v>354</v>
      </c>
      <c r="S104" s="28" t="str">
        <f>INDEX(TransactionTable[State],MATCH(R104,TransactionTable[Customer_ID],0))</f>
        <v>Ogun</v>
      </c>
      <c r="T104" s="28" t="str">
        <f>INDEX(TransactionTable[Account_Type],MATCH(R104,TransactionTable[Customer_ID],0))</f>
        <v>Savings</v>
      </c>
      <c r="U104" s="16">
        <f>SUMIFS(TransactionTable[Amount],TransactionTable[Customer_ID],R104)</f>
        <v>49783.950000000004</v>
      </c>
      <c r="V104" s="14">
        <f>COUNTIF(TransactionTable[Customer_ID],R104)</f>
        <v>5</v>
      </c>
      <c r="W104" s="29">
        <f t="shared" si="6"/>
        <v>49783.950010400004</v>
      </c>
    </row>
    <row r="105" spans="18:23" x14ac:dyDescent="0.3">
      <c r="R105" s="28" t="s">
        <v>408</v>
      </c>
      <c r="S105" s="28" t="str">
        <f>INDEX(TransactionTable[State],MATCH(R105,TransactionTable[Customer_ID],0))</f>
        <v>Rivers</v>
      </c>
      <c r="T105" s="28" t="str">
        <f>INDEX(TransactionTable[Account_Type],MATCH(R105,TransactionTable[Customer_ID],0))</f>
        <v>Tier 1 Wallet</v>
      </c>
      <c r="U105" s="16">
        <f>SUMIFS(TransactionTable[Amount],TransactionTable[Customer_ID],R105)</f>
        <v>50795.58</v>
      </c>
      <c r="V105" s="14">
        <f>COUNTIF(TransactionTable[Customer_ID],R105)</f>
        <v>4</v>
      </c>
      <c r="W105" s="29">
        <f t="shared" si="6"/>
        <v>50795.580010500002</v>
      </c>
    </row>
    <row r="106" spans="18:23" x14ac:dyDescent="0.3">
      <c r="R106" s="28" t="s">
        <v>372</v>
      </c>
      <c r="S106" s="28" t="str">
        <f>INDEX(TransactionTable[State],MATCH(R106,TransactionTable[Customer_ID],0))</f>
        <v>Oyo</v>
      </c>
      <c r="T106" s="28" t="str">
        <f>INDEX(TransactionTable[Account_Type],MATCH(R106,TransactionTable[Customer_ID],0))</f>
        <v>Savings</v>
      </c>
      <c r="U106" s="16">
        <f>SUMIFS(TransactionTable[Amount],TransactionTable[Customer_ID],R106)</f>
        <v>71176.59</v>
      </c>
      <c r="V106" s="14">
        <f>COUNTIF(TransactionTable[Customer_ID],R106)</f>
        <v>8</v>
      </c>
      <c r="W106" s="29">
        <f t="shared" si="6"/>
        <v>71176.59001059999</v>
      </c>
    </row>
    <row r="107" spans="18:23" x14ac:dyDescent="0.3">
      <c r="R107" s="28" t="s">
        <v>90</v>
      </c>
      <c r="S107" s="28" t="str">
        <f>INDEX(TransactionTable[State],MATCH(R107,TransactionTable[Customer_ID],0))</f>
        <v>Rivers</v>
      </c>
      <c r="T107" s="28" t="str">
        <f>INDEX(TransactionTable[Account_Type],MATCH(R107,TransactionTable[Customer_ID],0))</f>
        <v>Current</v>
      </c>
      <c r="U107" s="16">
        <f>SUMIFS(TransactionTable[Amount],TransactionTable[Customer_ID],R107)</f>
        <v>160584.57</v>
      </c>
      <c r="V107" s="14">
        <f>COUNTIF(TransactionTable[Customer_ID],R107)</f>
        <v>8</v>
      </c>
      <c r="W107" s="29">
        <f t="shared" si="6"/>
        <v>160584.5700107</v>
      </c>
    </row>
    <row r="108" spans="18:23" x14ac:dyDescent="0.3">
      <c r="R108" s="28" t="s">
        <v>461</v>
      </c>
      <c r="S108" s="28" t="str">
        <f>INDEX(TransactionTable[State],MATCH(R108,TransactionTable[Customer_ID],0))</f>
        <v>FCT Abuja</v>
      </c>
      <c r="T108" s="28" t="str">
        <f>INDEX(TransactionTable[Account_Type],MATCH(R108,TransactionTable[Customer_ID],0))</f>
        <v>Tier 3 Verified</v>
      </c>
      <c r="U108" s="16">
        <f>SUMIFS(TransactionTable[Amount],TransactionTable[Customer_ID],R108)</f>
        <v>175692.30000000005</v>
      </c>
      <c r="V108" s="14">
        <f>COUNTIF(TransactionTable[Customer_ID],R108)</f>
        <v>8</v>
      </c>
      <c r="W108" s="29">
        <f t="shared" si="6"/>
        <v>175692.30001080004</v>
      </c>
    </row>
    <row r="109" spans="18:23" x14ac:dyDescent="0.3">
      <c r="R109" s="28" t="s">
        <v>464</v>
      </c>
      <c r="S109" s="28" t="str">
        <f>INDEX(TransactionTable[State],MATCH(R109,TransactionTable[Customer_ID],0))</f>
        <v>Lagos</v>
      </c>
      <c r="T109" s="28" t="str">
        <f>INDEX(TransactionTable[Account_Type],MATCH(R109,TransactionTable[Customer_ID],0))</f>
        <v>Tier 1 Wallet</v>
      </c>
      <c r="U109" s="16">
        <f>SUMIFS(TransactionTable[Amount],TransactionTable[Customer_ID],R109)</f>
        <v>131390.29</v>
      </c>
      <c r="V109" s="14">
        <f>COUNTIF(TransactionTable[Customer_ID],R109)</f>
        <v>6</v>
      </c>
      <c r="W109" s="29">
        <f t="shared" si="6"/>
        <v>131390.2900109</v>
      </c>
    </row>
    <row r="110" spans="18:23" x14ac:dyDescent="0.3">
      <c r="R110" s="28" t="s">
        <v>939</v>
      </c>
      <c r="S110" s="28" t="str">
        <f>INDEX(TransactionTable[State],MATCH(R110,TransactionTable[Customer_ID],0))</f>
        <v>Kano</v>
      </c>
      <c r="T110" s="28" t="str">
        <f>INDEX(TransactionTable[Account_Type],MATCH(R110,TransactionTable[Customer_ID],0))</f>
        <v>Savings</v>
      </c>
      <c r="U110" s="16">
        <f>SUMIFS(TransactionTable[Amount],TransactionTable[Customer_ID],R110)</f>
        <v>74759.39</v>
      </c>
      <c r="V110" s="14">
        <f>COUNTIF(TransactionTable[Customer_ID],R110)</f>
        <v>10</v>
      </c>
      <c r="W110" s="29">
        <f t="shared" si="6"/>
        <v>74759.390010999996</v>
      </c>
    </row>
    <row r="111" spans="18:23" x14ac:dyDescent="0.3">
      <c r="R111" s="28" t="s">
        <v>219</v>
      </c>
      <c r="S111" s="28" t="str">
        <f>INDEX(TransactionTable[State],MATCH(R111,TransactionTable[Customer_ID],0))</f>
        <v>Edo</v>
      </c>
      <c r="T111" s="28" t="str">
        <f>INDEX(TransactionTable[Account_Type],MATCH(R111,TransactionTable[Customer_ID],0))</f>
        <v>Tier 1 Wallet</v>
      </c>
      <c r="U111" s="16">
        <f>SUMIFS(TransactionTable[Amount],TransactionTable[Customer_ID],R111)</f>
        <v>119106.20000000001</v>
      </c>
      <c r="V111" s="14">
        <f>COUNTIF(TransactionTable[Customer_ID],R111)</f>
        <v>6</v>
      </c>
      <c r="W111" s="29">
        <f t="shared" si="6"/>
        <v>119106.20001110001</v>
      </c>
    </row>
    <row r="112" spans="18:23" x14ac:dyDescent="0.3">
      <c r="R112" s="28" t="s">
        <v>1205</v>
      </c>
      <c r="S112" s="28" t="str">
        <f>INDEX(TransactionTable[State],MATCH(R112,TransactionTable[Customer_ID],0))</f>
        <v>Kano</v>
      </c>
      <c r="T112" s="28" t="str">
        <f>INDEX(TransactionTable[Account_Type],MATCH(R112,TransactionTable[Customer_ID],0))</f>
        <v>Savings</v>
      </c>
      <c r="U112" s="16">
        <f>SUMIFS(TransactionTable[Amount],TransactionTable[Customer_ID],R112)</f>
        <v>119226.14</v>
      </c>
      <c r="V112" s="14">
        <f>COUNTIF(TransactionTable[Customer_ID],R112)</f>
        <v>9</v>
      </c>
      <c r="W112" s="29">
        <f t="shared" si="6"/>
        <v>119226.1400112</v>
      </c>
    </row>
    <row r="113" spans="18:23" x14ac:dyDescent="0.3">
      <c r="R113" s="28" t="s">
        <v>264</v>
      </c>
      <c r="S113" s="28" t="str">
        <f>INDEX(TransactionTable[State],MATCH(R113,TransactionTable[Customer_ID],0))</f>
        <v>Lagos</v>
      </c>
      <c r="T113" s="28" t="str">
        <f>INDEX(TransactionTable[Account_Type],MATCH(R113,TransactionTable[Customer_ID],0))</f>
        <v>Current</v>
      </c>
      <c r="U113" s="16">
        <f>SUMIFS(TransactionTable[Amount],TransactionTable[Customer_ID],R113)</f>
        <v>25934.300000000003</v>
      </c>
      <c r="V113" s="14">
        <f>COUNTIF(TransactionTable[Customer_ID],R113)</f>
        <v>5</v>
      </c>
      <c r="W113" s="29">
        <f t="shared" si="6"/>
        <v>25934.300011300002</v>
      </c>
    </row>
    <row r="114" spans="18:23" x14ac:dyDescent="0.3">
      <c r="R114" s="28" t="s">
        <v>71</v>
      </c>
      <c r="S114" s="28" t="str">
        <f>INDEX(TransactionTable[State],MATCH(R114,TransactionTable[Customer_ID],0))</f>
        <v>FCT Abuja</v>
      </c>
      <c r="T114" s="28" t="str">
        <f>INDEX(TransactionTable[Account_Type],MATCH(R114,TransactionTable[Customer_ID],0))</f>
        <v>Savings</v>
      </c>
      <c r="U114" s="16">
        <f>SUMIFS(TransactionTable[Amount],TransactionTable[Customer_ID],R114)</f>
        <v>159233.98000000001</v>
      </c>
      <c r="V114" s="14">
        <f>COUNTIF(TransactionTable[Customer_ID],R114)</f>
        <v>10</v>
      </c>
      <c r="W114" s="29">
        <f t="shared" si="6"/>
        <v>159233.98001140001</v>
      </c>
    </row>
    <row r="115" spans="18:23" x14ac:dyDescent="0.3">
      <c r="R115" s="28" t="s">
        <v>311</v>
      </c>
      <c r="S115" s="28" t="str">
        <f>INDEX(TransactionTable[State],MATCH(R115,TransactionTable[Customer_ID],0))</f>
        <v>FCT Abuja</v>
      </c>
      <c r="T115" s="28" t="str">
        <f>INDEX(TransactionTable[Account_Type],MATCH(R115,TransactionTable[Customer_ID],0))</f>
        <v>Current</v>
      </c>
      <c r="U115" s="16">
        <f>SUMIFS(TransactionTable[Amount],TransactionTable[Customer_ID],R115)</f>
        <v>47386.909999999996</v>
      </c>
      <c r="V115" s="14">
        <f>COUNTIF(TransactionTable[Customer_ID],R115)</f>
        <v>9</v>
      </c>
      <c r="W115" s="29">
        <f t="shared" si="6"/>
        <v>47386.910011499996</v>
      </c>
    </row>
    <row r="116" spans="18:23" x14ac:dyDescent="0.3">
      <c r="R116" s="28" t="s">
        <v>954</v>
      </c>
      <c r="S116" s="28" t="str">
        <f>INDEX(TransactionTable[State],MATCH(R116,TransactionTable[Customer_ID],0))</f>
        <v>Kano</v>
      </c>
      <c r="T116" s="28" t="str">
        <f>INDEX(TransactionTable[Account_Type],MATCH(R116,TransactionTable[Customer_ID],0))</f>
        <v>Savings</v>
      </c>
      <c r="U116" s="16">
        <f>SUMIFS(TransactionTable[Amount],TransactionTable[Customer_ID],R116)</f>
        <v>162943.49</v>
      </c>
      <c r="V116" s="14">
        <f>COUNTIF(TransactionTable[Customer_ID],R116)</f>
        <v>5</v>
      </c>
      <c r="W116" s="29">
        <f t="shared" si="6"/>
        <v>162943.49001159999</v>
      </c>
    </row>
    <row r="117" spans="18:23" x14ac:dyDescent="0.3">
      <c r="R117" s="28" t="s">
        <v>527</v>
      </c>
      <c r="S117" s="28" t="str">
        <f>INDEX(TransactionTable[State],MATCH(R117,TransactionTable[Customer_ID],0))</f>
        <v>FCT Abuja</v>
      </c>
      <c r="T117" s="28" t="str">
        <f>INDEX(TransactionTable[Account_Type],MATCH(R117,TransactionTable[Customer_ID],0))</f>
        <v>Savings</v>
      </c>
      <c r="U117" s="16">
        <f>SUMIFS(TransactionTable[Amount],TransactionTable[Customer_ID],R117)</f>
        <v>111375.37000000001</v>
      </c>
      <c r="V117" s="14">
        <f>COUNTIF(TransactionTable[Customer_ID],R117)</f>
        <v>8</v>
      </c>
      <c r="W117" s="29">
        <f t="shared" si="6"/>
        <v>111375.37001170001</v>
      </c>
    </row>
    <row r="118" spans="18:23" x14ac:dyDescent="0.3">
      <c r="R118" s="28" t="s">
        <v>1191</v>
      </c>
      <c r="S118" s="28" t="str">
        <f>INDEX(TransactionTable[State],MATCH(R118,TransactionTable[Customer_ID],0))</f>
        <v>Lagos</v>
      </c>
      <c r="T118" s="28" t="str">
        <f>INDEX(TransactionTable[Account_Type],MATCH(R118,TransactionTable[Customer_ID],0))</f>
        <v>Savings</v>
      </c>
      <c r="U118" s="16">
        <f>SUMIFS(TransactionTable[Amount],TransactionTable[Customer_ID],R118)</f>
        <v>93749.289999999979</v>
      </c>
      <c r="V118" s="14">
        <f>COUNTIF(TransactionTable[Customer_ID],R118)</f>
        <v>9</v>
      </c>
      <c r="W118" s="29">
        <f t="shared" si="6"/>
        <v>93749.290011799982</v>
      </c>
    </row>
    <row r="119" spans="18:23" x14ac:dyDescent="0.3">
      <c r="R119" s="28" t="s">
        <v>144</v>
      </c>
      <c r="S119" s="28" t="str">
        <f>INDEX(TransactionTable[State],MATCH(R119,TransactionTable[Customer_ID],0))</f>
        <v>FCT Abuja</v>
      </c>
      <c r="T119" s="28" t="str">
        <f>INDEX(TransactionTable[Account_Type],MATCH(R119,TransactionTable[Customer_ID],0))</f>
        <v>Savings</v>
      </c>
      <c r="U119" s="16">
        <f>SUMIFS(TransactionTable[Amount],TransactionTable[Customer_ID],R119)</f>
        <v>21191.46</v>
      </c>
      <c r="V119" s="14">
        <f>COUNTIF(TransactionTable[Customer_ID],R119)</f>
        <v>6</v>
      </c>
      <c r="W119" s="29">
        <f t="shared" si="6"/>
        <v>21191.460011899999</v>
      </c>
    </row>
    <row r="120" spans="18:23" x14ac:dyDescent="0.3">
      <c r="R120" s="28" t="s">
        <v>649</v>
      </c>
      <c r="S120" s="28" t="str">
        <f>INDEX(TransactionTable[State],MATCH(R120,TransactionTable[Customer_ID],0))</f>
        <v>Rivers</v>
      </c>
      <c r="T120" s="28" t="str">
        <f>INDEX(TransactionTable[Account_Type],MATCH(R120,TransactionTable[Customer_ID],0))</f>
        <v>Savings</v>
      </c>
      <c r="U120" s="16">
        <f>SUMIFS(TransactionTable[Amount],TransactionTable[Customer_ID],R120)</f>
        <v>65276.92</v>
      </c>
      <c r="V120" s="14">
        <f>COUNTIF(TransactionTable[Customer_ID],R120)</f>
        <v>4</v>
      </c>
      <c r="W120" s="29">
        <f t="shared" si="6"/>
        <v>65276.920011999995</v>
      </c>
    </row>
    <row r="121" spans="18:23" x14ac:dyDescent="0.3">
      <c r="R121" s="28" t="s">
        <v>188</v>
      </c>
      <c r="S121" s="28" t="str">
        <f>INDEX(TransactionTable[State],MATCH(R121,TransactionTable[Customer_ID],0))</f>
        <v>Kano</v>
      </c>
      <c r="T121" s="28" t="str">
        <f>INDEX(TransactionTable[Account_Type],MATCH(R121,TransactionTable[Customer_ID],0))</f>
        <v>Savings</v>
      </c>
      <c r="U121" s="16">
        <f>SUMIFS(TransactionTable[Amount],TransactionTable[Customer_ID],R121)</f>
        <v>15650.14</v>
      </c>
      <c r="V121" s="14">
        <f>COUNTIF(TransactionTable[Customer_ID],R121)</f>
        <v>5</v>
      </c>
      <c r="W121" s="29">
        <f t="shared" si="6"/>
        <v>15650.140012099999</v>
      </c>
    </row>
    <row r="122" spans="18:23" x14ac:dyDescent="0.3">
      <c r="R122" s="28" t="s">
        <v>291</v>
      </c>
      <c r="S122" s="28" t="str">
        <f>INDEX(TransactionTable[State],MATCH(R122,TransactionTable[Customer_ID],0))</f>
        <v>Oyo</v>
      </c>
      <c r="T122" s="28" t="str">
        <f>INDEX(TransactionTable[Account_Type],MATCH(R122,TransactionTable[Customer_ID],0))</f>
        <v>Savings</v>
      </c>
      <c r="U122" s="16">
        <f>SUMIFS(TransactionTable[Amount],TransactionTable[Customer_ID],R122)</f>
        <v>263967.93000000005</v>
      </c>
      <c r="V122" s="14">
        <f>COUNTIF(TransactionTable[Customer_ID],R122)</f>
        <v>7</v>
      </c>
      <c r="W122" s="29">
        <f t="shared" si="6"/>
        <v>263967.93001220003</v>
      </c>
    </row>
    <row r="123" spans="18:23" x14ac:dyDescent="0.3">
      <c r="R123" s="28" t="s">
        <v>1430</v>
      </c>
      <c r="S123" s="28" t="str">
        <f>INDEX(TransactionTable[State],MATCH(R123,TransactionTable[Customer_ID],0))</f>
        <v>Oyo</v>
      </c>
      <c r="T123" s="28" t="str">
        <f>INDEX(TransactionTable[Account_Type],MATCH(R123,TransactionTable[Customer_ID],0))</f>
        <v>Current</v>
      </c>
      <c r="U123" s="16">
        <f>SUMIFS(TransactionTable[Amount],TransactionTable[Customer_ID],R123)</f>
        <v>79746.77</v>
      </c>
      <c r="V123" s="14">
        <f>COUNTIF(TransactionTable[Customer_ID],R123)</f>
        <v>6</v>
      </c>
      <c r="W123" s="29">
        <f t="shared" si="6"/>
        <v>79746.77001230001</v>
      </c>
    </row>
    <row r="124" spans="18:23" x14ac:dyDescent="0.3">
      <c r="R124" s="28" t="s">
        <v>301</v>
      </c>
      <c r="S124" s="28" t="str">
        <f>INDEX(TransactionTable[State],MATCH(R124,TransactionTable[Customer_ID],0))</f>
        <v>FCT Abuja</v>
      </c>
      <c r="T124" s="28" t="str">
        <f>INDEX(TransactionTable[Account_Type],MATCH(R124,TransactionTable[Customer_ID],0))</f>
        <v>Savings</v>
      </c>
      <c r="U124" s="16">
        <f>SUMIFS(TransactionTable[Amount],TransactionTable[Customer_ID],R124)</f>
        <v>164917.96999999997</v>
      </c>
      <c r="V124" s="14">
        <f>COUNTIF(TransactionTable[Customer_ID],R124)</f>
        <v>7</v>
      </c>
      <c r="W124" s="29">
        <f t="shared" si="6"/>
        <v>164917.97001239998</v>
      </c>
    </row>
    <row r="125" spans="18:23" x14ac:dyDescent="0.3">
      <c r="R125" s="28" t="s">
        <v>560</v>
      </c>
      <c r="S125" s="28" t="str">
        <f>INDEX(TransactionTable[State],MATCH(R125,TransactionTable[Customer_ID],0))</f>
        <v>Oyo</v>
      </c>
      <c r="T125" s="28" t="str">
        <f>INDEX(TransactionTable[Account_Type],MATCH(R125,TransactionTable[Customer_ID],0))</f>
        <v>Savings</v>
      </c>
      <c r="U125" s="16">
        <f>SUMIFS(TransactionTable[Amount],TransactionTable[Customer_ID],R125)</f>
        <v>18191.77</v>
      </c>
      <c r="V125" s="14">
        <f>COUNTIF(TransactionTable[Customer_ID],R125)</f>
        <v>6</v>
      </c>
      <c r="W125" s="29">
        <f t="shared" si="6"/>
        <v>18191.770012500001</v>
      </c>
    </row>
    <row r="126" spans="18:23" x14ac:dyDescent="0.3">
      <c r="R126" s="28" t="s">
        <v>917</v>
      </c>
      <c r="S126" s="28" t="str">
        <f>INDEX(TransactionTable[State],MATCH(R126,TransactionTable[Customer_ID],0))</f>
        <v>Delta</v>
      </c>
      <c r="T126" s="28" t="str">
        <f>INDEX(TransactionTable[Account_Type],MATCH(R126,TransactionTable[Customer_ID],0))</f>
        <v>Current</v>
      </c>
      <c r="U126" s="16">
        <f>SUMIFS(TransactionTable[Amount],TransactionTable[Customer_ID],R126)</f>
        <v>17793.03</v>
      </c>
      <c r="V126" s="14">
        <f>COUNTIF(TransactionTable[Customer_ID],R126)</f>
        <v>6</v>
      </c>
      <c r="W126" s="29">
        <f t="shared" si="6"/>
        <v>17793.0300126</v>
      </c>
    </row>
    <row r="127" spans="18:23" x14ac:dyDescent="0.3">
      <c r="R127" s="28" t="s">
        <v>384</v>
      </c>
      <c r="S127" s="28" t="str">
        <f>INDEX(TransactionTable[State],MATCH(R127,TransactionTable[Customer_ID],0))</f>
        <v>Oyo</v>
      </c>
      <c r="T127" s="28" t="str">
        <f>INDEX(TransactionTable[Account_Type],MATCH(R127,TransactionTable[Customer_ID],0))</f>
        <v>Savings</v>
      </c>
      <c r="U127" s="16">
        <f>SUMIFS(TransactionTable[Amount],TransactionTable[Customer_ID],R127)</f>
        <v>38499.56</v>
      </c>
      <c r="V127" s="14">
        <f>COUNTIF(TransactionTable[Customer_ID],R127)</f>
        <v>6</v>
      </c>
      <c r="W127" s="29">
        <f t="shared" si="6"/>
        <v>38499.5600127</v>
      </c>
    </row>
    <row r="128" spans="18:23" x14ac:dyDescent="0.3">
      <c r="R128" s="28" t="s">
        <v>94</v>
      </c>
      <c r="S128" s="28" t="str">
        <f>INDEX(TransactionTable[State],MATCH(R128,TransactionTable[Customer_ID],0))</f>
        <v>Delta</v>
      </c>
      <c r="T128" s="28" t="str">
        <f>INDEX(TransactionTable[Account_Type],MATCH(R128,TransactionTable[Customer_ID],0))</f>
        <v>Savings</v>
      </c>
      <c r="U128" s="16">
        <f>SUMIFS(TransactionTable[Amount],TransactionTable[Customer_ID],R128)</f>
        <v>69124.11</v>
      </c>
      <c r="V128" s="14">
        <f>COUNTIF(TransactionTable[Customer_ID],R128)</f>
        <v>8</v>
      </c>
      <c r="W128" s="29">
        <f t="shared" si="6"/>
        <v>69124.110012799996</v>
      </c>
    </row>
    <row r="129" spans="18:23" x14ac:dyDescent="0.3">
      <c r="R129" s="28" t="s">
        <v>148</v>
      </c>
      <c r="S129" s="28" t="str">
        <f>INDEX(TransactionTable[State],MATCH(R129,TransactionTable[Customer_ID],0))</f>
        <v>Enugu</v>
      </c>
      <c r="T129" s="28" t="str">
        <f>INDEX(TransactionTable[Account_Type],MATCH(R129,TransactionTable[Customer_ID],0))</f>
        <v>Savings</v>
      </c>
      <c r="U129" s="16">
        <f>SUMIFS(TransactionTable[Amount],TransactionTable[Customer_ID],R129)</f>
        <v>127870.28</v>
      </c>
      <c r="V129" s="14">
        <f>COUNTIF(TransactionTable[Customer_ID],R129)</f>
        <v>8</v>
      </c>
      <c r="W129" s="29">
        <f t="shared" si="6"/>
        <v>127870.2800129</v>
      </c>
    </row>
    <row r="130" spans="18:23" x14ac:dyDescent="0.3">
      <c r="R130" s="28" t="s">
        <v>718</v>
      </c>
      <c r="S130" s="28" t="str">
        <f>INDEX(TransactionTable[State],MATCH(R130,TransactionTable[Customer_ID],0))</f>
        <v>Lagos</v>
      </c>
      <c r="T130" s="28" t="str">
        <f>INDEX(TransactionTable[Account_Type],MATCH(R130,TransactionTable[Customer_ID],0))</f>
        <v>Savings</v>
      </c>
      <c r="U130" s="16">
        <f>SUMIFS(TransactionTable[Amount],TransactionTable[Customer_ID],R130)</f>
        <v>49516.929999999993</v>
      </c>
      <c r="V130" s="14">
        <f>COUNTIF(TransactionTable[Customer_ID],R130)</f>
        <v>4</v>
      </c>
      <c r="W130" s="29">
        <f t="shared" si="6"/>
        <v>49516.93001299999</v>
      </c>
    </row>
    <row r="131" spans="18:23" x14ac:dyDescent="0.3">
      <c r="R131" s="28" t="s">
        <v>146</v>
      </c>
      <c r="S131" s="28" t="str">
        <f>INDEX(TransactionTable[State],MATCH(R131,TransactionTable[Customer_ID],0))</f>
        <v>FCT Abuja</v>
      </c>
      <c r="T131" s="28" t="str">
        <f>INDEX(TransactionTable[Account_Type],MATCH(R131,TransactionTable[Customer_ID],0))</f>
        <v>Savings</v>
      </c>
      <c r="U131" s="16">
        <f>SUMIFS(TransactionTable[Amount],TransactionTable[Customer_ID],R131)</f>
        <v>136159.40999999997</v>
      </c>
      <c r="V131" s="14">
        <f>COUNTIF(TransactionTable[Customer_ID],R131)</f>
        <v>11</v>
      </c>
      <c r="W131" s="29">
        <f t="shared" si="6"/>
        <v>136159.41001309999</v>
      </c>
    </row>
    <row r="132" spans="18:23" x14ac:dyDescent="0.3">
      <c r="R132" s="28" t="s">
        <v>211</v>
      </c>
      <c r="S132" s="28" t="str">
        <f>INDEX(TransactionTable[State],MATCH(R132,TransactionTable[Customer_ID],0))</f>
        <v>Ogun</v>
      </c>
      <c r="T132" s="28" t="str">
        <f>INDEX(TransactionTable[Account_Type],MATCH(R132,TransactionTable[Customer_ID],0))</f>
        <v>Savings</v>
      </c>
      <c r="U132" s="16">
        <f>SUMIFS(TransactionTable[Amount],TransactionTable[Customer_ID],R132)</f>
        <v>194784.27</v>
      </c>
      <c r="V132" s="14">
        <f>COUNTIF(TransactionTable[Customer_ID],R132)</f>
        <v>7</v>
      </c>
      <c r="W132" s="29">
        <f t="shared" si="6"/>
        <v>194784.2700132</v>
      </c>
    </row>
    <row r="133" spans="18:23" x14ac:dyDescent="0.3">
      <c r="R133" s="28" t="s">
        <v>117</v>
      </c>
      <c r="S133" s="28" t="str">
        <f>INDEX(TransactionTable[State],MATCH(R133,TransactionTable[Customer_ID],0))</f>
        <v>Lagos</v>
      </c>
      <c r="T133" s="28" t="str">
        <f>INDEX(TransactionTable[Account_Type],MATCH(R133,TransactionTable[Customer_ID],0))</f>
        <v>Savings</v>
      </c>
      <c r="U133" s="16">
        <f>SUMIFS(TransactionTable[Amount],TransactionTable[Customer_ID],R133)</f>
        <v>114773.3</v>
      </c>
      <c r="V133" s="14">
        <f>COUNTIF(TransactionTable[Customer_ID],R133)</f>
        <v>11</v>
      </c>
      <c r="W133" s="29">
        <f t="shared" si="6"/>
        <v>114773.3000133</v>
      </c>
    </row>
    <row r="134" spans="18:23" x14ac:dyDescent="0.3">
      <c r="R134" s="28" t="s">
        <v>722</v>
      </c>
      <c r="S134" s="28" t="str">
        <f>INDEX(TransactionTable[State],MATCH(R134,TransactionTable[Customer_ID],0))</f>
        <v>Oyo</v>
      </c>
      <c r="T134" s="28" t="str">
        <f>INDEX(TransactionTable[Account_Type],MATCH(R134,TransactionTable[Customer_ID],0))</f>
        <v>Tier 1 Wallet</v>
      </c>
      <c r="U134" s="16">
        <f>SUMIFS(TransactionTable[Amount],TransactionTable[Customer_ID],R134)</f>
        <v>90426.03</v>
      </c>
      <c r="V134" s="14">
        <f>COUNTIF(TransactionTable[Customer_ID],R134)</f>
        <v>6</v>
      </c>
      <c r="W134" s="29">
        <f t="shared" si="6"/>
        <v>90426.030013399999</v>
      </c>
    </row>
    <row r="135" spans="18:23" x14ac:dyDescent="0.3">
      <c r="R135" s="28" t="s">
        <v>980</v>
      </c>
      <c r="S135" s="28" t="str">
        <f>INDEX(TransactionTable[State],MATCH(R135,TransactionTable[Customer_ID],0))</f>
        <v>Kaduna</v>
      </c>
      <c r="T135" s="28" t="str">
        <f>INDEX(TransactionTable[Account_Type],MATCH(R135,TransactionTable[Customer_ID],0))</f>
        <v>Savings</v>
      </c>
      <c r="U135" s="16">
        <f>SUMIFS(TransactionTable[Amount],TransactionTable[Customer_ID],R135)</f>
        <v>22146.829999999998</v>
      </c>
      <c r="V135" s="14">
        <f>COUNTIF(TransactionTable[Customer_ID],R135)</f>
        <v>6</v>
      </c>
      <c r="W135" s="29">
        <f t="shared" ref="W135:W198" si="7">U135+ROW()/10^7</f>
        <v>22146.830013499999</v>
      </c>
    </row>
    <row r="136" spans="18:23" x14ac:dyDescent="0.3">
      <c r="R136" s="28" t="s">
        <v>500</v>
      </c>
      <c r="S136" s="28" t="str">
        <f>INDEX(TransactionTable[State],MATCH(R136,TransactionTable[Customer_ID],0))</f>
        <v>FCT Abuja</v>
      </c>
      <c r="T136" s="28" t="str">
        <f>INDEX(TransactionTable[Account_Type],MATCH(R136,TransactionTable[Customer_ID],0))</f>
        <v>Tier 1 Wallet</v>
      </c>
      <c r="U136" s="16">
        <f>SUMIFS(TransactionTable[Amount],TransactionTable[Customer_ID],R136)</f>
        <v>43969.33</v>
      </c>
      <c r="V136" s="14">
        <f>COUNTIF(TransactionTable[Customer_ID],R136)</f>
        <v>6</v>
      </c>
      <c r="W136" s="29">
        <f t="shared" si="7"/>
        <v>43969.330013600003</v>
      </c>
    </row>
    <row r="137" spans="18:23" x14ac:dyDescent="0.3">
      <c r="R137" s="28" t="s">
        <v>969</v>
      </c>
      <c r="S137" s="28" t="str">
        <f>INDEX(TransactionTable[State],MATCH(R137,TransactionTable[Customer_ID],0))</f>
        <v>Kano</v>
      </c>
      <c r="T137" s="28" t="str">
        <f>INDEX(TransactionTable[Account_Type],MATCH(R137,TransactionTable[Customer_ID],0))</f>
        <v>Savings</v>
      </c>
      <c r="U137" s="16">
        <f>SUMIFS(TransactionTable[Amount],TransactionTable[Customer_ID],R137)</f>
        <v>121859.92000000001</v>
      </c>
      <c r="V137" s="14">
        <f>COUNTIF(TransactionTable[Customer_ID],R137)</f>
        <v>7</v>
      </c>
      <c r="W137" s="29">
        <f t="shared" si="7"/>
        <v>121859.92001370002</v>
      </c>
    </row>
    <row r="138" spans="18:23" x14ac:dyDescent="0.3">
      <c r="R138" s="28" t="s">
        <v>662</v>
      </c>
      <c r="S138" s="28" t="str">
        <f>INDEX(TransactionTable[State],MATCH(R138,TransactionTable[Customer_ID],0))</f>
        <v>Lagos</v>
      </c>
      <c r="T138" s="28" t="str">
        <f>INDEX(TransactionTable[Account_Type],MATCH(R138,TransactionTable[Customer_ID],0))</f>
        <v>Tier 3 Verified</v>
      </c>
      <c r="U138" s="16">
        <f>SUMIFS(TransactionTable[Amount],TransactionTable[Customer_ID],R138)</f>
        <v>56136.01</v>
      </c>
      <c r="V138" s="14">
        <f>COUNTIF(TransactionTable[Customer_ID],R138)</f>
        <v>11</v>
      </c>
      <c r="W138" s="29">
        <f t="shared" si="7"/>
        <v>56136.010013800005</v>
      </c>
    </row>
    <row r="139" spans="18:23" x14ac:dyDescent="0.3">
      <c r="R139" s="28" t="s">
        <v>140</v>
      </c>
      <c r="S139" s="28" t="str">
        <f>INDEX(TransactionTable[State],MATCH(R139,TransactionTable[Customer_ID],0))</f>
        <v>Kano</v>
      </c>
      <c r="T139" s="28" t="str">
        <f>INDEX(TransactionTable[Account_Type],MATCH(R139,TransactionTable[Customer_ID],0))</f>
        <v>Tier 1 Wallet</v>
      </c>
      <c r="U139" s="16">
        <f>SUMIFS(TransactionTable[Amount],TransactionTable[Customer_ID],R139)</f>
        <v>111260.13</v>
      </c>
      <c r="V139" s="14">
        <f>COUNTIF(TransactionTable[Customer_ID],R139)</f>
        <v>9</v>
      </c>
      <c r="W139" s="29">
        <f t="shared" si="7"/>
        <v>111260.13001390001</v>
      </c>
    </row>
    <row r="140" spans="18:23" x14ac:dyDescent="0.3">
      <c r="R140" s="28" t="s">
        <v>449</v>
      </c>
      <c r="S140" s="28" t="str">
        <f>INDEX(TransactionTable[State],MATCH(R140,TransactionTable[Customer_ID],0))</f>
        <v>Lagos</v>
      </c>
      <c r="T140" s="28" t="str">
        <f>INDEX(TransactionTable[Account_Type],MATCH(R140,TransactionTable[Customer_ID],0))</f>
        <v>Tier 3 Verified</v>
      </c>
      <c r="U140" s="16">
        <f>SUMIFS(TransactionTable[Amount],TransactionTable[Customer_ID],R140)</f>
        <v>197603.44000000003</v>
      </c>
      <c r="V140" s="14">
        <f>COUNTIF(TransactionTable[Customer_ID],R140)</f>
        <v>14</v>
      </c>
      <c r="W140" s="29">
        <f t="shared" si="7"/>
        <v>197603.44001400002</v>
      </c>
    </row>
    <row r="141" spans="18:23" x14ac:dyDescent="0.3">
      <c r="R141" s="28" t="s">
        <v>446</v>
      </c>
      <c r="S141" s="28" t="str">
        <f>INDEX(TransactionTable[State],MATCH(R141,TransactionTable[Customer_ID],0))</f>
        <v>Ogun</v>
      </c>
      <c r="T141" s="28" t="str">
        <f>INDEX(TransactionTable[Account_Type],MATCH(R141,TransactionTable[Customer_ID],0))</f>
        <v>Savings</v>
      </c>
      <c r="U141" s="16">
        <f>SUMIFS(TransactionTable[Amount],TransactionTable[Customer_ID],R141)</f>
        <v>238980.54000000004</v>
      </c>
      <c r="V141" s="14">
        <f>COUNTIF(TransactionTable[Customer_ID],R141)</f>
        <v>7</v>
      </c>
      <c r="W141" s="29">
        <f t="shared" si="7"/>
        <v>238980.54001410003</v>
      </c>
    </row>
    <row r="142" spans="18:23" x14ac:dyDescent="0.3">
      <c r="R142" s="28" t="s">
        <v>352</v>
      </c>
      <c r="S142" s="28" t="str">
        <f>INDEX(TransactionTable[State],MATCH(R142,TransactionTable[Customer_ID],0))</f>
        <v>Kano</v>
      </c>
      <c r="T142" s="28" t="str">
        <f>INDEX(TransactionTable[Account_Type],MATCH(R142,TransactionTable[Customer_ID],0))</f>
        <v>Savings</v>
      </c>
      <c r="U142" s="16">
        <f>SUMIFS(TransactionTable[Amount],TransactionTable[Customer_ID],R142)</f>
        <v>88836.07</v>
      </c>
      <c r="V142" s="14">
        <f>COUNTIF(TransactionTable[Customer_ID],R142)</f>
        <v>8</v>
      </c>
      <c r="W142" s="29">
        <f t="shared" si="7"/>
        <v>88836.070014200013</v>
      </c>
    </row>
    <row r="143" spans="18:23" x14ac:dyDescent="0.3">
      <c r="R143" s="28" t="s">
        <v>368</v>
      </c>
      <c r="S143" s="28" t="str">
        <f>INDEX(TransactionTable[State],MATCH(R143,TransactionTable[Customer_ID],0))</f>
        <v>Lagos</v>
      </c>
      <c r="T143" s="28" t="str">
        <f>INDEX(TransactionTable[Account_Type],MATCH(R143,TransactionTable[Customer_ID],0))</f>
        <v>Savings</v>
      </c>
      <c r="U143" s="16">
        <f>SUMIFS(TransactionTable[Amount],TransactionTable[Customer_ID],R143)</f>
        <v>193167.46999999997</v>
      </c>
      <c r="V143" s="14">
        <f>COUNTIF(TransactionTable[Customer_ID],R143)</f>
        <v>9</v>
      </c>
      <c r="W143" s="29">
        <f t="shared" si="7"/>
        <v>193167.47001429996</v>
      </c>
    </row>
    <row r="144" spans="18:23" x14ac:dyDescent="0.3">
      <c r="R144" s="28" t="s">
        <v>346</v>
      </c>
      <c r="S144" s="28" t="str">
        <f>INDEX(TransactionTable[State],MATCH(R144,TransactionTable[Customer_ID],0))</f>
        <v>Delta</v>
      </c>
      <c r="T144" s="28" t="str">
        <f>INDEX(TransactionTable[Account_Type],MATCH(R144,TransactionTable[Customer_ID],0))</f>
        <v>Current</v>
      </c>
      <c r="U144" s="16">
        <f>SUMIFS(TransactionTable[Amount],TransactionTable[Customer_ID],R144)</f>
        <v>134143.29999999999</v>
      </c>
      <c r="V144" s="14">
        <f>COUNTIF(TransactionTable[Customer_ID],R144)</f>
        <v>7</v>
      </c>
      <c r="W144" s="29">
        <f t="shared" si="7"/>
        <v>134143.30001439998</v>
      </c>
    </row>
    <row r="145" spans="18:23" x14ac:dyDescent="0.3">
      <c r="R145" s="28" t="s">
        <v>260</v>
      </c>
      <c r="S145" s="28" t="str">
        <f>INDEX(TransactionTable[State],MATCH(R145,TransactionTable[Customer_ID],0))</f>
        <v>Kano</v>
      </c>
      <c r="T145" s="28" t="str">
        <f>INDEX(TransactionTable[Account_Type],MATCH(R145,TransactionTable[Customer_ID],0))</f>
        <v>Savings</v>
      </c>
      <c r="U145" s="16">
        <f>SUMIFS(TransactionTable[Amount],TransactionTable[Customer_ID],R145)</f>
        <v>144462.02999999997</v>
      </c>
      <c r="V145" s="14">
        <f>COUNTIF(TransactionTable[Customer_ID],R145)</f>
        <v>5</v>
      </c>
      <c r="W145" s="29">
        <f t="shared" si="7"/>
        <v>144462.03001449996</v>
      </c>
    </row>
    <row r="146" spans="18:23" x14ac:dyDescent="0.3">
      <c r="R146" s="28" t="s">
        <v>521</v>
      </c>
      <c r="S146" s="28" t="str">
        <f>INDEX(TransactionTable[State],MATCH(R146,TransactionTable[Customer_ID],0))</f>
        <v>FCT Abuja</v>
      </c>
      <c r="T146" s="28" t="str">
        <f>INDEX(TransactionTable[Account_Type],MATCH(R146,TransactionTable[Customer_ID],0))</f>
        <v>Tier 1 Wallet</v>
      </c>
      <c r="U146" s="16">
        <f>SUMIFS(TransactionTable[Amount],TransactionTable[Customer_ID],R146)</f>
        <v>56209.45</v>
      </c>
      <c r="V146" s="14">
        <f>COUNTIF(TransactionTable[Customer_ID],R146)</f>
        <v>8</v>
      </c>
      <c r="W146" s="29">
        <f t="shared" si="7"/>
        <v>56209.450014599999</v>
      </c>
    </row>
    <row r="147" spans="18:23" x14ac:dyDescent="0.3">
      <c r="R147" s="28" t="s">
        <v>781</v>
      </c>
      <c r="S147" s="28" t="str">
        <f>INDEX(TransactionTable[State],MATCH(R147,TransactionTable[Customer_ID],0))</f>
        <v>Kaduna</v>
      </c>
      <c r="T147" s="28" t="str">
        <f>INDEX(TransactionTable[Account_Type],MATCH(R147,TransactionTable[Customer_ID],0))</f>
        <v>Savings</v>
      </c>
      <c r="U147" s="16">
        <f>SUMIFS(TransactionTable[Amount],TransactionTable[Customer_ID],R147)</f>
        <v>23366.09</v>
      </c>
      <c r="V147" s="14">
        <f>COUNTIF(TransactionTable[Customer_ID],R147)</f>
        <v>3</v>
      </c>
      <c r="W147" s="29">
        <f t="shared" si="7"/>
        <v>23366.090014699999</v>
      </c>
    </row>
    <row r="148" spans="18:23" x14ac:dyDescent="0.3">
      <c r="R148" s="28" t="s">
        <v>370</v>
      </c>
      <c r="S148" s="28" t="str">
        <f>INDEX(TransactionTable[State],MATCH(R148,TransactionTable[Customer_ID],0))</f>
        <v>Lagos</v>
      </c>
      <c r="T148" s="28" t="str">
        <f>INDEX(TransactionTable[Account_Type],MATCH(R148,TransactionTable[Customer_ID],0))</f>
        <v>Current</v>
      </c>
      <c r="U148" s="16">
        <f>SUMIFS(TransactionTable[Amount],TransactionTable[Customer_ID],R148)</f>
        <v>125062.45000000001</v>
      </c>
      <c r="V148" s="14">
        <f>COUNTIF(TransactionTable[Customer_ID],R148)</f>
        <v>8</v>
      </c>
      <c r="W148" s="29">
        <f t="shared" si="7"/>
        <v>125062.45001480001</v>
      </c>
    </row>
    <row r="149" spans="18:23" x14ac:dyDescent="0.3">
      <c r="R149" s="28" t="s">
        <v>593</v>
      </c>
      <c r="S149" s="28" t="str">
        <f>INDEX(TransactionTable[State],MATCH(R149,TransactionTable[Customer_ID],0))</f>
        <v>Enugu</v>
      </c>
      <c r="T149" s="28" t="str">
        <f>INDEX(TransactionTable[Account_Type],MATCH(R149,TransactionTable[Customer_ID],0))</f>
        <v>Savings</v>
      </c>
      <c r="U149" s="16">
        <f>SUMIFS(TransactionTable[Amount],TransactionTable[Customer_ID],R149)</f>
        <v>26388.98</v>
      </c>
      <c r="V149" s="14">
        <f>COUNTIF(TransactionTable[Customer_ID],R149)</f>
        <v>5</v>
      </c>
      <c r="W149" s="29">
        <f t="shared" si="7"/>
        <v>26388.9800149</v>
      </c>
    </row>
    <row r="150" spans="18:23" x14ac:dyDescent="0.3">
      <c r="R150" s="28" t="s">
        <v>362</v>
      </c>
      <c r="S150" s="28" t="str">
        <f>INDEX(TransactionTable[State],MATCH(R150,TransactionTable[Customer_ID],0))</f>
        <v>Lagos</v>
      </c>
      <c r="T150" s="28" t="str">
        <f>INDEX(TransactionTable[Account_Type],MATCH(R150,TransactionTable[Customer_ID],0))</f>
        <v>Tier 1 Wallet</v>
      </c>
      <c r="U150" s="16">
        <f>SUMIFS(TransactionTable[Amount],TransactionTable[Customer_ID],R150)</f>
        <v>236612.99</v>
      </c>
      <c r="V150" s="14">
        <f>COUNTIF(TransactionTable[Customer_ID],R150)</f>
        <v>11</v>
      </c>
      <c r="W150" s="29">
        <f t="shared" si="7"/>
        <v>236612.99001499999</v>
      </c>
    </row>
    <row r="151" spans="18:23" x14ac:dyDescent="0.3">
      <c r="R151" s="28" t="s">
        <v>997</v>
      </c>
      <c r="S151" s="28" t="str">
        <f>INDEX(TransactionTable[State],MATCH(R151,TransactionTable[Customer_ID],0))</f>
        <v>Lagos</v>
      </c>
      <c r="T151" s="28" t="str">
        <f>INDEX(TransactionTable[Account_Type],MATCH(R151,TransactionTable[Customer_ID],0))</f>
        <v>Savings</v>
      </c>
      <c r="U151" s="16">
        <f>SUMIFS(TransactionTable[Amount],TransactionTable[Customer_ID],R151)</f>
        <v>72631.569999999992</v>
      </c>
      <c r="V151" s="14">
        <f>COUNTIF(TransactionTable[Customer_ID],R151)</f>
        <v>5</v>
      </c>
      <c r="W151" s="29">
        <f t="shared" si="7"/>
        <v>72631.570015099991</v>
      </c>
    </row>
    <row r="152" spans="18:23" x14ac:dyDescent="0.3">
      <c r="R152" s="28" t="s">
        <v>115</v>
      </c>
      <c r="S152" s="28" t="str">
        <f>INDEX(TransactionTable[State],MATCH(R152,TransactionTable[Customer_ID],0))</f>
        <v>Lagos</v>
      </c>
      <c r="T152" s="28" t="str">
        <f>INDEX(TransactionTable[Account_Type],MATCH(R152,TransactionTable[Customer_ID],0))</f>
        <v>Tier 1 Wallet</v>
      </c>
      <c r="U152" s="16">
        <f>SUMIFS(TransactionTable[Amount],TransactionTable[Customer_ID],R152)</f>
        <v>158069.47999999998</v>
      </c>
      <c r="V152" s="14">
        <f>COUNTIF(TransactionTable[Customer_ID],R152)</f>
        <v>8</v>
      </c>
      <c r="W152" s="29">
        <f t="shared" si="7"/>
        <v>158069.48001519998</v>
      </c>
    </row>
    <row r="153" spans="18:23" x14ac:dyDescent="0.3">
      <c r="R153" s="28" t="s">
        <v>494</v>
      </c>
      <c r="S153" s="28" t="str">
        <f>INDEX(TransactionTable[State],MATCH(R153,TransactionTable[Customer_ID],0))</f>
        <v>Lagos</v>
      </c>
      <c r="T153" s="28" t="str">
        <f>INDEX(TransactionTable[Account_Type],MATCH(R153,TransactionTable[Customer_ID],0))</f>
        <v>Savings</v>
      </c>
      <c r="U153" s="16">
        <f>SUMIFS(TransactionTable[Amount],TransactionTable[Customer_ID],R153)</f>
        <v>204398.74</v>
      </c>
      <c r="V153" s="14">
        <f>COUNTIF(TransactionTable[Customer_ID],R153)</f>
        <v>7</v>
      </c>
      <c r="W153" s="29">
        <f t="shared" si="7"/>
        <v>204398.74001529999</v>
      </c>
    </row>
    <row r="154" spans="18:23" x14ac:dyDescent="0.3">
      <c r="R154" s="28" t="s">
        <v>286</v>
      </c>
      <c r="S154" s="28" t="str">
        <f>INDEX(TransactionTable[State],MATCH(R154,TransactionTable[Customer_ID],0))</f>
        <v>Kano</v>
      </c>
      <c r="T154" s="28" t="str">
        <f>INDEX(TransactionTable[Account_Type],MATCH(R154,TransactionTable[Customer_ID],0))</f>
        <v>Savings</v>
      </c>
      <c r="U154" s="16">
        <f>SUMIFS(TransactionTable[Amount],TransactionTable[Customer_ID],R154)</f>
        <v>133833.32</v>
      </c>
      <c r="V154" s="14">
        <f>COUNTIF(TransactionTable[Customer_ID],R154)</f>
        <v>12</v>
      </c>
      <c r="W154" s="29">
        <f t="shared" si="7"/>
        <v>133833.32001540001</v>
      </c>
    </row>
    <row r="155" spans="18:23" x14ac:dyDescent="0.3">
      <c r="R155" s="28" t="s">
        <v>1777</v>
      </c>
      <c r="S155" s="28" t="str">
        <f>INDEX(TransactionTable[State],MATCH(R155,TransactionTable[Customer_ID],0))</f>
        <v>Delta</v>
      </c>
      <c r="T155" s="28" t="str">
        <f>INDEX(TransactionTable[Account_Type],MATCH(R155,TransactionTable[Customer_ID],0))</f>
        <v>Tier 3 Verified</v>
      </c>
      <c r="U155" s="16">
        <f>SUMIFS(TransactionTable[Amount],TransactionTable[Customer_ID],R155)</f>
        <v>29622.84</v>
      </c>
      <c r="V155" s="14">
        <f>COUNTIF(TransactionTable[Customer_ID],R155)</f>
        <v>4</v>
      </c>
      <c r="W155" s="29">
        <f t="shared" si="7"/>
        <v>29622.840015500002</v>
      </c>
    </row>
    <row r="156" spans="18:23" x14ac:dyDescent="0.3">
      <c r="R156" s="28" t="s">
        <v>746</v>
      </c>
      <c r="S156" s="28" t="str">
        <f>INDEX(TransactionTable[State],MATCH(R156,TransactionTable[Customer_ID],0))</f>
        <v>Kano</v>
      </c>
      <c r="T156" s="28" t="str">
        <f>INDEX(TransactionTable[Account_Type],MATCH(R156,TransactionTable[Customer_ID],0))</f>
        <v>Savings</v>
      </c>
      <c r="U156" s="16">
        <f>SUMIFS(TransactionTable[Amount],TransactionTable[Customer_ID],R156)</f>
        <v>158497.95000000004</v>
      </c>
      <c r="V156" s="14">
        <f>COUNTIF(TransactionTable[Customer_ID],R156)</f>
        <v>9</v>
      </c>
      <c r="W156" s="29">
        <f t="shared" si="7"/>
        <v>158497.95001560004</v>
      </c>
    </row>
    <row r="157" spans="18:23" x14ac:dyDescent="0.3">
      <c r="R157" s="28" t="s">
        <v>111</v>
      </c>
      <c r="S157" s="28" t="str">
        <f>INDEX(TransactionTable[State],MATCH(R157,TransactionTable[Customer_ID],0))</f>
        <v>Rivers</v>
      </c>
      <c r="T157" s="28" t="str">
        <f>INDEX(TransactionTable[Account_Type],MATCH(R157,TransactionTable[Customer_ID],0))</f>
        <v>Savings</v>
      </c>
      <c r="U157" s="16">
        <f>SUMIFS(TransactionTable[Amount],TransactionTable[Customer_ID],R157)</f>
        <v>142287.18</v>
      </c>
      <c r="V157" s="14">
        <f>COUNTIF(TransactionTable[Customer_ID],R157)</f>
        <v>6</v>
      </c>
      <c r="W157" s="29">
        <f t="shared" si="7"/>
        <v>142287.1800157</v>
      </c>
    </row>
    <row r="158" spans="18:23" x14ac:dyDescent="0.3">
      <c r="R158" s="28" t="s">
        <v>150</v>
      </c>
      <c r="S158" s="28" t="str">
        <f>INDEX(TransactionTable[State],MATCH(R158,TransactionTable[Customer_ID],0))</f>
        <v>Lagos</v>
      </c>
      <c r="T158" s="28" t="str">
        <f>INDEX(TransactionTable[Account_Type],MATCH(R158,TransactionTable[Customer_ID],0))</f>
        <v>Savings</v>
      </c>
      <c r="U158" s="16">
        <f>SUMIFS(TransactionTable[Amount],TransactionTable[Customer_ID],R158)</f>
        <v>32720.58</v>
      </c>
      <c r="V158" s="14">
        <f>COUNTIF(TransactionTable[Customer_ID],R158)</f>
        <v>6</v>
      </c>
      <c r="W158" s="29">
        <f t="shared" si="7"/>
        <v>32720.580015800002</v>
      </c>
    </row>
    <row r="159" spans="18:23" x14ac:dyDescent="0.3">
      <c r="R159" s="28" t="s">
        <v>82</v>
      </c>
      <c r="S159" s="28" t="str">
        <f>INDEX(TransactionTable[State],MATCH(R159,TransactionTable[Customer_ID],0))</f>
        <v>Kano</v>
      </c>
      <c r="T159" s="28" t="str">
        <f>INDEX(TransactionTable[Account_Type],MATCH(R159,TransactionTable[Customer_ID],0))</f>
        <v>Savings</v>
      </c>
      <c r="U159" s="16">
        <f>SUMIFS(TransactionTable[Amount],TransactionTable[Customer_ID],R159)</f>
        <v>111129.39</v>
      </c>
      <c r="V159" s="14">
        <f>COUNTIF(TransactionTable[Customer_ID],R159)</f>
        <v>7</v>
      </c>
      <c r="W159" s="29">
        <f t="shared" si="7"/>
        <v>111129.3900159</v>
      </c>
    </row>
    <row r="160" spans="18:23" x14ac:dyDescent="0.3">
      <c r="R160" s="28" t="s">
        <v>433</v>
      </c>
      <c r="S160" s="28" t="str">
        <f>INDEX(TransactionTable[State],MATCH(R160,TransactionTable[Customer_ID],0))</f>
        <v>Lagos</v>
      </c>
      <c r="T160" s="28" t="str">
        <f>INDEX(TransactionTable[Account_Type],MATCH(R160,TransactionTable[Customer_ID],0))</f>
        <v>Current</v>
      </c>
      <c r="U160" s="16">
        <f>SUMIFS(TransactionTable[Amount],TransactionTable[Customer_ID],R160)</f>
        <v>53264.17</v>
      </c>
      <c r="V160" s="14">
        <f>COUNTIF(TransactionTable[Customer_ID],R160)</f>
        <v>11</v>
      </c>
      <c r="W160" s="29">
        <f t="shared" si="7"/>
        <v>53264.170015999996</v>
      </c>
    </row>
    <row r="161" spans="18:23" x14ac:dyDescent="0.3">
      <c r="R161" s="28" t="s">
        <v>829</v>
      </c>
      <c r="S161" s="28" t="str">
        <f>INDEX(TransactionTable[State],MATCH(R161,TransactionTable[Customer_ID],0))</f>
        <v>Oyo</v>
      </c>
      <c r="T161" s="28" t="str">
        <f>INDEX(TransactionTable[Account_Type],MATCH(R161,TransactionTable[Customer_ID],0))</f>
        <v>Tier 3 Verified</v>
      </c>
      <c r="U161" s="16">
        <f>SUMIFS(TransactionTable[Amount],TransactionTable[Customer_ID],R161)</f>
        <v>102178.84999999999</v>
      </c>
      <c r="V161" s="14">
        <f>COUNTIF(TransactionTable[Customer_ID],R161)</f>
        <v>7</v>
      </c>
      <c r="W161" s="29">
        <f t="shared" si="7"/>
        <v>102178.8500161</v>
      </c>
    </row>
    <row r="162" spans="18:23" x14ac:dyDescent="0.3">
      <c r="R162" s="28" t="s">
        <v>551</v>
      </c>
      <c r="S162" s="28" t="str">
        <f>INDEX(TransactionTable[State],MATCH(R162,TransactionTable[Customer_ID],0))</f>
        <v>Lagos</v>
      </c>
      <c r="T162" s="28" t="str">
        <f>INDEX(TransactionTable[Account_Type],MATCH(R162,TransactionTable[Customer_ID],0))</f>
        <v>Tier 1 Wallet</v>
      </c>
      <c r="U162" s="16">
        <f>SUMIFS(TransactionTable[Amount],TransactionTable[Customer_ID],R162)</f>
        <v>189643.28999999998</v>
      </c>
      <c r="V162" s="14">
        <f>COUNTIF(TransactionTable[Customer_ID],R162)</f>
        <v>9</v>
      </c>
      <c r="W162" s="29">
        <f t="shared" si="7"/>
        <v>189643.29001619999</v>
      </c>
    </row>
    <row r="163" spans="18:23" x14ac:dyDescent="0.3">
      <c r="R163" s="28" t="s">
        <v>215</v>
      </c>
      <c r="S163" s="28" t="str">
        <f>INDEX(TransactionTable[State],MATCH(R163,TransactionTable[Customer_ID],0))</f>
        <v>Edo</v>
      </c>
      <c r="T163" s="28" t="str">
        <f>INDEX(TransactionTable[Account_Type],MATCH(R163,TransactionTable[Customer_ID],0))</f>
        <v>Savings</v>
      </c>
      <c r="U163" s="16">
        <f>SUMIFS(TransactionTable[Amount],TransactionTable[Customer_ID],R163)</f>
        <v>181137.54</v>
      </c>
      <c r="V163" s="14">
        <f>COUNTIF(TransactionTable[Customer_ID],R163)</f>
        <v>8</v>
      </c>
      <c r="W163" s="29">
        <f t="shared" si="7"/>
        <v>181137.54001630002</v>
      </c>
    </row>
    <row r="164" spans="18:23" x14ac:dyDescent="0.3">
      <c r="R164" s="28" t="s">
        <v>541</v>
      </c>
      <c r="S164" s="28" t="str">
        <f>INDEX(TransactionTable[State],MATCH(R164,TransactionTable[Customer_ID],0))</f>
        <v>Lagos</v>
      </c>
      <c r="T164" s="28" t="str">
        <f>INDEX(TransactionTable[Account_Type],MATCH(R164,TransactionTable[Customer_ID],0))</f>
        <v>Tier 1 Wallet</v>
      </c>
      <c r="U164" s="16">
        <f>SUMIFS(TransactionTable[Amount],TransactionTable[Customer_ID],R164)</f>
        <v>127642.56999999999</v>
      </c>
      <c r="V164" s="14">
        <f>COUNTIF(TransactionTable[Customer_ID],R164)</f>
        <v>10</v>
      </c>
      <c r="W164" s="29">
        <f t="shared" si="7"/>
        <v>127642.57001639999</v>
      </c>
    </row>
    <row r="165" spans="18:23" x14ac:dyDescent="0.3">
      <c r="R165" s="28" t="s">
        <v>99</v>
      </c>
      <c r="S165" s="28" t="str">
        <f>INDEX(TransactionTable[State],MATCH(R165,TransactionTable[Customer_ID],0))</f>
        <v>Edo</v>
      </c>
      <c r="T165" s="28" t="str">
        <f>INDEX(TransactionTable[Account_Type],MATCH(R165,TransactionTable[Customer_ID],0))</f>
        <v>Savings</v>
      </c>
      <c r="U165" s="16">
        <f>SUMIFS(TransactionTable[Amount],TransactionTable[Customer_ID],R165)</f>
        <v>31937.86</v>
      </c>
      <c r="V165" s="14">
        <f>COUNTIF(TransactionTable[Customer_ID],R165)</f>
        <v>5</v>
      </c>
      <c r="W165" s="29">
        <f t="shared" si="7"/>
        <v>31937.860016499999</v>
      </c>
    </row>
    <row r="166" spans="18:23" x14ac:dyDescent="0.3">
      <c r="R166" s="28" t="s">
        <v>1403</v>
      </c>
      <c r="S166" s="28" t="str">
        <f>INDEX(TransactionTable[State],MATCH(R166,TransactionTable[Customer_ID],0))</f>
        <v>Edo</v>
      </c>
      <c r="T166" s="28" t="str">
        <f>INDEX(TransactionTable[Account_Type],MATCH(R166,TransactionTable[Customer_ID],0))</f>
        <v>Current</v>
      </c>
      <c r="U166" s="16">
        <f>SUMIFS(TransactionTable[Amount],TransactionTable[Customer_ID],R166)</f>
        <v>34586.06</v>
      </c>
      <c r="V166" s="14">
        <f>COUNTIF(TransactionTable[Customer_ID],R166)</f>
        <v>5</v>
      </c>
      <c r="W166" s="29">
        <f t="shared" si="7"/>
        <v>34586.0600166</v>
      </c>
    </row>
    <row r="167" spans="18:23" x14ac:dyDescent="0.3">
      <c r="R167" s="28" t="s">
        <v>847</v>
      </c>
      <c r="S167" s="28" t="str">
        <f>INDEX(TransactionTable[State],MATCH(R167,TransactionTable[Customer_ID],0))</f>
        <v>FCT Abuja</v>
      </c>
      <c r="T167" s="28" t="str">
        <f>INDEX(TransactionTable[Account_Type],MATCH(R167,TransactionTable[Customer_ID],0))</f>
        <v>Savings</v>
      </c>
      <c r="U167" s="16">
        <f>SUMIFS(TransactionTable[Amount],TransactionTable[Customer_ID],R167)</f>
        <v>202603.63</v>
      </c>
      <c r="V167" s="14">
        <f>COUNTIF(TransactionTable[Customer_ID],R167)</f>
        <v>12</v>
      </c>
      <c r="W167" s="29">
        <f t="shared" si="7"/>
        <v>202603.63001670002</v>
      </c>
    </row>
    <row r="168" spans="18:23" x14ac:dyDescent="0.3">
      <c r="R168" s="28" t="s">
        <v>1408</v>
      </c>
      <c r="S168" s="28" t="str">
        <f>INDEX(TransactionTable[State],MATCH(R168,TransactionTable[Customer_ID],0))</f>
        <v>Oyo</v>
      </c>
      <c r="T168" s="28" t="str">
        <f>INDEX(TransactionTable[Account_Type],MATCH(R168,TransactionTable[Customer_ID],0))</f>
        <v>Tier 3 Verified</v>
      </c>
      <c r="U168" s="16">
        <f>SUMIFS(TransactionTable[Amount],TransactionTable[Customer_ID],R168)</f>
        <v>96232.909999999989</v>
      </c>
      <c r="V168" s="14">
        <f>COUNTIF(TransactionTable[Customer_ID],R168)</f>
        <v>10</v>
      </c>
      <c r="W168" s="29">
        <f t="shared" si="7"/>
        <v>96232.910016799986</v>
      </c>
    </row>
    <row r="169" spans="18:23" x14ac:dyDescent="0.3">
      <c r="R169" s="28" t="s">
        <v>156</v>
      </c>
      <c r="S169" s="28" t="str">
        <f>INDEX(TransactionTable[State],MATCH(R169,TransactionTable[Customer_ID],0))</f>
        <v>Lagos</v>
      </c>
      <c r="T169" s="28" t="str">
        <f>INDEX(TransactionTable[Account_Type],MATCH(R169,TransactionTable[Customer_ID],0))</f>
        <v>Tier 3 Verified</v>
      </c>
      <c r="U169" s="16">
        <f>SUMIFS(TransactionTable[Amount],TransactionTable[Customer_ID],R169)</f>
        <v>33418.42</v>
      </c>
      <c r="V169" s="14">
        <f>COUNTIF(TransactionTable[Customer_ID],R169)</f>
        <v>6</v>
      </c>
      <c r="W169" s="29">
        <f t="shared" si="7"/>
        <v>33418.420016899996</v>
      </c>
    </row>
    <row r="170" spans="18:23" x14ac:dyDescent="0.3">
      <c r="R170" s="28" t="s">
        <v>431</v>
      </c>
      <c r="S170" s="28" t="str">
        <f>INDEX(TransactionTable[State],MATCH(R170,TransactionTable[Customer_ID],0))</f>
        <v>Kano</v>
      </c>
      <c r="T170" s="28" t="str">
        <f>INDEX(TransactionTable[Account_Type],MATCH(R170,TransactionTable[Customer_ID],0))</f>
        <v>Current</v>
      </c>
      <c r="U170" s="16">
        <f>SUMIFS(TransactionTable[Amount],TransactionTable[Customer_ID],R170)</f>
        <v>273501.11</v>
      </c>
      <c r="V170" s="14">
        <f>COUNTIF(TransactionTable[Customer_ID],R170)</f>
        <v>10</v>
      </c>
      <c r="W170" s="29">
        <f t="shared" si="7"/>
        <v>273501.110017</v>
      </c>
    </row>
    <row r="171" spans="18:23" x14ac:dyDescent="0.3">
      <c r="R171" s="28" t="s">
        <v>1616</v>
      </c>
      <c r="S171" s="28" t="str">
        <f>INDEX(TransactionTable[State],MATCH(R171,TransactionTable[Customer_ID],0))</f>
        <v>Lagos</v>
      </c>
      <c r="T171" s="28" t="str">
        <f>INDEX(TransactionTable[Account_Type],MATCH(R171,TransactionTable[Customer_ID],0))</f>
        <v>Savings</v>
      </c>
      <c r="U171" s="16">
        <f>SUMIFS(TransactionTable[Amount],TransactionTable[Customer_ID],R171)</f>
        <v>32866.130000000005</v>
      </c>
      <c r="V171" s="14">
        <f>COUNTIF(TransactionTable[Customer_ID],R171)</f>
        <v>4</v>
      </c>
      <c r="W171" s="29">
        <f t="shared" si="7"/>
        <v>32866.130017100004</v>
      </c>
    </row>
    <row r="172" spans="18:23" x14ac:dyDescent="0.3">
      <c r="R172" s="28" t="s">
        <v>75</v>
      </c>
      <c r="S172" s="28" t="str">
        <f>INDEX(TransactionTable[State],MATCH(R172,TransactionTable[Customer_ID],0))</f>
        <v>Oyo</v>
      </c>
      <c r="T172" s="28" t="str">
        <f>INDEX(TransactionTable[Account_Type],MATCH(R172,TransactionTable[Customer_ID],0))</f>
        <v>Savings</v>
      </c>
      <c r="U172" s="16">
        <f>SUMIFS(TransactionTable[Amount],TransactionTable[Customer_ID],R172)</f>
        <v>54315.74</v>
      </c>
      <c r="V172" s="14">
        <f>COUNTIF(TransactionTable[Customer_ID],R172)</f>
        <v>9</v>
      </c>
      <c r="W172" s="29">
        <f t="shared" si="7"/>
        <v>54315.740017199998</v>
      </c>
    </row>
    <row r="173" spans="18:23" x14ac:dyDescent="0.3">
      <c r="R173" s="28" t="s">
        <v>258</v>
      </c>
      <c r="S173" s="28" t="str">
        <f>INDEX(TransactionTable[State],MATCH(R173,TransactionTable[Customer_ID],0))</f>
        <v>Edo</v>
      </c>
      <c r="T173" s="28" t="str">
        <f>INDEX(TransactionTable[Account_Type],MATCH(R173,TransactionTable[Customer_ID],0))</f>
        <v>Current</v>
      </c>
      <c r="U173" s="16">
        <f>SUMIFS(TransactionTable[Amount],TransactionTable[Customer_ID],R173)</f>
        <v>145100.16</v>
      </c>
      <c r="V173" s="14">
        <f>COUNTIF(TransactionTable[Customer_ID],R173)</f>
        <v>8</v>
      </c>
      <c r="W173" s="29">
        <f t="shared" si="7"/>
        <v>145100.16001729999</v>
      </c>
    </row>
    <row r="174" spans="18:23" x14ac:dyDescent="0.3">
      <c r="R174" s="28" t="s">
        <v>232</v>
      </c>
      <c r="S174" s="28" t="str">
        <f>INDEX(TransactionTable[State],MATCH(R174,TransactionTable[Customer_ID],0))</f>
        <v>Lagos</v>
      </c>
      <c r="T174" s="28" t="str">
        <f>INDEX(TransactionTable[Account_Type],MATCH(R174,TransactionTable[Customer_ID],0))</f>
        <v>Tier 1 Wallet</v>
      </c>
      <c r="U174" s="16">
        <f>SUMIFS(TransactionTable[Amount],TransactionTable[Customer_ID],R174)</f>
        <v>257489.54000000004</v>
      </c>
      <c r="V174" s="14">
        <f>COUNTIF(TransactionTable[Customer_ID],R174)</f>
        <v>10</v>
      </c>
      <c r="W174" s="29">
        <f t="shared" si="7"/>
        <v>257489.54001740002</v>
      </c>
    </row>
    <row r="175" spans="18:23" x14ac:dyDescent="0.3">
      <c r="R175" s="28" t="s">
        <v>1962</v>
      </c>
      <c r="S175" s="28" t="str">
        <f>INDEX(TransactionTable[State],MATCH(R175,TransactionTable[Customer_ID],0))</f>
        <v>Lagos</v>
      </c>
      <c r="T175" s="28" t="str">
        <f>INDEX(TransactionTable[Account_Type],MATCH(R175,TransactionTable[Customer_ID],0))</f>
        <v>Tier 3 Verified</v>
      </c>
      <c r="U175" s="16">
        <f>SUMIFS(TransactionTable[Amount],TransactionTable[Customer_ID],R175)</f>
        <v>43080.11</v>
      </c>
      <c r="V175" s="14">
        <f>COUNTIF(TransactionTable[Customer_ID],R175)</f>
        <v>2</v>
      </c>
      <c r="W175" s="29">
        <f t="shared" si="7"/>
        <v>43080.110017500003</v>
      </c>
    </row>
    <row r="176" spans="18:23" x14ac:dyDescent="0.3">
      <c r="R176" s="28" t="s">
        <v>266</v>
      </c>
      <c r="S176" s="28" t="str">
        <f>INDEX(TransactionTable[State],MATCH(R176,TransactionTable[Customer_ID],0))</f>
        <v>Delta</v>
      </c>
      <c r="T176" s="28" t="str">
        <f>INDEX(TransactionTable[Account_Type],MATCH(R176,TransactionTable[Customer_ID],0))</f>
        <v>Tier 1 Wallet</v>
      </c>
      <c r="U176" s="16">
        <f>SUMIFS(TransactionTable[Amount],TransactionTable[Customer_ID],R176)</f>
        <v>96317.46</v>
      </c>
      <c r="V176" s="14">
        <f>COUNTIF(TransactionTable[Customer_ID],R176)</f>
        <v>6</v>
      </c>
      <c r="W176" s="29">
        <f t="shared" si="7"/>
        <v>96317.460017600009</v>
      </c>
    </row>
    <row r="177" spans="18:23" x14ac:dyDescent="0.3">
      <c r="R177" s="28" t="s">
        <v>138</v>
      </c>
      <c r="S177" s="28" t="str">
        <f>INDEX(TransactionTable[State],MATCH(R177,TransactionTable[Customer_ID],0))</f>
        <v>Kano</v>
      </c>
      <c r="T177" s="28" t="str">
        <f>INDEX(TransactionTable[Account_Type],MATCH(R177,TransactionTable[Customer_ID],0))</f>
        <v>Tier 3 Verified</v>
      </c>
      <c r="U177" s="16">
        <f>SUMIFS(TransactionTable[Amount],TransactionTable[Customer_ID],R177)</f>
        <v>143516.07999999999</v>
      </c>
      <c r="V177" s="14">
        <f>COUNTIF(TransactionTable[Customer_ID],R177)</f>
        <v>3</v>
      </c>
      <c r="W177" s="29">
        <f t="shared" si="7"/>
        <v>143516.08001769998</v>
      </c>
    </row>
    <row r="178" spans="18:23" x14ac:dyDescent="0.3">
      <c r="R178" s="28" t="s">
        <v>142</v>
      </c>
      <c r="S178" s="28" t="str">
        <f>INDEX(TransactionTable[State],MATCH(R178,TransactionTable[Customer_ID],0))</f>
        <v>Lagos</v>
      </c>
      <c r="T178" s="28" t="str">
        <f>INDEX(TransactionTable[Account_Type],MATCH(R178,TransactionTable[Customer_ID],0))</f>
        <v>Savings</v>
      </c>
      <c r="U178" s="16">
        <f>SUMIFS(TransactionTable[Amount],TransactionTable[Customer_ID],R178)</f>
        <v>153066.40999999997</v>
      </c>
      <c r="V178" s="14">
        <f>COUNTIF(TransactionTable[Customer_ID],R178)</f>
        <v>7</v>
      </c>
      <c r="W178" s="29">
        <f t="shared" si="7"/>
        <v>153066.41001779996</v>
      </c>
    </row>
    <row r="179" spans="18:23" x14ac:dyDescent="0.3">
      <c r="R179" s="28" t="s">
        <v>336</v>
      </c>
      <c r="S179" s="28" t="str">
        <f>INDEX(TransactionTable[State],MATCH(R179,TransactionTable[Customer_ID],0))</f>
        <v>Kaduna</v>
      </c>
      <c r="T179" s="28" t="str">
        <f>INDEX(TransactionTable[Account_Type],MATCH(R179,TransactionTable[Customer_ID],0))</f>
        <v>Tier 3 Verified</v>
      </c>
      <c r="U179" s="16">
        <f>SUMIFS(TransactionTable[Amount],TransactionTable[Customer_ID],R179)</f>
        <v>54741.95</v>
      </c>
      <c r="V179" s="14">
        <f>COUNTIF(TransactionTable[Customer_ID],R179)</f>
        <v>5</v>
      </c>
      <c r="W179" s="29">
        <f t="shared" si="7"/>
        <v>54741.950017899995</v>
      </c>
    </row>
    <row r="180" spans="18:23" x14ac:dyDescent="0.3">
      <c r="R180" s="28" t="s">
        <v>386</v>
      </c>
      <c r="S180" s="28" t="str">
        <f>INDEX(TransactionTable[State],MATCH(R180,TransactionTable[Customer_ID],0))</f>
        <v>Oyo</v>
      </c>
      <c r="T180" s="28" t="str">
        <f>INDEX(TransactionTable[Account_Type],MATCH(R180,TransactionTable[Customer_ID],0))</f>
        <v>Savings</v>
      </c>
      <c r="U180" s="16">
        <f>SUMIFS(TransactionTable[Amount],TransactionTable[Customer_ID],R180)</f>
        <v>68178.19</v>
      </c>
      <c r="V180" s="14">
        <f>COUNTIF(TransactionTable[Customer_ID],R180)</f>
        <v>7</v>
      </c>
      <c r="W180" s="29">
        <f t="shared" si="7"/>
        <v>68178.190018000008</v>
      </c>
    </row>
    <row r="181" spans="18:23" x14ac:dyDescent="0.3">
      <c r="R181" s="28" t="s">
        <v>357</v>
      </c>
      <c r="S181" s="28" t="str">
        <f>INDEX(TransactionTable[State],MATCH(R181,TransactionTable[Customer_ID],0))</f>
        <v>Ogun</v>
      </c>
      <c r="T181" s="28" t="str">
        <f>INDEX(TransactionTable[Account_Type],MATCH(R181,TransactionTable[Customer_ID],0))</f>
        <v>Tier 1 Wallet</v>
      </c>
      <c r="U181" s="16">
        <f>SUMIFS(TransactionTable[Amount],TransactionTable[Customer_ID],R181)</f>
        <v>144856.27999999997</v>
      </c>
      <c r="V181" s="14">
        <f>COUNTIF(TransactionTable[Customer_ID],R181)</f>
        <v>9</v>
      </c>
      <c r="W181" s="29">
        <f t="shared" si="7"/>
        <v>144856.28001809996</v>
      </c>
    </row>
    <row r="182" spans="18:23" x14ac:dyDescent="0.3">
      <c r="R182" s="28" t="s">
        <v>497</v>
      </c>
      <c r="S182" s="28" t="str">
        <f>INDEX(TransactionTable[State],MATCH(R182,TransactionTable[Customer_ID],0))</f>
        <v>Kano</v>
      </c>
      <c r="T182" s="28" t="str">
        <f>INDEX(TransactionTable[Account_Type],MATCH(R182,TransactionTable[Customer_ID],0))</f>
        <v>Savings</v>
      </c>
      <c r="U182" s="16">
        <f>SUMIFS(TransactionTable[Amount],TransactionTable[Customer_ID],R182)</f>
        <v>40901.339999999997</v>
      </c>
      <c r="V182" s="14">
        <f>COUNTIF(TransactionTable[Customer_ID],R182)</f>
        <v>3</v>
      </c>
      <c r="W182" s="29">
        <f t="shared" si="7"/>
        <v>40901.340018199997</v>
      </c>
    </row>
    <row r="183" spans="18:23" x14ac:dyDescent="0.3">
      <c r="R183" s="28" t="s">
        <v>642</v>
      </c>
      <c r="S183" s="28" t="str">
        <f>INDEX(TransactionTable[State],MATCH(R183,TransactionTable[Customer_ID],0))</f>
        <v>Ogun</v>
      </c>
      <c r="T183" s="28" t="str">
        <f>INDEX(TransactionTable[Account_Type],MATCH(R183,TransactionTable[Customer_ID],0))</f>
        <v>Tier 1 Wallet</v>
      </c>
      <c r="U183" s="16">
        <f>SUMIFS(TransactionTable[Amount],TransactionTable[Customer_ID],R183)</f>
        <v>238653.01</v>
      </c>
      <c r="V183" s="14">
        <f>COUNTIF(TransactionTable[Customer_ID],R183)</f>
        <v>11</v>
      </c>
      <c r="W183" s="29">
        <f t="shared" si="7"/>
        <v>238653.0100183</v>
      </c>
    </row>
    <row r="184" spans="18:23" x14ac:dyDescent="0.3">
      <c r="R184" s="28" t="s">
        <v>56</v>
      </c>
      <c r="S184" s="28" t="str">
        <f>INDEX(TransactionTable[State],MATCH(R184,TransactionTable[Customer_ID],0))</f>
        <v>Edo</v>
      </c>
      <c r="T184" s="28" t="str">
        <f>INDEX(TransactionTable[Account_Type],MATCH(R184,TransactionTable[Customer_ID],0))</f>
        <v>Current</v>
      </c>
      <c r="U184" s="16">
        <f>SUMIFS(TransactionTable[Amount],TransactionTable[Customer_ID],R184)</f>
        <v>119596.87999999999</v>
      </c>
      <c r="V184" s="14">
        <f>COUNTIF(TransactionTable[Customer_ID],R184)</f>
        <v>8</v>
      </c>
      <c r="W184" s="29">
        <f t="shared" si="7"/>
        <v>119596.88001839998</v>
      </c>
    </row>
    <row r="185" spans="18:23" x14ac:dyDescent="0.3">
      <c r="R185" s="28" t="s">
        <v>740</v>
      </c>
      <c r="S185" s="28" t="str">
        <f>INDEX(TransactionTable[State],MATCH(R185,TransactionTable[Customer_ID],0))</f>
        <v>Delta</v>
      </c>
      <c r="T185" s="28" t="str">
        <f>INDEX(TransactionTable[Account_Type],MATCH(R185,TransactionTable[Customer_ID],0))</f>
        <v>Tier 1 Wallet</v>
      </c>
      <c r="U185" s="16">
        <f>SUMIFS(TransactionTable[Amount],TransactionTable[Customer_ID],R185)</f>
        <v>374370.25999999995</v>
      </c>
      <c r="V185" s="14">
        <f>COUNTIF(TransactionTable[Customer_ID],R185)</f>
        <v>8</v>
      </c>
      <c r="W185" s="29">
        <f t="shared" si="7"/>
        <v>374370.26001849998</v>
      </c>
    </row>
    <row r="186" spans="18:23" x14ac:dyDescent="0.3">
      <c r="R186" s="28" t="s">
        <v>374</v>
      </c>
      <c r="S186" s="28" t="str">
        <f>INDEX(TransactionTable[State],MATCH(R186,TransactionTable[Customer_ID],0))</f>
        <v>Kano</v>
      </c>
      <c r="T186" s="28" t="str">
        <f>INDEX(TransactionTable[Account_Type],MATCH(R186,TransactionTable[Customer_ID],0))</f>
        <v>Savings</v>
      </c>
      <c r="U186" s="16">
        <f>SUMIFS(TransactionTable[Amount],TransactionTable[Customer_ID],R186)</f>
        <v>45103.200000000004</v>
      </c>
      <c r="V186" s="14">
        <f>COUNTIF(TransactionTable[Customer_ID],R186)</f>
        <v>8</v>
      </c>
      <c r="W186" s="29">
        <f t="shared" si="7"/>
        <v>45103.200018600008</v>
      </c>
    </row>
    <row r="187" spans="18:23" x14ac:dyDescent="0.3">
      <c r="R187" s="28" t="s">
        <v>634</v>
      </c>
      <c r="S187" s="28" t="str">
        <f>INDEX(TransactionTable[State],MATCH(R187,TransactionTable[Customer_ID],0))</f>
        <v>Oyo</v>
      </c>
      <c r="T187" s="28" t="str">
        <f>INDEX(TransactionTable[Account_Type],MATCH(R187,TransactionTable[Customer_ID],0))</f>
        <v>Savings</v>
      </c>
      <c r="U187" s="16">
        <f>SUMIFS(TransactionTable[Amount],TransactionTable[Customer_ID],R187)</f>
        <v>82498.77</v>
      </c>
      <c r="V187" s="14">
        <f>COUNTIF(TransactionTable[Customer_ID],R187)</f>
        <v>5</v>
      </c>
      <c r="W187" s="29">
        <f t="shared" si="7"/>
        <v>82498.770018700001</v>
      </c>
    </row>
    <row r="188" spans="18:23" x14ac:dyDescent="0.3">
      <c r="R188" s="28" t="s">
        <v>692</v>
      </c>
      <c r="S188" s="28" t="str">
        <f>INDEX(TransactionTable[State],MATCH(R188,TransactionTable[Customer_ID],0))</f>
        <v>Oyo</v>
      </c>
      <c r="T188" s="28" t="str">
        <f>INDEX(TransactionTable[Account_Type],MATCH(R188,TransactionTable[Customer_ID],0))</f>
        <v>Savings</v>
      </c>
      <c r="U188" s="16">
        <f>SUMIFS(TransactionTable[Amount],TransactionTable[Customer_ID],R188)</f>
        <v>113774.04</v>
      </c>
      <c r="V188" s="14">
        <f>COUNTIF(TransactionTable[Customer_ID],R188)</f>
        <v>8</v>
      </c>
      <c r="W188" s="29">
        <f t="shared" si="7"/>
        <v>113774.04001879999</v>
      </c>
    </row>
    <row r="189" spans="18:23" x14ac:dyDescent="0.3">
      <c r="R189" s="28" t="s">
        <v>341</v>
      </c>
      <c r="S189" s="28" t="str">
        <f>INDEX(TransactionTable[State],MATCH(R189,TransactionTable[Customer_ID],0))</f>
        <v>FCT Abuja</v>
      </c>
      <c r="T189" s="28" t="str">
        <f>INDEX(TransactionTable[Account_Type],MATCH(R189,TransactionTable[Customer_ID],0))</f>
        <v>Current</v>
      </c>
      <c r="U189" s="16">
        <f>SUMIFS(TransactionTable[Amount],TransactionTable[Customer_ID],R189)</f>
        <v>106228.69</v>
      </c>
      <c r="V189" s="14">
        <f>COUNTIF(TransactionTable[Customer_ID],R189)</f>
        <v>6</v>
      </c>
      <c r="W189" s="29">
        <f t="shared" si="7"/>
        <v>106228.6900189</v>
      </c>
    </row>
    <row r="190" spans="18:23" x14ac:dyDescent="0.3">
      <c r="R190" s="28" t="s">
        <v>228</v>
      </c>
      <c r="S190" s="28" t="str">
        <f>INDEX(TransactionTable[State],MATCH(R190,TransactionTable[Customer_ID],0))</f>
        <v>Rivers</v>
      </c>
      <c r="T190" s="28" t="str">
        <f>INDEX(TransactionTable[Account_Type],MATCH(R190,TransactionTable[Customer_ID],0))</f>
        <v>Tier 1 Wallet</v>
      </c>
      <c r="U190" s="16">
        <f>SUMIFS(TransactionTable[Amount],TransactionTable[Customer_ID],R190)</f>
        <v>242963.81999999998</v>
      </c>
      <c r="V190" s="14">
        <f>COUNTIF(TransactionTable[Customer_ID],R190)</f>
        <v>11</v>
      </c>
      <c r="W190" s="29">
        <f t="shared" si="7"/>
        <v>242963.82001899998</v>
      </c>
    </row>
    <row r="191" spans="18:23" x14ac:dyDescent="0.3">
      <c r="R191" s="28" t="s">
        <v>203</v>
      </c>
      <c r="S191" s="28" t="str">
        <f>INDEX(TransactionTable[State],MATCH(R191,TransactionTable[Customer_ID],0))</f>
        <v>Rivers</v>
      </c>
      <c r="T191" s="28" t="str">
        <f>INDEX(TransactionTable[Account_Type],MATCH(R191,TransactionTable[Customer_ID],0))</f>
        <v>Tier 1 Wallet</v>
      </c>
      <c r="U191" s="16">
        <f>SUMIFS(TransactionTable[Amount],TransactionTable[Customer_ID],R191)</f>
        <v>40105.39</v>
      </c>
      <c r="V191" s="14">
        <f>COUNTIF(TransactionTable[Customer_ID],R191)</f>
        <v>4</v>
      </c>
      <c r="W191" s="29">
        <f t="shared" si="7"/>
        <v>40105.390019099999</v>
      </c>
    </row>
    <row r="192" spans="18:23" x14ac:dyDescent="0.3">
      <c r="R192" s="28" t="s">
        <v>1171</v>
      </c>
      <c r="S192" s="28" t="str">
        <f>INDEX(TransactionTable[State],MATCH(R192,TransactionTable[Customer_ID],0))</f>
        <v>Lagos</v>
      </c>
      <c r="T192" s="28" t="str">
        <f>INDEX(TransactionTable[Account_Type],MATCH(R192,TransactionTable[Customer_ID],0))</f>
        <v>Savings</v>
      </c>
      <c r="U192" s="16">
        <f>SUMIFS(TransactionTable[Amount],TransactionTable[Customer_ID],R192)</f>
        <v>69140.52</v>
      </c>
      <c r="V192" s="14">
        <f>COUNTIF(TransactionTable[Customer_ID],R192)</f>
        <v>8</v>
      </c>
      <c r="W192" s="29">
        <f t="shared" si="7"/>
        <v>69140.520019200005</v>
      </c>
    </row>
    <row r="193" spans="18:23" x14ac:dyDescent="0.3">
      <c r="R193" s="28" t="s">
        <v>1201</v>
      </c>
      <c r="S193" s="28" t="str">
        <f>INDEX(TransactionTable[State],MATCH(R193,TransactionTable[Customer_ID],0))</f>
        <v>Oyo</v>
      </c>
      <c r="T193" s="28" t="str">
        <f>INDEX(TransactionTable[Account_Type],MATCH(R193,TransactionTable[Customer_ID],0))</f>
        <v>Tier 1 Wallet</v>
      </c>
      <c r="U193" s="16">
        <f>SUMIFS(TransactionTable[Amount],TransactionTable[Customer_ID],R193)</f>
        <v>154047.45000000001</v>
      </c>
      <c r="V193" s="14">
        <f>COUNTIF(TransactionTable[Customer_ID],R193)</f>
        <v>11</v>
      </c>
      <c r="W193" s="29">
        <f t="shared" si="7"/>
        <v>154047.45001930001</v>
      </c>
    </row>
    <row r="194" spans="18:23" x14ac:dyDescent="0.3">
      <c r="R194" s="28" t="s">
        <v>872</v>
      </c>
      <c r="S194" s="28" t="str">
        <f>INDEX(TransactionTable[State],MATCH(R194,TransactionTable[Customer_ID],0))</f>
        <v>Lagos</v>
      </c>
      <c r="T194" s="28" t="str">
        <f>INDEX(TransactionTable[Account_Type],MATCH(R194,TransactionTable[Customer_ID],0))</f>
        <v>Savings</v>
      </c>
      <c r="U194" s="16">
        <f>SUMIFS(TransactionTable[Amount],TransactionTable[Customer_ID],R194)</f>
        <v>90346.57</v>
      </c>
      <c r="V194" s="14">
        <f>COUNTIF(TransactionTable[Customer_ID],R194)</f>
        <v>12</v>
      </c>
      <c r="W194" s="29">
        <f t="shared" si="7"/>
        <v>90346.570019400009</v>
      </c>
    </row>
    <row r="195" spans="18:23" x14ac:dyDescent="0.3">
      <c r="R195" s="28" t="s">
        <v>97</v>
      </c>
      <c r="S195" s="28" t="str">
        <f>INDEX(TransactionTable[State],MATCH(R195,TransactionTable[Customer_ID],0))</f>
        <v>Oyo</v>
      </c>
      <c r="T195" s="28" t="str">
        <f>INDEX(TransactionTable[Account_Type],MATCH(R195,TransactionTable[Customer_ID],0))</f>
        <v>Savings</v>
      </c>
      <c r="U195" s="16">
        <f>SUMIFS(TransactionTable[Amount],TransactionTable[Customer_ID],R195)</f>
        <v>3229.19</v>
      </c>
      <c r="V195" s="14">
        <f>COUNTIF(TransactionTable[Customer_ID],R195)</f>
        <v>2</v>
      </c>
      <c r="W195" s="29">
        <f t="shared" si="7"/>
        <v>3229.1900194999998</v>
      </c>
    </row>
    <row r="196" spans="18:23" x14ac:dyDescent="0.3">
      <c r="R196" s="28" t="s">
        <v>690</v>
      </c>
      <c r="S196" s="28" t="str">
        <f>INDEX(TransactionTable[State],MATCH(R196,TransactionTable[Customer_ID],0))</f>
        <v>Enugu</v>
      </c>
      <c r="T196" s="28" t="str">
        <f>INDEX(TransactionTable[Account_Type],MATCH(R196,TransactionTable[Customer_ID],0))</f>
        <v>Savings</v>
      </c>
      <c r="U196" s="16">
        <f>SUMIFS(TransactionTable[Amount],TransactionTable[Customer_ID],R196)</f>
        <v>48194.110000000008</v>
      </c>
      <c r="V196" s="14">
        <f>COUNTIF(TransactionTable[Customer_ID],R196)</f>
        <v>6</v>
      </c>
      <c r="W196" s="29">
        <f t="shared" si="7"/>
        <v>48194.110019600004</v>
      </c>
    </row>
    <row r="197" spans="18:23" x14ac:dyDescent="0.3">
      <c r="R197" s="28" t="s">
        <v>225</v>
      </c>
      <c r="S197" s="28" t="str">
        <f>INDEX(TransactionTable[State],MATCH(R197,TransactionTable[Customer_ID],0))</f>
        <v>Kaduna</v>
      </c>
      <c r="T197" s="28" t="str">
        <f>INDEX(TransactionTable[Account_Type],MATCH(R197,TransactionTable[Customer_ID],0))</f>
        <v>Savings</v>
      </c>
      <c r="U197" s="16">
        <f>SUMIFS(TransactionTable[Amount],TransactionTable[Customer_ID],R197)</f>
        <v>232148.71000000002</v>
      </c>
      <c r="V197" s="14">
        <f>COUNTIF(TransactionTable[Customer_ID],R197)</f>
        <v>8</v>
      </c>
      <c r="W197" s="29">
        <f t="shared" si="7"/>
        <v>232148.71001970003</v>
      </c>
    </row>
    <row r="198" spans="18:23" x14ac:dyDescent="0.3">
      <c r="R198" s="28" t="s">
        <v>124</v>
      </c>
      <c r="S198" s="28" t="str">
        <f>INDEX(TransactionTable[State],MATCH(R198,TransactionTable[Customer_ID],0))</f>
        <v>Ogun</v>
      </c>
      <c r="T198" s="28" t="str">
        <f>INDEX(TransactionTable[Account_Type],MATCH(R198,TransactionTable[Customer_ID],0))</f>
        <v>Tier 3 Verified</v>
      </c>
      <c r="U198" s="16">
        <f>SUMIFS(TransactionTable[Amount],TransactionTable[Customer_ID],R198)</f>
        <v>80866.84</v>
      </c>
      <c r="V198" s="14">
        <f>COUNTIF(TransactionTable[Customer_ID],R198)</f>
        <v>7</v>
      </c>
      <c r="W198" s="29">
        <f t="shared" si="7"/>
        <v>80866.840019800002</v>
      </c>
    </row>
    <row r="199" spans="18:23" x14ac:dyDescent="0.3">
      <c r="R199" s="28" t="s">
        <v>502</v>
      </c>
      <c r="S199" s="28" t="str">
        <f>INDEX(TransactionTable[State],MATCH(R199,TransactionTable[Customer_ID],0))</f>
        <v>Delta</v>
      </c>
      <c r="T199" s="28" t="str">
        <f>INDEX(TransactionTable[Account_Type],MATCH(R199,TransactionTable[Customer_ID],0))</f>
        <v>Savings</v>
      </c>
      <c r="U199" s="16">
        <f>SUMIFS(TransactionTable[Amount],TransactionTable[Customer_ID],R199)</f>
        <v>170745.54</v>
      </c>
      <c r="V199" s="14">
        <f>COUNTIF(TransactionTable[Customer_ID],R199)</f>
        <v>9</v>
      </c>
      <c r="W199" s="29">
        <f t="shared" ref="W199:W262" si="8">U199+ROW()/10^7</f>
        <v>170745.54001990001</v>
      </c>
    </row>
    <row r="200" spans="18:23" x14ac:dyDescent="0.3">
      <c r="R200" s="28" t="s">
        <v>860</v>
      </c>
      <c r="S200" s="28" t="str">
        <f>INDEX(TransactionTable[State],MATCH(R200,TransactionTable[Customer_ID],0))</f>
        <v>Kano</v>
      </c>
      <c r="T200" s="28" t="str">
        <f>INDEX(TransactionTable[Account_Type],MATCH(R200,TransactionTable[Customer_ID],0))</f>
        <v>Tier 3 Verified</v>
      </c>
      <c r="U200" s="16">
        <f>SUMIFS(TransactionTable[Amount],TransactionTable[Customer_ID],R200)</f>
        <v>71376.100000000006</v>
      </c>
      <c r="V200" s="14">
        <f>COUNTIF(TransactionTable[Customer_ID],R200)</f>
        <v>9</v>
      </c>
      <c r="W200" s="29">
        <f t="shared" si="8"/>
        <v>71376.100020000013</v>
      </c>
    </row>
    <row r="201" spans="18:23" x14ac:dyDescent="0.3">
      <c r="R201" s="28" t="s">
        <v>988</v>
      </c>
      <c r="S201" s="28" t="str">
        <f>INDEX(TransactionTable[State],MATCH(R201,TransactionTable[Customer_ID],0))</f>
        <v>Lagos</v>
      </c>
      <c r="T201" s="28" t="str">
        <f>INDEX(TransactionTable[Account_Type],MATCH(R201,TransactionTable[Customer_ID],0))</f>
        <v>Current</v>
      </c>
      <c r="U201" s="16">
        <f>SUMIFS(TransactionTable[Amount],TransactionTable[Customer_ID],R201)</f>
        <v>188888.03</v>
      </c>
      <c r="V201" s="14">
        <f>COUNTIF(TransactionTable[Customer_ID],R201)</f>
        <v>10</v>
      </c>
      <c r="W201" s="29">
        <f t="shared" si="8"/>
        <v>188888.03002010001</v>
      </c>
    </row>
    <row r="202" spans="18:23" x14ac:dyDescent="0.3">
      <c r="R202" s="28" t="s">
        <v>792</v>
      </c>
      <c r="S202" s="28" t="str">
        <f>INDEX(TransactionTable[State],MATCH(R202,TransactionTable[Customer_ID],0))</f>
        <v>Lagos</v>
      </c>
      <c r="T202" s="28" t="str">
        <f>INDEX(TransactionTable[Account_Type],MATCH(R202,TransactionTable[Customer_ID],0))</f>
        <v>Savings</v>
      </c>
      <c r="U202" s="16">
        <f>SUMIFS(TransactionTable[Amount],TransactionTable[Customer_ID],R202)</f>
        <v>82029.739999999991</v>
      </c>
      <c r="V202" s="14">
        <f>COUNTIF(TransactionTable[Customer_ID],R202)</f>
        <v>6</v>
      </c>
      <c r="W202" s="29">
        <f t="shared" si="8"/>
        <v>82029.740020199984</v>
      </c>
    </row>
    <row r="203" spans="18:23" x14ac:dyDescent="0.3">
      <c r="R203" s="28" t="s">
        <v>190</v>
      </c>
      <c r="S203" s="28" t="str">
        <f>INDEX(TransactionTable[State],MATCH(R203,TransactionTable[Customer_ID],0))</f>
        <v>Lagos</v>
      </c>
      <c r="T203" s="28" t="str">
        <f>INDEX(TransactionTable[Account_Type],MATCH(R203,TransactionTable[Customer_ID],0))</f>
        <v>Savings</v>
      </c>
      <c r="U203" s="16">
        <f>SUMIFS(TransactionTable[Amount],TransactionTable[Customer_ID],R203)</f>
        <v>118416.25</v>
      </c>
      <c r="V203" s="14">
        <f>COUNTIF(TransactionTable[Customer_ID],R203)</f>
        <v>9</v>
      </c>
      <c r="W203" s="29">
        <f t="shared" si="8"/>
        <v>118416.25002029999</v>
      </c>
    </row>
    <row r="204" spans="18:23" x14ac:dyDescent="0.3">
      <c r="R204" s="28" t="s">
        <v>315</v>
      </c>
      <c r="S204" s="28" t="str">
        <f>INDEX(TransactionTable[State],MATCH(R204,TransactionTable[Customer_ID],0))</f>
        <v>Lagos</v>
      </c>
      <c r="T204" s="28" t="str">
        <f>INDEX(TransactionTable[Account_Type],MATCH(R204,TransactionTable[Customer_ID],0))</f>
        <v>Savings</v>
      </c>
      <c r="U204" s="16">
        <f>SUMIFS(TransactionTable[Amount],TransactionTable[Customer_ID],R204)</f>
        <v>88954.96</v>
      </c>
      <c r="V204" s="14">
        <f>COUNTIF(TransactionTable[Customer_ID],R204)</f>
        <v>10</v>
      </c>
      <c r="W204" s="29">
        <f t="shared" si="8"/>
        <v>88954.960020400002</v>
      </c>
    </row>
    <row r="205" spans="18:23" x14ac:dyDescent="0.3">
      <c r="R205" s="28" t="s">
        <v>963</v>
      </c>
      <c r="S205" s="28" t="str">
        <f>INDEX(TransactionTable[State],MATCH(R205,TransactionTable[Customer_ID],0))</f>
        <v>Rivers</v>
      </c>
      <c r="T205" s="28" t="str">
        <f>INDEX(TransactionTable[Account_Type],MATCH(R205,TransactionTable[Customer_ID],0))</f>
        <v>Current</v>
      </c>
      <c r="U205" s="16">
        <f>SUMIFS(TransactionTable[Amount],TransactionTable[Customer_ID],R205)</f>
        <v>55376.240000000005</v>
      </c>
      <c r="V205" s="14">
        <f>COUNTIF(TransactionTable[Customer_ID],R205)</f>
        <v>8</v>
      </c>
      <c r="W205" s="29">
        <f t="shared" si="8"/>
        <v>55376.240020500009</v>
      </c>
    </row>
    <row r="206" spans="18:23" x14ac:dyDescent="0.3">
      <c r="R206" s="28" t="s">
        <v>893</v>
      </c>
      <c r="S206" s="28" t="str">
        <f>INDEX(TransactionTable[State],MATCH(R206,TransactionTable[Customer_ID],0))</f>
        <v>Lagos</v>
      </c>
      <c r="T206" s="28" t="str">
        <f>INDEX(TransactionTable[Account_Type],MATCH(R206,TransactionTable[Customer_ID],0))</f>
        <v>Savings</v>
      </c>
      <c r="U206" s="16">
        <f>SUMIFS(TransactionTable[Amount],TransactionTable[Customer_ID],R206)</f>
        <v>39521.800000000003</v>
      </c>
      <c r="V206" s="14">
        <f>COUNTIF(TransactionTable[Customer_ID],R206)</f>
        <v>3</v>
      </c>
      <c r="W206" s="29">
        <f t="shared" si="8"/>
        <v>39521.8000206</v>
      </c>
    </row>
    <row r="207" spans="18:23" x14ac:dyDescent="0.3">
      <c r="R207" s="28" t="s">
        <v>808</v>
      </c>
      <c r="S207" s="28" t="str">
        <f>INDEX(TransactionTable[State],MATCH(R207,TransactionTable[Customer_ID],0))</f>
        <v>Lagos</v>
      </c>
      <c r="T207" s="28" t="str">
        <f>INDEX(TransactionTable[Account_Type],MATCH(R207,TransactionTable[Customer_ID],0))</f>
        <v>Savings</v>
      </c>
      <c r="U207" s="16">
        <f>SUMIFS(TransactionTable[Amount],TransactionTable[Customer_ID],R207)</f>
        <v>46821.850000000006</v>
      </c>
      <c r="V207" s="14">
        <f>COUNTIF(TransactionTable[Customer_ID],R207)</f>
        <v>5</v>
      </c>
      <c r="W207" s="29">
        <f t="shared" si="8"/>
        <v>46821.850020700003</v>
      </c>
    </row>
    <row r="208" spans="18:23" x14ac:dyDescent="0.3">
      <c r="R208" s="28" t="s">
        <v>784</v>
      </c>
      <c r="S208" s="28" t="str">
        <f>INDEX(TransactionTable[State],MATCH(R208,TransactionTable[Customer_ID],0))</f>
        <v>Lagos</v>
      </c>
      <c r="T208" s="28" t="str">
        <f>INDEX(TransactionTable[Account_Type],MATCH(R208,TransactionTable[Customer_ID],0))</f>
        <v>Savings</v>
      </c>
      <c r="U208" s="16">
        <f>SUMIFS(TransactionTable[Amount],TransactionTable[Customer_ID],R208)</f>
        <v>56638.41</v>
      </c>
      <c r="V208" s="14">
        <f>COUNTIF(TransactionTable[Customer_ID],R208)</f>
        <v>7</v>
      </c>
      <c r="W208" s="29">
        <f t="shared" si="8"/>
        <v>56638.410020800002</v>
      </c>
    </row>
    <row r="209" spans="18:23" x14ac:dyDescent="0.3">
      <c r="R209" s="28" t="s">
        <v>1877</v>
      </c>
      <c r="S209" s="28" t="str">
        <f>INDEX(TransactionTable[State],MATCH(R209,TransactionTable[Customer_ID],0))</f>
        <v>Kano</v>
      </c>
      <c r="T209" s="28" t="str">
        <f>INDEX(TransactionTable[Account_Type],MATCH(R209,TransactionTable[Customer_ID],0))</f>
        <v>Current</v>
      </c>
      <c r="U209" s="16">
        <f>SUMIFS(TransactionTable[Amount],TransactionTable[Customer_ID],R209)</f>
        <v>47086.19</v>
      </c>
      <c r="V209" s="14">
        <f>COUNTIF(TransactionTable[Customer_ID],R209)</f>
        <v>3</v>
      </c>
      <c r="W209" s="29">
        <f t="shared" si="8"/>
        <v>47086.190020900001</v>
      </c>
    </row>
    <row r="210" spans="18:23" x14ac:dyDescent="0.3">
      <c r="R210" s="28" t="s">
        <v>543</v>
      </c>
      <c r="S210" s="28" t="str">
        <f>INDEX(TransactionTable[State],MATCH(R210,TransactionTable[Customer_ID],0))</f>
        <v>Lagos</v>
      </c>
      <c r="T210" s="28" t="str">
        <f>INDEX(TransactionTable[Account_Type],MATCH(R210,TransactionTable[Customer_ID],0))</f>
        <v>Tier 1 Wallet</v>
      </c>
      <c r="U210" s="16">
        <f>SUMIFS(TransactionTable[Amount],TransactionTable[Customer_ID],R210)</f>
        <v>123710.23999999999</v>
      </c>
      <c r="V210" s="14">
        <f>COUNTIF(TransactionTable[Customer_ID],R210)</f>
        <v>8</v>
      </c>
      <c r="W210" s="29">
        <f t="shared" si="8"/>
        <v>123710.24002099999</v>
      </c>
    </row>
    <row r="211" spans="18:23" x14ac:dyDescent="0.3">
      <c r="R211" s="28" t="s">
        <v>161</v>
      </c>
      <c r="S211" s="28" t="str">
        <f>INDEX(TransactionTable[State],MATCH(R211,TransactionTable[Customer_ID],0))</f>
        <v>Lagos</v>
      </c>
      <c r="T211" s="28" t="str">
        <f>INDEX(TransactionTable[Account_Type],MATCH(R211,TransactionTable[Customer_ID],0))</f>
        <v>Tier 1 Wallet</v>
      </c>
      <c r="U211" s="16">
        <f>SUMIFS(TransactionTable[Amount],TransactionTable[Customer_ID],R211)</f>
        <v>76079.66</v>
      </c>
      <c r="V211" s="14">
        <f>COUNTIF(TransactionTable[Customer_ID],R211)</f>
        <v>3</v>
      </c>
      <c r="W211" s="29">
        <f t="shared" si="8"/>
        <v>76079.660021100004</v>
      </c>
    </row>
    <row r="212" spans="18:23" x14ac:dyDescent="0.3">
      <c r="R212" s="28" t="s">
        <v>399</v>
      </c>
      <c r="S212" s="28" t="str">
        <f>INDEX(TransactionTable[State],MATCH(R212,TransactionTable[Customer_ID],0))</f>
        <v>Lagos</v>
      </c>
      <c r="T212" s="28" t="str">
        <f>INDEX(TransactionTable[Account_Type],MATCH(R212,TransactionTable[Customer_ID],0))</f>
        <v>Savings</v>
      </c>
      <c r="U212" s="16">
        <f>SUMIFS(TransactionTable[Amount],TransactionTable[Customer_ID],R212)</f>
        <v>50361.779999999992</v>
      </c>
      <c r="V212" s="14">
        <f>COUNTIF(TransactionTable[Customer_ID],R212)</f>
        <v>7</v>
      </c>
      <c r="W212" s="29">
        <f t="shared" si="8"/>
        <v>50361.780021199993</v>
      </c>
    </row>
    <row r="213" spans="18:23" x14ac:dyDescent="0.3">
      <c r="R213" s="28" t="s">
        <v>2403</v>
      </c>
      <c r="S213" s="28" t="str">
        <f>INDEX(TransactionTable[State],MATCH(R213,TransactionTable[Customer_ID],0))</f>
        <v>FCT Abuja</v>
      </c>
      <c r="T213" s="28" t="str">
        <f>INDEX(TransactionTable[Account_Type],MATCH(R213,TransactionTable[Customer_ID],0))</f>
        <v>Savings</v>
      </c>
      <c r="U213" s="16">
        <f>SUMIFS(TransactionTable[Amount],TransactionTable[Customer_ID],R213)</f>
        <v>2733.45</v>
      </c>
      <c r="V213" s="14">
        <f>COUNTIF(TransactionTable[Customer_ID],R213)</f>
        <v>1</v>
      </c>
      <c r="W213" s="29">
        <f t="shared" si="8"/>
        <v>2733.4500212999997</v>
      </c>
    </row>
    <row r="214" spans="18:23" x14ac:dyDescent="0.3">
      <c r="R214" s="28" t="s">
        <v>476</v>
      </c>
      <c r="S214" s="28" t="str">
        <f>INDEX(TransactionTable[State],MATCH(R214,TransactionTable[Customer_ID],0))</f>
        <v>Kano</v>
      </c>
      <c r="T214" s="28" t="str">
        <f>INDEX(TransactionTable[Account_Type],MATCH(R214,TransactionTable[Customer_ID],0))</f>
        <v>Savings</v>
      </c>
      <c r="U214" s="16">
        <f>SUMIFS(TransactionTable[Amount],TransactionTable[Customer_ID],R214)</f>
        <v>108630.03</v>
      </c>
      <c r="V214" s="14">
        <f>COUNTIF(TransactionTable[Customer_ID],R214)</f>
        <v>7</v>
      </c>
      <c r="W214" s="29">
        <f t="shared" si="8"/>
        <v>108630.0300214</v>
      </c>
    </row>
    <row r="215" spans="18:23" x14ac:dyDescent="0.3">
      <c r="R215" s="28" t="s">
        <v>874</v>
      </c>
      <c r="S215" s="28" t="str">
        <f>INDEX(TransactionTable[State],MATCH(R215,TransactionTable[Customer_ID],0))</f>
        <v>Kano</v>
      </c>
      <c r="T215" s="28" t="str">
        <f>INDEX(TransactionTable[Account_Type],MATCH(R215,TransactionTable[Customer_ID],0))</f>
        <v>Savings</v>
      </c>
      <c r="U215" s="16">
        <f>SUMIFS(TransactionTable[Amount],TransactionTable[Customer_ID],R215)</f>
        <v>79384.12</v>
      </c>
      <c r="V215" s="14">
        <f>COUNTIF(TransactionTable[Customer_ID],R215)</f>
        <v>4</v>
      </c>
      <c r="W215" s="29">
        <f t="shared" si="8"/>
        <v>79384.120021499999</v>
      </c>
    </row>
    <row r="216" spans="18:23" x14ac:dyDescent="0.3">
      <c r="R216" s="28" t="s">
        <v>427</v>
      </c>
      <c r="S216" s="28" t="str">
        <f>INDEX(TransactionTable[State],MATCH(R216,TransactionTable[Customer_ID],0))</f>
        <v>Lagos</v>
      </c>
      <c r="T216" s="28" t="str">
        <f>INDEX(TransactionTable[Account_Type],MATCH(R216,TransactionTable[Customer_ID],0))</f>
        <v>Savings</v>
      </c>
      <c r="U216" s="16">
        <f>SUMIFS(TransactionTable[Amount],TransactionTable[Customer_ID],R216)</f>
        <v>24977.79</v>
      </c>
      <c r="V216" s="14">
        <f>COUNTIF(TransactionTable[Customer_ID],R216)</f>
        <v>4</v>
      </c>
      <c r="W216" s="29">
        <f t="shared" si="8"/>
        <v>24977.790021600002</v>
      </c>
    </row>
    <row r="217" spans="18:23" x14ac:dyDescent="0.3">
      <c r="R217" s="28" t="s">
        <v>1717</v>
      </c>
      <c r="S217" s="28" t="str">
        <f>INDEX(TransactionTable[State],MATCH(R217,TransactionTable[Customer_ID],0))</f>
        <v>Enugu</v>
      </c>
      <c r="T217" s="28" t="str">
        <f>INDEX(TransactionTable[Account_Type],MATCH(R217,TransactionTable[Customer_ID],0))</f>
        <v>Current</v>
      </c>
      <c r="U217" s="16">
        <f>SUMIFS(TransactionTable[Amount],TransactionTable[Customer_ID],R217)</f>
        <v>82269.409999999989</v>
      </c>
      <c r="V217" s="14">
        <f>COUNTIF(TransactionTable[Customer_ID],R217)</f>
        <v>6</v>
      </c>
      <c r="W217" s="29">
        <f t="shared" si="8"/>
        <v>82269.410021699994</v>
      </c>
    </row>
    <row r="218" spans="18:23" x14ac:dyDescent="0.3">
      <c r="R218" s="28" t="s">
        <v>293</v>
      </c>
      <c r="S218" s="28" t="str">
        <f>INDEX(TransactionTable[State],MATCH(R218,TransactionTable[Customer_ID],0))</f>
        <v>Lagos</v>
      </c>
      <c r="T218" s="28" t="str">
        <f>INDEX(TransactionTable[Account_Type],MATCH(R218,TransactionTable[Customer_ID],0))</f>
        <v>Savings</v>
      </c>
      <c r="U218" s="16">
        <f>SUMIFS(TransactionTable[Amount],TransactionTable[Customer_ID],R218)</f>
        <v>216668.85</v>
      </c>
      <c r="V218" s="14">
        <f>COUNTIF(TransactionTable[Customer_ID],R218)</f>
        <v>10</v>
      </c>
      <c r="W218" s="29">
        <f t="shared" si="8"/>
        <v>216668.8500218</v>
      </c>
    </row>
    <row r="219" spans="18:23" x14ac:dyDescent="0.3">
      <c r="R219" s="28" t="s">
        <v>254</v>
      </c>
      <c r="S219" s="28" t="str">
        <f>INDEX(TransactionTable[State],MATCH(R219,TransactionTable[Customer_ID],0))</f>
        <v>Lagos</v>
      </c>
      <c r="T219" s="28" t="str">
        <f>INDEX(TransactionTable[Account_Type],MATCH(R219,TransactionTable[Customer_ID],0))</f>
        <v>Savings</v>
      </c>
      <c r="U219" s="16">
        <f>SUMIFS(TransactionTable[Amount],TransactionTable[Customer_ID],R219)</f>
        <v>106175.73999999999</v>
      </c>
      <c r="V219" s="14">
        <f>COUNTIF(TransactionTable[Customer_ID],R219)</f>
        <v>8</v>
      </c>
      <c r="W219" s="29">
        <f t="shared" si="8"/>
        <v>106175.7400219</v>
      </c>
    </row>
    <row r="220" spans="18:23" x14ac:dyDescent="0.3">
      <c r="R220" s="28" t="s">
        <v>868</v>
      </c>
      <c r="S220" s="28" t="str">
        <f>INDEX(TransactionTable[State],MATCH(R220,TransactionTable[Customer_ID],0))</f>
        <v>Lagos</v>
      </c>
      <c r="T220" s="28" t="str">
        <f>INDEX(TransactionTable[Account_Type],MATCH(R220,TransactionTable[Customer_ID],0))</f>
        <v>Savings</v>
      </c>
      <c r="U220" s="16">
        <f>SUMIFS(TransactionTable[Amount],TransactionTable[Customer_ID],R220)</f>
        <v>26720.300000000003</v>
      </c>
      <c r="V220" s="14">
        <f>COUNTIF(TransactionTable[Customer_ID],R220)</f>
        <v>5</v>
      </c>
      <c r="W220" s="29">
        <f t="shared" si="8"/>
        <v>26720.300022000003</v>
      </c>
    </row>
    <row r="221" spans="18:23" x14ac:dyDescent="0.3">
      <c r="R221" s="28" t="s">
        <v>926</v>
      </c>
      <c r="S221" s="28" t="str">
        <f>INDEX(TransactionTable[State],MATCH(R221,TransactionTable[Customer_ID],0))</f>
        <v>Lagos</v>
      </c>
      <c r="T221" s="28" t="str">
        <f>INDEX(TransactionTable[Account_Type],MATCH(R221,TransactionTable[Customer_ID],0))</f>
        <v>Savings</v>
      </c>
      <c r="U221" s="16">
        <f>SUMIFS(TransactionTable[Amount],TransactionTable[Customer_ID],R221)</f>
        <v>43227.37</v>
      </c>
      <c r="V221" s="14">
        <f>COUNTIF(TransactionTable[Customer_ID],R221)</f>
        <v>4</v>
      </c>
      <c r="W221" s="29">
        <f t="shared" si="8"/>
        <v>43227.370022100004</v>
      </c>
    </row>
    <row r="222" spans="18:23" x14ac:dyDescent="0.3">
      <c r="R222" s="28" t="s">
        <v>309</v>
      </c>
      <c r="S222" s="28" t="str">
        <f>INDEX(TransactionTable[State],MATCH(R222,TransactionTable[Customer_ID],0))</f>
        <v>Oyo</v>
      </c>
      <c r="T222" s="28" t="str">
        <f>INDEX(TransactionTable[Account_Type],MATCH(R222,TransactionTable[Customer_ID],0))</f>
        <v>Current</v>
      </c>
      <c r="U222" s="16">
        <f>SUMIFS(TransactionTable[Amount],TransactionTable[Customer_ID],R222)</f>
        <v>185815.40000000002</v>
      </c>
      <c r="V222" s="14">
        <f>COUNTIF(TransactionTable[Customer_ID],R222)</f>
        <v>9</v>
      </c>
      <c r="W222" s="29">
        <f t="shared" si="8"/>
        <v>185815.40002220002</v>
      </c>
    </row>
    <row r="223" spans="18:23" x14ac:dyDescent="0.3">
      <c r="R223" s="28" t="s">
        <v>305</v>
      </c>
      <c r="S223" s="28" t="str">
        <f>INDEX(TransactionTable[State],MATCH(R223,TransactionTable[Customer_ID],0))</f>
        <v>Rivers</v>
      </c>
      <c r="T223" s="28" t="str">
        <f>INDEX(TransactionTable[Account_Type],MATCH(R223,TransactionTable[Customer_ID],0))</f>
        <v>Savings</v>
      </c>
      <c r="U223" s="16">
        <f>SUMIFS(TransactionTable[Amount],TransactionTable[Customer_ID],R223)</f>
        <v>112285.09000000003</v>
      </c>
      <c r="V223" s="14">
        <f>COUNTIF(TransactionTable[Customer_ID],R223)</f>
        <v>7</v>
      </c>
      <c r="W223" s="29">
        <f t="shared" si="8"/>
        <v>112285.09002230002</v>
      </c>
    </row>
    <row r="224" spans="18:23" x14ac:dyDescent="0.3">
      <c r="R224" s="28" t="s">
        <v>332</v>
      </c>
      <c r="S224" s="28" t="str">
        <f>INDEX(TransactionTable[State],MATCH(R224,TransactionTable[Customer_ID],0))</f>
        <v>Oyo</v>
      </c>
      <c r="T224" s="28" t="str">
        <f>INDEX(TransactionTable[Account_Type],MATCH(R224,TransactionTable[Customer_ID],0))</f>
        <v>Tier 1 Wallet</v>
      </c>
      <c r="U224" s="16">
        <f>SUMIFS(TransactionTable[Amount],TransactionTable[Customer_ID],R224)</f>
        <v>51882.15</v>
      </c>
      <c r="V224" s="14">
        <f>COUNTIF(TransactionTable[Customer_ID],R224)</f>
        <v>8</v>
      </c>
      <c r="W224" s="29">
        <f t="shared" si="8"/>
        <v>51882.150022400005</v>
      </c>
    </row>
    <row r="225" spans="18:23" x14ac:dyDescent="0.3">
      <c r="R225" s="28" t="s">
        <v>282</v>
      </c>
      <c r="S225" s="28" t="str">
        <f>INDEX(TransactionTable[State],MATCH(R225,TransactionTable[Customer_ID],0))</f>
        <v>Lagos</v>
      </c>
      <c r="T225" s="28" t="str">
        <f>INDEX(TransactionTable[Account_Type],MATCH(R225,TransactionTable[Customer_ID],0))</f>
        <v>Savings</v>
      </c>
      <c r="U225" s="16">
        <f>SUMIFS(TransactionTable[Amount],TransactionTable[Customer_ID],R225)</f>
        <v>5224.6400000000003</v>
      </c>
      <c r="V225" s="14">
        <f>COUNTIF(TransactionTable[Customer_ID],R225)</f>
        <v>3</v>
      </c>
      <c r="W225" s="29">
        <f t="shared" si="8"/>
        <v>5224.6400225000007</v>
      </c>
    </row>
    <row r="226" spans="18:23" x14ac:dyDescent="0.3">
      <c r="R226" s="28" t="s">
        <v>429</v>
      </c>
      <c r="S226" s="28" t="str">
        <f>INDEX(TransactionTable[State],MATCH(R226,TransactionTable[Customer_ID],0))</f>
        <v>Oyo</v>
      </c>
      <c r="T226" s="28" t="str">
        <f>INDEX(TransactionTable[Account_Type],MATCH(R226,TransactionTable[Customer_ID],0))</f>
        <v>Current</v>
      </c>
      <c r="U226" s="16">
        <f>SUMIFS(TransactionTable[Amount],TransactionTable[Customer_ID],R226)</f>
        <v>147506.96</v>
      </c>
      <c r="V226" s="14">
        <f>COUNTIF(TransactionTable[Customer_ID],R226)</f>
        <v>8</v>
      </c>
      <c r="W226" s="29">
        <f t="shared" si="8"/>
        <v>147506.96002259999</v>
      </c>
    </row>
    <row r="227" spans="18:23" x14ac:dyDescent="0.3">
      <c r="R227" s="28" t="s">
        <v>338</v>
      </c>
      <c r="S227" s="28" t="str">
        <f>INDEX(TransactionTable[State],MATCH(R227,TransactionTable[Customer_ID],0))</f>
        <v>Edo</v>
      </c>
      <c r="T227" s="28" t="str">
        <f>INDEX(TransactionTable[Account_Type],MATCH(R227,TransactionTable[Customer_ID],0))</f>
        <v>Current</v>
      </c>
      <c r="U227" s="16">
        <f>SUMIFS(TransactionTable[Amount],TransactionTable[Customer_ID],R227)</f>
        <v>173112.11</v>
      </c>
      <c r="V227" s="14">
        <f>COUNTIF(TransactionTable[Customer_ID],R227)</f>
        <v>12</v>
      </c>
      <c r="W227" s="29">
        <f t="shared" si="8"/>
        <v>173112.11002269998</v>
      </c>
    </row>
    <row r="228" spans="18:23" x14ac:dyDescent="0.3">
      <c r="R228" s="28" t="s">
        <v>903</v>
      </c>
      <c r="S228" s="28" t="str">
        <f>INDEX(TransactionTable[State],MATCH(R228,TransactionTable[Customer_ID],0))</f>
        <v>Lagos</v>
      </c>
      <c r="T228" s="28" t="str">
        <f>INDEX(TransactionTable[Account_Type],MATCH(R228,TransactionTable[Customer_ID],0))</f>
        <v>Savings</v>
      </c>
      <c r="U228" s="16">
        <f>SUMIFS(TransactionTable[Amount],TransactionTable[Customer_ID],R228)</f>
        <v>56524.800000000003</v>
      </c>
      <c r="V228" s="14">
        <f>COUNTIF(TransactionTable[Customer_ID],R228)</f>
        <v>2</v>
      </c>
      <c r="W228" s="29">
        <f t="shared" si="8"/>
        <v>56524.800022800002</v>
      </c>
    </row>
    <row r="229" spans="18:23" x14ac:dyDescent="0.3">
      <c r="R229" s="28" t="s">
        <v>185</v>
      </c>
      <c r="S229" s="28" t="str">
        <f>INDEX(TransactionTable[State],MATCH(R229,TransactionTable[Customer_ID],0))</f>
        <v>Lagos</v>
      </c>
      <c r="T229" s="28" t="str">
        <f>INDEX(TransactionTable[Account_Type],MATCH(R229,TransactionTable[Customer_ID],0))</f>
        <v>Savings</v>
      </c>
      <c r="U229" s="16">
        <f>SUMIFS(TransactionTable[Amount],TransactionTable[Customer_ID],R229)</f>
        <v>77148.02</v>
      </c>
      <c r="V229" s="14">
        <f>COUNTIF(TransactionTable[Customer_ID],R229)</f>
        <v>7</v>
      </c>
      <c r="W229" s="29">
        <f t="shared" si="8"/>
        <v>77148.020022900004</v>
      </c>
    </row>
    <row r="230" spans="18:23" x14ac:dyDescent="0.3">
      <c r="R230" s="28" t="s">
        <v>67</v>
      </c>
      <c r="S230" s="28" t="str">
        <f>INDEX(TransactionTable[State],MATCH(R230,TransactionTable[Customer_ID],0))</f>
        <v>Lagos</v>
      </c>
      <c r="T230" s="28" t="str">
        <f>INDEX(TransactionTable[Account_Type],MATCH(R230,TransactionTable[Customer_ID],0))</f>
        <v>Tier 1 Wallet</v>
      </c>
      <c r="U230" s="16">
        <f>SUMIFS(TransactionTable[Amount],TransactionTable[Customer_ID],R230)</f>
        <v>62070.14</v>
      </c>
      <c r="V230" s="14">
        <f>COUNTIF(TransactionTable[Customer_ID],R230)</f>
        <v>9</v>
      </c>
      <c r="W230" s="29">
        <f t="shared" si="8"/>
        <v>62070.140023</v>
      </c>
    </row>
    <row r="231" spans="18:23" x14ac:dyDescent="0.3">
      <c r="R231" s="28" t="s">
        <v>313</v>
      </c>
      <c r="S231" s="28" t="str">
        <f>INDEX(TransactionTable[State],MATCH(R231,TransactionTable[Customer_ID],0))</f>
        <v>Rivers</v>
      </c>
      <c r="T231" s="28" t="str">
        <f>INDEX(TransactionTable[Account_Type],MATCH(R231,TransactionTable[Customer_ID],0))</f>
        <v>Savings</v>
      </c>
      <c r="U231" s="16">
        <f>SUMIFS(TransactionTable[Amount],TransactionTable[Customer_ID],R231)</f>
        <v>117226.58999999998</v>
      </c>
      <c r="V231" s="14">
        <f>COUNTIF(TransactionTable[Customer_ID],R231)</f>
        <v>7</v>
      </c>
      <c r="W231" s="29">
        <f t="shared" si="8"/>
        <v>117226.59002309998</v>
      </c>
    </row>
    <row r="232" spans="18:23" x14ac:dyDescent="0.3">
      <c r="R232" s="28" t="s">
        <v>284</v>
      </c>
      <c r="S232" s="28" t="str">
        <f>INDEX(TransactionTable[State],MATCH(R232,TransactionTable[Customer_ID],0))</f>
        <v>Lagos</v>
      </c>
      <c r="T232" s="28" t="str">
        <f>INDEX(TransactionTable[Account_Type],MATCH(R232,TransactionTable[Customer_ID],0))</f>
        <v>Savings</v>
      </c>
      <c r="U232" s="16">
        <f>SUMIFS(TransactionTable[Amount],TransactionTable[Customer_ID],R232)</f>
        <v>149573.66999999998</v>
      </c>
      <c r="V232" s="14">
        <f>COUNTIF(TransactionTable[Customer_ID],R232)</f>
        <v>8</v>
      </c>
      <c r="W232" s="29">
        <f t="shared" si="8"/>
        <v>149573.67002319999</v>
      </c>
    </row>
    <row r="233" spans="18:23" x14ac:dyDescent="0.3">
      <c r="R233" s="28" t="s">
        <v>1194</v>
      </c>
      <c r="S233" s="28" t="str">
        <f>INDEX(TransactionTable[State],MATCH(R233,TransactionTable[Customer_ID],0))</f>
        <v>Ogun</v>
      </c>
      <c r="T233" s="28" t="str">
        <f>INDEX(TransactionTable[Account_Type],MATCH(R233,TransactionTable[Customer_ID],0))</f>
        <v>Tier 1 Wallet</v>
      </c>
      <c r="U233" s="16">
        <f>SUMIFS(TransactionTable[Amount],TransactionTable[Customer_ID],R233)</f>
        <v>63899.840000000004</v>
      </c>
      <c r="V233" s="14">
        <f>COUNTIF(TransactionTable[Customer_ID],R233)</f>
        <v>5</v>
      </c>
      <c r="W233" s="29">
        <f t="shared" si="8"/>
        <v>63899.840023300007</v>
      </c>
    </row>
    <row r="234" spans="18:23" x14ac:dyDescent="0.3">
      <c r="R234" s="28" t="s">
        <v>509</v>
      </c>
      <c r="S234" s="28" t="str">
        <f>INDEX(TransactionTable[State],MATCH(R234,TransactionTable[Customer_ID],0))</f>
        <v>Lagos</v>
      </c>
      <c r="T234" s="28" t="str">
        <f>INDEX(TransactionTable[Account_Type],MATCH(R234,TransactionTable[Customer_ID],0))</f>
        <v>Current</v>
      </c>
      <c r="U234" s="16">
        <f>SUMIFS(TransactionTable[Amount],TransactionTable[Customer_ID],R234)</f>
        <v>91626.240000000005</v>
      </c>
      <c r="V234" s="14">
        <f>COUNTIF(TransactionTable[Customer_ID],R234)</f>
        <v>8</v>
      </c>
      <c r="W234" s="29">
        <f t="shared" si="8"/>
        <v>91626.240023400009</v>
      </c>
    </row>
    <row r="235" spans="18:23" x14ac:dyDescent="0.3">
      <c r="R235" s="28" t="s">
        <v>47</v>
      </c>
      <c r="S235" s="28" t="str">
        <f>INDEX(TransactionTable[State],MATCH(R235,TransactionTable[Customer_ID],0))</f>
        <v>Rivers</v>
      </c>
      <c r="T235" s="28" t="str">
        <f>INDEX(TransactionTable[Account_Type],MATCH(R235,TransactionTable[Customer_ID],0))</f>
        <v>Current</v>
      </c>
      <c r="U235" s="16">
        <f>SUMIFS(TransactionTable[Amount],TransactionTable[Customer_ID],R235)</f>
        <v>187161.25</v>
      </c>
      <c r="V235" s="14">
        <f>COUNTIF(TransactionTable[Customer_ID],R235)</f>
        <v>7</v>
      </c>
      <c r="W235" s="29">
        <f t="shared" si="8"/>
        <v>187161.2500235</v>
      </c>
    </row>
    <row r="236" spans="18:23" x14ac:dyDescent="0.3">
      <c r="R236" s="28" t="s">
        <v>605</v>
      </c>
      <c r="S236" s="28" t="str">
        <f>INDEX(TransactionTable[State],MATCH(R236,TransactionTable[Customer_ID],0))</f>
        <v>FCT Abuja</v>
      </c>
      <c r="T236" s="28" t="str">
        <f>INDEX(TransactionTable[Account_Type],MATCH(R236,TransactionTable[Customer_ID],0))</f>
        <v>Savings</v>
      </c>
      <c r="U236" s="16">
        <f>SUMIFS(TransactionTable[Amount],TransactionTable[Customer_ID],R236)</f>
        <v>163186.06</v>
      </c>
      <c r="V236" s="14">
        <f>COUNTIF(TransactionTable[Customer_ID],R236)</f>
        <v>9</v>
      </c>
      <c r="W236" s="29">
        <f t="shared" si="8"/>
        <v>163186.0600236</v>
      </c>
    </row>
    <row r="237" spans="18:23" x14ac:dyDescent="0.3">
      <c r="R237" s="28" t="s">
        <v>1760</v>
      </c>
      <c r="S237" s="28" t="str">
        <f>INDEX(TransactionTable[State],MATCH(R237,TransactionTable[Customer_ID],0))</f>
        <v>Kano</v>
      </c>
      <c r="T237" s="28" t="str">
        <f>INDEX(TransactionTable[Account_Type],MATCH(R237,TransactionTable[Customer_ID],0))</f>
        <v>Current</v>
      </c>
      <c r="U237" s="16">
        <f>SUMIFS(TransactionTable[Amount],TransactionTable[Customer_ID],R237)</f>
        <v>13544.09</v>
      </c>
      <c r="V237" s="14">
        <f>COUNTIF(TransactionTable[Customer_ID],R237)</f>
        <v>3</v>
      </c>
      <c r="W237" s="29">
        <f t="shared" si="8"/>
        <v>13544.090023700001</v>
      </c>
    </row>
    <row r="238" spans="18:23" x14ac:dyDescent="0.3">
      <c r="R238" s="28" t="s">
        <v>535</v>
      </c>
      <c r="S238" s="28" t="str">
        <f>INDEX(TransactionTable[State],MATCH(R238,TransactionTable[Customer_ID],0))</f>
        <v>Lagos</v>
      </c>
      <c r="T238" s="28" t="str">
        <f>INDEX(TransactionTable[Account_Type],MATCH(R238,TransactionTable[Customer_ID],0))</f>
        <v>Current</v>
      </c>
      <c r="U238" s="16">
        <f>SUMIFS(TransactionTable[Amount],TransactionTable[Customer_ID],R238)</f>
        <v>64717.39</v>
      </c>
      <c r="V238" s="14">
        <f>COUNTIF(TransactionTable[Customer_ID],R238)</f>
        <v>9</v>
      </c>
      <c r="W238" s="29">
        <f t="shared" si="8"/>
        <v>64717.390023799999</v>
      </c>
    </row>
    <row r="239" spans="18:23" x14ac:dyDescent="0.3">
      <c r="R239" s="28" t="s">
        <v>37</v>
      </c>
      <c r="S239" s="28" t="str">
        <f>INDEX(TransactionTable[State],MATCH(R239,TransactionTable[Customer_ID],0))</f>
        <v>Oyo</v>
      </c>
      <c r="T239" s="28" t="str">
        <f>INDEX(TransactionTable[Account_Type],MATCH(R239,TransactionTable[Customer_ID],0))</f>
        <v>Savings</v>
      </c>
      <c r="U239" s="16">
        <f>SUMIFS(TransactionTable[Amount],TransactionTable[Customer_ID],R239)</f>
        <v>28917.230000000003</v>
      </c>
      <c r="V239" s="14">
        <f>COUNTIF(TransactionTable[Customer_ID],R239)</f>
        <v>4</v>
      </c>
      <c r="W239" s="29">
        <f t="shared" si="8"/>
        <v>28917.230023900003</v>
      </c>
    </row>
    <row r="240" spans="18:23" x14ac:dyDescent="0.3">
      <c r="R240" s="28" t="s">
        <v>517</v>
      </c>
      <c r="S240" s="28" t="str">
        <f>INDEX(TransactionTable[State],MATCH(R240,TransactionTable[Customer_ID],0))</f>
        <v>Rivers</v>
      </c>
      <c r="T240" s="28" t="str">
        <f>INDEX(TransactionTable[Account_Type],MATCH(R240,TransactionTable[Customer_ID],0))</f>
        <v>Savings</v>
      </c>
      <c r="U240" s="16">
        <f>SUMIFS(TransactionTable[Amount],TransactionTable[Customer_ID],R240)</f>
        <v>107299.88</v>
      </c>
      <c r="V240" s="14">
        <f>COUNTIF(TransactionTable[Customer_ID],R240)</f>
        <v>8</v>
      </c>
      <c r="W240" s="29">
        <f t="shared" si="8"/>
        <v>107299.880024</v>
      </c>
    </row>
    <row r="241" spans="18:23" x14ac:dyDescent="0.3">
      <c r="R241" s="28" t="s">
        <v>388</v>
      </c>
      <c r="S241" s="28" t="str">
        <f>INDEX(TransactionTable[State],MATCH(R241,TransactionTable[Customer_ID],0))</f>
        <v>Lagos</v>
      </c>
      <c r="T241" s="28" t="str">
        <f>INDEX(TransactionTable[Account_Type],MATCH(R241,TransactionTable[Customer_ID],0))</f>
        <v>Savings</v>
      </c>
      <c r="U241" s="16">
        <f>SUMIFS(TransactionTable[Amount],TransactionTable[Customer_ID],R241)</f>
        <v>132516.9</v>
      </c>
      <c r="V241" s="14">
        <f>COUNTIF(TransactionTable[Customer_ID],R241)</f>
        <v>16</v>
      </c>
      <c r="W241" s="29">
        <f t="shared" si="8"/>
        <v>132516.9000241</v>
      </c>
    </row>
    <row r="242" spans="18:23" x14ac:dyDescent="0.3">
      <c r="R242" s="28" t="s">
        <v>1086</v>
      </c>
      <c r="S242" s="28" t="str">
        <f>INDEX(TransactionTable[State],MATCH(R242,TransactionTable[Customer_ID],0))</f>
        <v>Lagos</v>
      </c>
      <c r="T242" s="28" t="str">
        <f>INDEX(TransactionTable[Account_Type],MATCH(R242,TransactionTable[Customer_ID],0))</f>
        <v>Tier 1 Wallet</v>
      </c>
      <c r="U242" s="16">
        <f>SUMIFS(TransactionTable[Amount],TransactionTable[Customer_ID],R242)</f>
        <v>84283.430000000008</v>
      </c>
      <c r="V242" s="14">
        <f>COUNTIF(TransactionTable[Customer_ID],R242)</f>
        <v>6</v>
      </c>
      <c r="W242" s="29">
        <f t="shared" si="8"/>
        <v>84283.430024200003</v>
      </c>
    </row>
    <row r="243" spans="18:23" x14ac:dyDescent="0.3">
      <c r="R243" s="28" t="s">
        <v>406</v>
      </c>
      <c r="S243" s="28" t="str">
        <f>INDEX(TransactionTable[State],MATCH(R243,TransactionTable[Customer_ID],0))</f>
        <v>FCT Abuja</v>
      </c>
      <c r="T243" s="28" t="str">
        <f>INDEX(TransactionTable[Account_Type],MATCH(R243,TransactionTable[Customer_ID],0))</f>
        <v>Tier 1 Wallet</v>
      </c>
      <c r="U243" s="16">
        <f>SUMIFS(TransactionTable[Amount],TransactionTable[Customer_ID],R243)</f>
        <v>98613.72</v>
      </c>
      <c r="V243" s="14">
        <f>COUNTIF(TransactionTable[Customer_ID],R243)</f>
        <v>8</v>
      </c>
      <c r="W243" s="29">
        <f t="shared" si="8"/>
        <v>98613.720024299997</v>
      </c>
    </row>
    <row r="244" spans="18:23" x14ac:dyDescent="0.3">
      <c r="R244" s="28" t="s">
        <v>130</v>
      </c>
      <c r="S244" s="28" t="str">
        <f>INDEX(TransactionTable[State],MATCH(R244,TransactionTable[Customer_ID],0))</f>
        <v>Rivers</v>
      </c>
      <c r="T244" s="28" t="str">
        <f>INDEX(TransactionTable[Account_Type],MATCH(R244,TransactionTable[Customer_ID],0))</f>
        <v>Savings</v>
      </c>
      <c r="U244" s="16">
        <f>SUMIFS(TransactionTable[Amount],TransactionTable[Customer_ID],R244)</f>
        <v>62435.420000000006</v>
      </c>
      <c r="V244" s="14">
        <f>COUNTIF(TransactionTable[Customer_ID],R244)</f>
        <v>7</v>
      </c>
      <c r="W244" s="29">
        <f t="shared" si="8"/>
        <v>62435.420024400002</v>
      </c>
    </row>
    <row r="245" spans="18:23" x14ac:dyDescent="0.3">
      <c r="R245" s="28" t="s">
        <v>401</v>
      </c>
      <c r="S245" s="28" t="str">
        <f>INDEX(TransactionTable[State],MATCH(R245,TransactionTable[Customer_ID],0))</f>
        <v>Delta</v>
      </c>
      <c r="T245" s="28" t="str">
        <f>INDEX(TransactionTable[Account_Type],MATCH(R245,TransactionTable[Customer_ID],0))</f>
        <v>Tier 1 Wallet</v>
      </c>
      <c r="U245" s="16">
        <f>SUMIFS(TransactionTable[Amount],TransactionTable[Customer_ID],R245)</f>
        <v>71919.53</v>
      </c>
      <c r="V245" s="14">
        <f>COUNTIF(TransactionTable[Customer_ID],R245)</f>
        <v>3</v>
      </c>
      <c r="W245" s="29">
        <f t="shared" si="8"/>
        <v>71919.530024499996</v>
      </c>
    </row>
    <row r="246" spans="18:23" x14ac:dyDescent="0.3">
      <c r="R246" s="28" t="s">
        <v>217</v>
      </c>
      <c r="S246" s="28" t="str">
        <f>INDEX(TransactionTable[State],MATCH(R246,TransactionTable[Customer_ID],0))</f>
        <v>Lagos</v>
      </c>
      <c r="T246" s="28" t="str">
        <f>INDEX(TransactionTable[Account_Type],MATCH(R246,TransactionTable[Customer_ID],0))</f>
        <v>Tier 1 Wallet</v>
      </c>
      <c r="U246" s="16">
        <f>SUMIFS(TransactionTable[Amount],TransactionTable[Customer_ID],R246)</f>
        <v>109349.30000000002</v>
      </c>
      <c r="V246" s="14">
        <f>COUNTIF(TransactionTable[Customer_ID],R246)</f>
        <v>8</v>
      </c>
      <c r="W246" s="29">
        <f t="shared" si="8"/>
        <v>109349.30002460002</v>
      </c>
    </row>
    <row r="247" spans="18:23" x14ac:dyDescent="0.3">
      <c r="R247" s="28" t="s">
        <v>810</v>
      </c>
      <c r="S247" s="28" t="str">
        <f>INDEX(TransactionTable[State],MATCH(R247,TransactionTable[Customer_ID],0))</f>
        <v>Lagos</v>
      </c>
      <c r="T247" s="28" t="str">
        <f>INDEX(TransactionTable[Account_Type],MATCH(R247,TransactionTable[Customer_ID],0))</f>
        <v>Savings</v>
      </c>
      <c r="U247" s="16">
        <f>SUMIFS(TransactionTable[Amount],TransactionTable[Customer_ID],R247)</f>
        <v>172222.64999999997</v>
      </c>
      <c r="V247" s="14">
        <f>COUNTIF(TransactionTable[Customer_ID],R247)</f>
        <v>11</v>
      </c>
      <c r="W247" s="29">
        <f t="shared" si="8"/>
        <v>172222.65002469998</v>
      </c>
    </row>
    <row r="248" spans="18:23" x14ac:dyDescent="0.3">
      <c r="R248" s="28" t="s">
        <v>1040</v>
      </c>
      <c r="S248" s="28" t="str">
        <f>INDEX(TransactionTable[State],MATCH(R248,TransactionTable[Customer_ID],0))</f>
        <v>Oyo</v>
      </c>
      <c r="T248" s="28" t="str">
        <f>INDEX(TransactionTable[Account_Type],MATCH(R248,TransactionTable[Customer_ID],0))</f>
        <v>Tier 1 Wallet</v>
      </c>
      <c r="U248" s="16">
        <f>SUMIFS(TransactionTable[Amount],TransactionTable[Customer_ID],R248)</f>
        <v>18722.89</v>
      </c>
      <c r="V248" s="14">
        <f>COUNTIF(TransactionTable[Customer_ID],R248)</f>
        <v>3</v>
      </c>
      <c r="W248" s="29">
        <f t="shared" si="8"/>
        <v>18722.890024799999</v>
      </c>
    </row>
    <row r="249" spans="18:23" x14ac:dyDescent="0.3">
      <c r="R249" s="28" t="s">
        <v>839</v>
      </c>
      <c r="S249" s="28" t="str">
        <f>INDEX(TransactionTable[State],MATCH(R249,TransactionTable[Customer_ID],0))</f>
        <v>Kaduna</v>
      </c>
      <c r="T249" s="28" t="str">
        <f>INDEX(TransactionTable[Account_Type],MATCH(R249,TransactionTable[Customer_ID],0))</f>
        <v>Savings</v>
      </c>
      <c r="U249" s="16">
        <f>SUMIFS(TransactionTable[Amount],TransactionTable[Customer_ID],R249)</f>
        <v>13390.68</v>
      </c>
      <c r="V249" s="14">
        <f>COUNTIF(TransactionTable[Customer_ID],R249)</f>
        <v>2</v>
      </c>
      <c r="W249" s="29">
        <f t="shared" si="8"/>
        <v>13390.680024900001</v>
      </c>
    </row>
    <row r="250" spans="18:23" x14ac:dyDescent="0.3">
      <c r="R250" s="28" t="s">
        <v>801</v>
      </c>
      <c r="S250" s="28" t="str">
        <f>INDEX(TransactionTable[State],MATCH(R250,TransactionTable[Customer_ID],0))</f>
        <v>Lagos</v>
      </c>
      <c r="T250" s="28" t="str">
        <f>INDEX(TransactionTable[Account_Type],MATCH(R250,TransactionTable[Customer_ID],0))</f>
        <v>Tier 1 Wallet</v>
      </c>
      <c r="U250" s="16">
        <f>SUMIFS(TransactionTable[Amount],TransactionTable[Customer_ID],R250)</f>
        <v>1814.8</v>
      </c>
      <c r="V250" s="14">
        <f>COUNTIF(TransactionTable[Customer_ID],R250)</f>
        <v>1</v>
      </c>
      <c r="W250" s="29">
        <f t="shared" si="8"/>
        <v>1814.800025</v>
      </c>
    </row>
    <row r="251" spans="18:23" x14ac:dyDescent="0.3">
      <c r="R251" s="28" t="s">
        <v>1306</v>
      </c>
      <c r="S251" s="28" t="str">
        <f>INDEX(TransactionTable[State],MATCH(R251,TransactionTable[Customer_ID],0))</f>
        <v>Rivers</v>
      </c>
      <c r="T251" s="28" t="str">
        <f>INDEX(TransactionTable[Account_Type],MATCH(R251,TransactionTable[Customer_ID],0))</f>
        <v>Savings</v>
      </c>
      <c r="U251" s="16">
        <f>SUMIFS(TransactionTable[Amount],TransactionTable[Customer_ID],R251)</f>
        <v>103612.68</v>
      </c>
      <c r="V251" s="14">
        <f>COUNTIF(TransactionTable[Customer_ID],R251)</f>
        <v>7</v>
      </c>
      <c r="W251" s="29">
        <f t="shared" si="8"/>
        <v>103612.68002509999</v>
      </c>
    </row>
    <row r="252" spans="18:23" x14ac:dyDescent="0.3">
      <c r="R252" s="28" t="s">
        <v>277</v>
      </c>
      <c r="S252" s="28" t="str">
        <f>INDEX(TransactionTable[State],MATCH(R252,TransactionTable[Customer_ID],0))</f>
        <v>Kano</v>
      </c>
      <c r="T252" s="28" t="str">
        <f>INDEX(TransactionTable[Account_Type],MATCH(R252,TransactionTable[Customer_ID],0))</f>
        <v>Tier 1 Wallet</v>
      </c>
      <c r="U252" s="16">
        <f>SUMIFS(TransactionTable[Amount],TransactionTable[Customer_ID],R252)</f>
        <v>94227.19</v>
      </c>
      <c r="V252" s="14">
        <f>COUNTIF(TransactionTable[Customer_ID],R252)</f>
        <v>7</v>
      </c>
      <c r="W252" s="29">
        <f t="shared" si="8"/>
        <v>94227.190025200005</v>
      </c>
    </row>
    <row r="253" spans="18:23" x14ac:dyDescent="0.3">
      <c r="R253" s="28" t="s">
        <v>767</v>
      </c>
      <c r="S253" s="28" t="str">
        <f>INDEX(TransactionTable[State],MATCH(R253,TransactionTable[Customer_ID],0))</f>
        <v>Kano</v>
      </c>
      <c r="T253" s="28" t="str">
        <f>INDEX(TransactionTable[Account_Type],MATCH(R253,TransactionTable[Customer_ID],0))</f>
        <v>Savings</v>
      </c>
      <c r="U253" s="16">
        <f>SUMIFS(TransactionTable[Amount],TransactionTable[Customer_ID],R253)</f>
        <v>189254.06000000003</v>
      </c>
      <c r="V253" s="14">
        <f>COUNTIF(TransactionTable[Customer_ID],R253)</f>
        <v>8</v>
      </c>
      <c r="W253" s="29">
        <f t="shared" si="8"/>
        <v>189254.06002530002</v>
      </c>
    </row>
    <row r="254" spans="18:23" x14ac:dyDescent="0.3">
      <c r="R254" s="28" t="s">
        <v>246</v>
      </c>
      <c r="S254" s="28" t="str">
        <f>INDEX(TransactionTable[State],MATCH(R254,TransactionTable[Customer_ID],0))</f>
        <v>FCT Abuja</v>
      </c>
      <c r="T254" s="28" t="str">
        <f>INDEX(TransactionTable[Account_Type],MATCH(R254,TransactionTable[Customer_ID],0))</f>
        <v>Current</v>
      </c>
      <c r="U254" s="16">
        <f>SUMIFS(TransactionTable[Amount],TransactionTable[Customer_ID],R254)</f>
        <v>161711.81</v>
      </c>
      <c r="V254" s="14">
        <f>COUNTIF(TransactionTable[Customer_ID],R254)</f>
        <v>12</v>
      </c>
      <c r="W254" s="29">
        <f t="shared" si="8"/>
        <v>161711.81002539999</v>
      </c>
    </row>
    <row r="255" spans="18:23" x14ac:dyDescent="0.3">
      <c r="R255" s="28" t="s">
        <v>1066</v>
      </c>
      <c r="S255" s="28" t="str">
        <f>INDEX(TransactionTable[State],MATCH(R255,TransactionTable[Customer_ID],0))</f>
        <v>Enugu</v>
      </c>
      <c r="T255" s="28" t="str">
        <f>INDEX(TransactionTable[Account_Type],MATCH(R255,TransactionTable[Customer_ID],0))</f>
        <v>Savings</v>
      </c>
      <c r="U255" s="16">
        <f>SUMIFS(TransactionTable[Amount],TransactionTable[Customer_ID],R255)</f>
        <v>157370.64000000001</v>
      </c>
      <c r="V255" s="14">
        <f>COUNTIF(TransactionTable[Customer_ID],R255)</f>
        <v>6</v>
      </c>
      <c r="W255" s="29">
        <f t="shared" si="8"/>
        <v>157370.6400255</v>
      </c>
    </row>
    <row r="256" spans="18:23" x14ac:dyDescent="0.3">
      <c r="R256" s="28" t="s">
        <v>732</v>
      </c>
      <c r="S256" s="28" t="str">
        <f>INDEX(TransactionTable[State],MATCH(R256,TransactionTable[Customer_ID],0))</f>
        <v>Enugu</v>
      </c>
      <c r="T256" s="28" t="str">
        <f>INDEX(TransactionTable[Account_Type],MATCH(R256,TransactionTable[Customer_ID],0))</f>
        <v>Current</v>
      </c>
      <c r="U256" s="16">
        <f>SUMIFS(TransactionTable[Amount],TransactionTable[Customer_ID],R256)</f>
        <v>88823.46</v>
      </c>
      <c r="V256" s="14">
        <f>COUNTIF(TransactionTable[Customer_ID],R256)</f>
        <v>7</v>
      </c>
      <c r="W256" s="29">
        <f t="shared" si="8"/>
        <v>88823.460025600012</v>
      </c>
    </row>
    <row r="257" spans="18:23" x14ac:dyDescent="0.3">
      <c r="R257" s="28" t="s">
        <v>585</v>
      </c>
      <c r="S257" s="28" t="str">
        <f>INDEX(TransactionTable[State],MATCH(R257,TransactionTable[Customer_ID],0))</f>
        <v>Delta</v>
      </c>
      <c r="T257" s="28" t="str">
        <f>INDEX(TransactionTable[Account_Type],MATCH(R257,TransactionTable[Customer_ID],0))</f>
        <v>Current</v>
      </c>
      <c r="U257" s="16">
        <f>SUMIFS(TransactionTable[Amount],TransactionTable[Customer_ID],R257)</f>
        <v>269972.15999999997</v>
      </c>
      <c r="V257" s="14">
        <f>COUNTIF(TransactionTable[Customer_ID],R257)</f>
        <v>11</v>
      </c>
      <c r="W257" s="29">
        <f t="shared" si="8"/>
        <v>269972.1600257</v>
      </c>
    </row>
    <row r="258" spans="18:23" x14ac:dyDescent="0.3">
      <c r="R258" s="28" t="s">
        <v>158</v>
      </c>
      <c r="S258" s="28" t="str">
        <f>INDEX(TransactionTable[State],MATCH(R258,TransactionTable[Customer_ID],0))</f>
        <v>Lagos</v>
      </c>
      <c r="T258" s="28" t="str">
        <f>INDEX(TransactionTable[Account_Type],MATCH(R258,TransactionTable[Customer_ID],0))</f>
        <v>Tier 1 Wallet</v>
      </c>
      <c r="U258" s="16">
        <f>SUMIFS(TransactionTable[Amount],TransactionTable[Customer_ID],R258)</f>
        <v>132362.48000000001</v>
      </c>
      <c r="V258" s="14">
        <f>COUNTIF(TransactionTable[Customer_ID],R258)</f>
        <v>10</v>
      </c>
      <c r="W258" s="29">
        <f t="shared" si="8"/>
        <v>132362.4800258</v>
      </c>
    </row>
    <row r="259" spans="18:23" x14ac:dyDescent="0.3">
      <c r="R259" s="28" t="s">
        <v>909</v>
      </c>
      <c r="S259" s="28" t="str">
        <f>INDEX(TransactionTable[State],MATCH(R259,TransactionTable[Customer_ID],0))</f>
        <v>Rivers</v>
      </c>
      <c r="T259" s="28" t="str">
        <f>INDEX(TransactionTable[Account_Type],MATCH(R259,TransactionTable[Customer_ID],0))</f>
        <v>Tier 1 Wallet</v>
      </c>
      <c r="U259" s="16">
        <f>SUMIFS(TransactionTable[Amount],TransactionTable[Customer_ID],R259)</f>
        <v>79270.73000000001</v>
      </c>
      <c r="V259" s="14">
        <f>COUNTIF(TransactionTable[Customer_ID],R259)</f>
        <v>8</v>
      </c>
      <c r="W259" s="29">
        <f t="shared" si="8"/>
        <v>79270.730025900004</v>
      </c>
    </row>
    <row r="260" spans="18:23" x14ac:dyDescent="0.3">
      <c r="R260" s="28" t="s">
        <v>949</v>
      </c>
      <c r="S260" s="28" t="str">
        <f>INDEX(TransactionTable[State],MATCH(R260,TransactionTable[Customer_ID],0))</f>
        <v>Lagos</v>
      </c>
      <c r="T260" s="28" t="str">
        <f>INDEX(TransactionTable[Account_Type],MATCH(R260,TransactionTable[Customer_ID],0))</f>
        <v>Savings</v>
      </c>
      <c r="U260" s="16">
        <f>SUMIFS(TransactionTable[Amount],TransactionTable[Customer_ID],R260)</f>
        <v>135711.48000000001</v>
      </c>
      <c r="V260" s="14">
        <f>COUNTIF(TransactionTable[Customer_ID],R260)</f>
        <v>6</v>
      </c>
      <c r="W260" s="29">
        <f t="shared" si="8"/>
        <v>135711.480026</v>
      </c>
    </row>
    <row r="261" spans="18:23" x14ac:dyDescent="0.3">
      <c r="R261" s="28" t="s">
        <v>481</v>
      </c>
      <c r="S261" s="28" t="str">
        <f>INDEX(TransactionTable[State],MATCH(R261,TransactionTable[Customer_ID],0))</f>
        <v>FCT Abuja</v>
      </c>
      <c r="T261" s="28" t="str">
        <f>INDEX(TransactionTable[Account_Type],MATCH(R261,TransactionTable[Customer_ID],0))</f>
        <v>Savings</v>
      </c>
      <c r="U261" s="16">
        <f>SUMIFS(TransactionTable[Amount],TransactionTable[Customer_ID],R261)</f>
        <v>46899.520000000004</v>
      </c>
      <c r="V261" s="14">
        <f>COUNTIF(TransactionTable[Customer_ID],R261)</f>
        <v>5</v>
      </c>
      <c r="W261" s="29">
        <f t="shared" si="8"/>
        <v>46899.520026100006</v>
      </c>
    </row>
    <row r="262" spans="18:23" x14ac:dyDescent="0.3">
      <c r="R262" s="28" t="s">
        <v>816</v>
      </c>
      <c r="S262" s="28" t="str">
        <f>INDEX(TransactionTable[State],MATCH(R262,TransactionTable[Customer_ID],0))</f>
        <v>FCT Abuja</v>
      </c>
      <c r="T262" s="28" t="str">
        <f>INDEX(TransactionTable[Account_Type],MATCH(R262,TransactionTable[Customer_ID],0))</f>
        <v>Tier 1 Wallet</v>
      </c>
      <c r="U262" s="16">
        <f>SUMIFS(TransactionTable[Amount],TransactionTable[Customer_ID],R262)</f>
        <v>131638.1</v>
      </c>
      <c r="V262" s="14">
        <f>COUNTIF(TransactionTable[Customer_ID],R262)</f>
        <v>9</v>
      </c>
      <c r="W262" s="29">
        <f t="shared" si="8"/>
        <v>131638.1000262</v>
      </c>
    </row>
    <row r="263" spans="18:23" x14ac:dyDescent="0.3">
      <c r="R263" s="28" t="s">
        <v>194</v>
      </c>
      <c r="S263" s="28" t="str">
        <f>INDEX(TransactionTable[State],MATCH(R263,TransactionTable[Customer_ID],0))</f>
        <v>Ogun</v>
      </c>
      <c r="T263" s="28" t="str">
        <f>INDEX(TransactionTable[Account_Type],MATCH(R263,TransactionTable[Customer_ID],0))</f>
        <v>Savings</v>
      </c>
      <c r="U263" s="16">
        <f>SUMIFS(TransactionTable[Amount],TransactionTable[Customer_ID],R263)</f>
        <v>258224.20999999996</v>
      </c>
      <c r="V263" s="14">
        <f>COUNTIF(TransactionTable[Customer_ID],R263)</f>
        <v>16</v>
      </c>
      <c r="W263" s="29">
        <f t="shared" ref="W263:W326" si="9">U263+ROW()/10^7</f>
        <v>258224.21002629996</v>
      </c>
    </row>
    <row r="264" spans="18:23" x14ac:dyDescent="0.3">
      <c r="R264" s="28" t="s">
        <v>325</v>
      </c>
      <c r="S264" s="28" t="str">
        <f>INDEX(TransactionTable[State],MATCH(R264,TransactionTable[Customer_ID],0))</f>
        <v>Lagos</v>
      </c>
      <c r="T264" s="28" t="str">
        <f>INDEX(TransactionTable[Account_Type],MATCH(R264,TransactionTable[Customer_ID],0))</f>
        <v>Savings</v>
      </c>
      <c r="U264" s="16">
        <f>SUMIFS(TransactionTable[Amount],TransactionTable[Customer_ID],R264)</f>
        <v>210049.13999999998</v>
      </c>
      <c r="V264" s="14">
        <f>COUNTIF(TransactionTable[Customer_ID],R264)</f>
        <v>8</v>
      </c>
      <c r="W264" s="29">
        <f t="shared" si="9"/>
        <v>210049.14002639998</v>
      </c>
    </row>
    <row r="265" spans="18:23" x14ac:dyDescent="0.3">
      <c r="R265" s="28" t="s">
        <v>1021</v>
      </c>
      <c r="S265" s="28" t="str">
        <f>INDEX(TransactionTable[State],MATCH(R265,TransactionTable[Customer_ID],0))</f>
        <v>Lagos</v>
      </c>
      <c r="T265" s="28" t="str">
        <f>INDEX(TransactionTable[Account_Type],MATCH(R265,TransactionTable[Customer_ID],0))</f>
        <v>Savings</v>
      </c>
      <c r="U265" s="16">
        <f>SUMIFS(TransactionTable[Amount],TransactionTable[Customer_ID],R265)</f>
        <v>16272.81</v>
      </c>
      <c r="V265" s="14">
        <f>COUNTIF(TransactionTable[Customer_ID],R265)</f>
        <v>2</v>
      </c>
      <c r="W265" s="29">
        <f t="shared" si="9"/>
        <v>16272.810026499999</v>
      </c>
    </row>
    <row r="266" spans="18:23" x14ac:dyDescent="0.3">
      <c r="R266" s="28" t="s">
        <v>221</v>
      </c>
      <c r="S266" s="28" t="str">
        <f>INDEX(TransactionTable[State],MATCH(R266,TransactionTable[Customer_ID],0))</f>
        <v>FCT Abuja</v>
      </c>
      <c r="T266" s="28" t="str">
        <f>INDEX(TransactionTable[Account_Type],MATCH(R266,TransactionTable[Customer_ID],0))</f>
        <v>Current</v>
      </c>
      <c r="U266" s="16">
        <f>SUMIFS(TransactionTable[Amount],TransactionTable[Customer_ID],R266)</f>
        <v>91329.790000000008</v>
      </c>
      <c r="V266" s="14">
        <f>COUNTIF(TransactionTable[Customer_ID],R266)</f>
        <v>8</v>
      </c>
      <c r="W266" s="29">
        <f t="shared" si="9"/>
        <v>91329.790026600007</v>
      </c>
    </row>
    <row r="267" spans="18:23" x14ac:dyDescent="0.3">
      <c r="R267" s="28" t="s">
        <v>492</v>
      </c>
      <c r="S267" s="28" t="str">
        <f>INDEX(TransactionTable[State],MATCH(R267,TransactionTable[Customer_ID],0))</f>
        <v>Rivers</v>
      </c>
      <c r="T267" s="28" t="str">
        <f>INDEX(TransactionTable[Account_Type],MATCH(R267,TransactionTable[Customer_ID],0))</f>
        <v>Savings</v>
      </c>
      <c r="U267" s="16">
        <f>SUMIFS(TransactionTable[Amount],TransactionTable[Customer_ID],R267)</f>
        <v>9528.76</v>
      </c>
      <c r="V267" s="14">
        <f>COUNTIF(TransactionTable[Customer_ID],R267)</f>
        <v>4</v>
      </c>
      <c r="W267" s="29">
        <f t="shared" si="9"/>
        <v>9528.7600266999998</v>
      </c>
    </row>
    <row r="268" spans="18:23" x14ac:dyDescent="0.3">
      <c r="R268" s="28" t="s">
        <v>296</v>
      </c>
      <c r="S268" s="28" t="str">
        <f>INDEX(TransactionTable[State],MATCH(R268,TransactionTable[Customer_ID],0))</f>
        <v>Lagos</v>
      </c>
      <c r="T268" s="28" t="str">
        <f>INDEX(TransactionTable[Account_Type],MATCH(R268,TransactionTable[Customer_ID],0))</f>
        <v>Tier 3 Verified</v>
      </c>
      <c r="U268" s="16">
        <f>SUMIFS(TransactionTable[Amount],TransactionTable[Customer_ID],R268)</f>
        <v>206707.86000000002</v>
      </c>
      <c r="V268" s="14">
        <f>COUNTIF(TransactionTable[Customer_ID],R268)</f>
        <v>13</v>
      </c>
      <c r="W268" s="29">
        <f t="shared" si="9"/>
        <v>206707.86002680002</v>
      </c>
    </row>
    <row r="269" spans="18:23" x14ac:dyDescent="0.3">
      <c r="R269" s="28" t="s">
        <v>977</v>
      </c>
      <c r="S269" s="28" t="str">
        <f>INDEX(TransactionTable[State],MATCH(R269,TransactionTable[Customer_ID],0))</f>
        <v>Kano</v>
      </c>
      <c r="T269" s="28" t="str">
        <f>INDEX(TransactionTable[Account_Type],MATCH(R269,TransactionTable[Customer_ID],0))</f>
        <v>Savings</v>
      </c>
      <c r="U269" s="16">
        <f>SUMIFS(TransactionTable[Amount],TransactionTable[Customer_ID],R269)</f>
        <v>73634.510000000009</v>
      </c>
      <c r="V269" s="14">
        <f>COUNTIF(TransactionTable[Customer_ID],R269)</f>
        <v>4</v>
      </c>
      <c r="W269" s="29">
        <f t="shared" si="9"/>
        <v>73634.51002690001</v>
      </c>
    </row>
    <row r="270" spans="18:23" x14ac:dyDescent="0.3">
      <c r="R270" s="28" t="s">
        <v>317</v>
      </c>
      <c r="S270" s="28" t="str">
        <f>INDEX(TransactionTable[State],MATCH(R270,TransactionTable[Customer_ID],0))</f>
        <v>Lagos</v>
      </c>
      <c r="T270" s="28" t="str">
        <f>INDEX(TransactionTable[Account_Type],MATCH(R270,TransactionTable[Customer_ID],0))</f>
        <v>Current</v>
      </c>
      <c r="U270" s="16">
        <f>SUMIFS(TransactionTable[Amount],TransactionTable[Customer_ID],R270)</f>
        <v>167317.85000000003</v>
      </c>
      <c r="V270" s="14">
        <f>COUNTIF(TransactionTable[Customer_ID],R270)</f>
        <v>11</v>
      </c>
      <c r="W270" s="29">
        <f t="shared" si="9"/>
        <v>167317.85002700004</v>
      </c>
    </row>
    <row r="271" spans="18:23" x14ac:dyDescent="0.3">
      <c r="R271" s="28" t="s">
        <v>24</v>
      </c>
      <c r="S271" s="28" t="str">
        <f>INDEX(TransactionTable[State],MATCH(R271,TransactionTable[Customer_ID],0))</f>
        <v>Oyo</v>
      </c>
      <c r="T271" s="28" t="str">
        <f>INDEX(TransactionTable[Account_Type],MATCH(R271,TransactionTable[Customer_ID],0))</f>
        <v>Savings</v>
      </c>
      <c r="U271" s="16">
        <f>SUMIFS(TransactionTable[Amount],TransactionTable[Customer_ID],R271)</f>
        <v>158777.47999999998</v>
      </c>
      <c r="V271" s="14">
        <f>COUNTIF(TransactionTable[Customer_ID],R271)</f>
        <v>9</v>
      </c>
      <c r="W271" s="29">
        <f t="shared" si="9"/>
        <v>158777.48002709998</v>
      </c>
    </row>
    <row r="272" spans="18:23" x14ac:dyDescent="0.3">
      <c r="R272" s="28" t="s">
        <v>270</v>
      </c>
      <c r="S272" s="28" t="str">
        <f>INDEX(TransactionTable[State],MATCH(R272,TransactionTable[Customer_ID],0))</f>
        <v>Delta</v>
      </c>
      <c r="T272" s="28" t="str">
        <f>INDEX(TransactionTable[Account_Type],MATCH(R272,TransactionTable[Customer_ID],0))</f>
        <v>Current</v>
      </c>
      <c r="U272" s="16">
        <f>SUMIFS(TransactionTable[Amount],TransactionTable[Customer_ID],R272)</f>
        <v>75875.149999999994</v>
      </c>
      <c r="V272" s="14">
        <f>COUNTIF(TransactionTable[Customer_ID],R272)</f>
        <v>10</v>
      </c>
      <c r="W272" s="29">
        <f t="shared" si="9"/>
        <v>75875.150027199998</v>
      </c>
    </row>
    <row r="273" spans="18:23" x14ac:dyDescent="0.3">
      <c r="R273" s="28" t="s">
        <v>513</v>
      </c>
      <c r="S273" s="28" t="str">
        <f>INDEX(TransactionTable[State],MATCH(R273,TransactionTable[Customer_ID],0))</f>
        <v>Delta</v>
      </c>
      <c r="T273" s="28" t="str">
        <f>INDEX(TransactionTable[Account_Type],MATCH(R273,TransactionTable[Customer_ID],0))</f>
        <v>Tier 1 Wallet</v>
      </c>
      <c r="U273" s="16">
        <f>SUMIFS(TransactionTable[Amount],TransactionTable[Customer_ID],R273)</f>
        <v>81135.03</v>
      </c>
      <c r="V273" s="14">
        <f>COUNTIF(TransactionTable[Customer_ID],R273)</f>
        <v>7</v>
      </c>
      <c r="W273" s="29">
        <f t="shared" si="9"/>
        <v>81135.030027300003</v>
      </c>
    </row>
    <row r="274" spans="18:23" x14ac:dyDescent="0.3">
      <c r="R274" s="28" t="s">
        <v>134</v>
      </c>
      <c r="S274" s="28" t="str">
        <f>INDEX(TransactionTable[State],MATCH(R274,TransactionTable[Customer_ID],0))</f>
        <v>Oyo</v>
      </c>
      <c r="T274" s="28" t="str">
        <f>INDEX(TransactionTable[Account_Type],MATCH(R274,TransactionTable[Customer_ID],0))</f>
        <v>Current</v>
      </c>
      <c r="U274" s="16">
        <f>SUMIFS(TransactionTable[Amount],TransactionTable[Customer_ID],R274)</f>
        <v>38220.68</v>
      </c>
      <c r="V274" s="14">
        <f>COUNTIF(TransactionTable[Customer_ID],R274)</f>
        <v>7</v>
      </c>
      <c r="W274" s="29">
        <f t="shared" si="9"/>
        <v>38220.680027399998</v>
      </c>
    </row>
    <row r="275" spans="18:23" x14ac:dyDescent="0.3">
      <c r="R275" s="28" t="s">
        <v>119</v>
      </c>
      <c r="S275" s="28" t="str">
        <f>INDEX(TransactionTable[State],MATCH(R275,TransactionTable[Customer_ID],0))</f>
        <v>FCT Abuja</v>
      </c>
      <c r="T275" s="28" t="str">
        <f>INDEX(TransactionTable[Account_Type],MATCH(R275,TransactionTable[Customer_ID],0))</f>
        <v>Tier 3 Verified</v>
      </c>
      <c r="U275" s="16">
        <f>SUMIFS(TransactionTable[Amount],TransactionTable[Customer_ID],R275)</f>
        <v>117567.84</v>
      </c>
      <c r="V275" s="14">
        <f>COUNTIF(TransactionTable[Customer_ID],R275)</f>
        <v>4</v>
      </c>
      <c r="W275" s="29">
        <f t="shared" si="9"/>
        <v>117567.8400275</v>
      </c>
    </row>
    <row r="276" spans="18:23" x14ac:dyDescent="0.3">
      <c r="R276" s="28" t="s">
        <v>549</v>
      </c>
      <c r="S276" s="28" t="str">
        <f>INDEX(TransactionTable[State],MATCH(R276,TransactionTable[Customer_ID],0))</f>
        <v>Kano</v>
      </c>
      <c r="T276" s="28" t="str">
        <f>INDEX(TransactionTable[Account_Type],MATCH(R276,TransactionTable[Customer_ID],0))</f>
        <v>Savings</v>
      </c>
      <c r="U276" s="16">
        <f>SUMIFS(TransactionTable[Amount],TransactionTable[Customer_ID],R276)</f>
        <v>173866.12999999998</v>
      </c>
      <c r="V276" s="14">
        <f>COUNTIF(TransactionTable[Customer_ID],R276)</f>
        <v>10</v>
      </c>
      <c r="W276" s="29">
        <f t="shared" si="9"/>
        <v>173866.13002759998</v>
      </c>
    </row>
    <row r="277" spans="18:23" x14ac:dyDescent="0.3">
      <c r="R277" s="28" t="s">
        <v>136</v>
      </c>
      <c r="S277" s="28" t="str">
        <f>INDEX(TransactionTable[State],MATCH(R277,TransactionTable[Customer_ID],0))</f>
        <v>Ogun</v>
      </c>
      <c r="T277" s="28" t="str">
        <f>INDEX(TransactionTable[Account_Type],MATCH(R277,TransactionTable[Customer_ID],0))</f>
        <v>Savings</v>
      </c>
      <c r="U277" s="16">
        <f>SUMIFS(TransactionTable[Amount],TransactionTable[Customer_ID],R277)</f>
        <v>12153.38</v>
      </c>
      <c r="V277" s="14">
        <f>COUNTIF(TransactionTable[Customer_ID],R277)</f>
        <v>5</v>
      </c>
      <c r="W277" s="29">
        <f t="shared" si="9"/>
        <v>12153.380027699999</v>
      </c>
    </row>
    <row r="278" spans="18:23" x14ac:dyDescent="0.3">
      <c r="R278" s="28" t="s">
        <v>1391</v>
      </c>
      <c r="S278" s="28" t="str">
        <f>INDEX(TransactionTable[State],MATCH(R278,TransactionTable[Customer_ID],0))</f>
        <v>Ogun</v>
      </c>
      <c r="T278" s="28" t="str">
        <f>INDEX(TransactionTable[Account_Type],MATCH(R278,TransactionTable[Customer_ID],0))</f>
        <v>Current</v>
      </c>
      <c r="U278" s="16">
        <f>SUMIFS(TransactionTable[Amount],TransactionTable[Customer_ID],R278)</f>
        <v>6564.61</v>
      </c>
      <c r="V278" s="14">
        <f>COUNTIF(TransactionTable[Customer_ID],R278)</f>
        <v>3</v>
      </c>
      <c r="W278" s="29">
        <f t="shared" si="9"/>
        <v>6564.6100277999994</v>
      </c>
    </row>
    <row r="279" spans="18:23" x14ac:dyDescent="0.3">
      <c r="R279" s="28" t="s">
        <v>109</v>
      </c>
      <c r="S279" s="28" t="str">
        <f>INDEX(TransactionTable[State],MATCH(R279,TransactionTable[Customer_ID],0))</f>
        <v>Kano</v>
      </c>
      <c r="T279" s="28" t="str">
        <f>INDEX(TransactionTable[Account_Type],MATCH(R279,TransactionTable[Customer_ID],0))</f>
        <v>Savings</v>
      </c>
      <c r="U279" s="16">
        <f>SUMIFS(TransactionTable[Amount],TransactionTable[Customer_ID],R279)</f>
        <v>123124.21</v>
      </c>
      <c r="V279" s="14">
        <f>COUNTIF(TransactionTable[Customer_ID],R279)</f>
        <v>10</v>
      </c>
      <c r="W279" s="29">
        <f t="shared" si="9"/>
        <v>123124.2100279</v>
      </c>
    </row>
    <row r="280" spans="18:23" x14ac:dyDescent="0.3">
      <c r="R280" s="28" t="s">
        <v>1349</v>
      </c>
      <c r="S280" s="28" t="str">
        <f>INDEX(TransactionTable[State],MATCH(R280,TransactionTable[Customer_ID],0))</f>
        <v>Kaduna</v>
      </c>
      <c r="T280" s="28" t="str">
        <f>INDEX(TransactionTable[Account_Type],MATCH(R280,TransactionTable[Customer_ID],0))</f>
        <v>Savings</v>
      </c>
      <c r="U280" s="16">
        <f>SUMIFS(TransactionTable[Amount],TransactionTable[Customer_ID],R280)</f>
        <v>53577.58</v>
      </c>
      <c r="V280" s="14">
        <f>COUNTIF(TransactionTable[Customer_ID],R280)</f>
        <v>5</v>
      </c>
      <c r="W280" s="29">
        <f t="shared" si="9"/>
        <v>53577.580028000004</v>
      </c>
    </row>
    <row r="281" spans="18:23" x14ac:dyDescent="0.3">
      <c r="R281" s="28" t="s">
        <v>415</v>
      </c>
      <c r="S281" s="28" t="str">
        <f>INDEX(TransactionTable[State],MATCH(R281,TransactionTable[Customer_ID],0))</f>
        <v>Kano</v>
      </c>
      <c r="T281" s="28" t="str">
        <f>INDEX(TransactionTable[Account_Type],MATCH(R281,TransactionTable[Customer_ID],0))</f>
        <v>Current</v>
      </c>
      <c r="U281" s="16">
        <f>SUMIFS(TransactionTable[Amount],TransactionTable[Customer_ID],R281)</f>
        <v>247160.95</v>
      </c>
      <c r="V281" s="14">
        <f>COUNTIF(TransactionTable[Customer_ID],R281)</f>
        <v>11</v>
      </c>
      <c r="W281" s="29">
        <f t="shared" si="9"/>
        <v>247160.95002810002</v>
      </c>
    </row>
    <row r="282" spans="18:23" x14ac:dyDescent="0.3">
      <c r="R282" s="28" t="s">
        <v>32</v>
      </c>
      <c r="S282" s="28" t="str">
        <f>INDEX(TransactionTable[State],MATCH(R282,TransactionTable[Customer_ID],0))</f>
        <v>Lagos</v>
      </c>
      <c r="T282" s="28" t="str">
        <f>INDEX(TransactionTable[Account_Type],MATCH(R282,TransactionTable[Customer_ID],0))</f>
        <v>Savings</v>
      </c>
      <c r="U282" s="16">
        <f>SUMIFS(TransactionTable[Amount],TransactionTable[Customer_ID],R282)</f>
        <v>53804.39</v>
      </c>
      <c r="V282" s="14">
        <f>COUNTIF(TransactionTable[Customer_ID],R282)</f>
        <v>7</v>
      </c>
      <c r="W282" s="29">
        <f t="shared" si="9"/>
        <v>53804.390028199996</v>
      </c>
    </row>
    <row r="283" spans="18:23" x14ac:dyDescent="0.3">
      <c r="R283" s="28" t="s">
        <v>20</v>
      </c>
      <c r="S283" s="28" t="str">
        <f>INDEX(TransactionTable[State],MATCH(R283,TransactionTable[Customer_ID],0))</f>
        <v>Kano</v>
      </c>
      <c r="T283" s="28" t="str">
        <f>INDEX(TransactionTable[Account_Type],MATCH(R283,TransactionTable[Customer_ID],0))</f>
        <v>Savings</v>
      </c>
      <c r="U283" s="16">
        <f>SUMIFS(TransactionTable[Amount],TransactionTable[Customer_ID],R283)</f>
        <v>155169.93</v>
      </c>
      <c r="V283" s="14">
        <f>COUNTIF(TransactionTable[Customer_ID],R283)</f>
        <v>10</v>
      </c>
      <c r="W283" s="29">
        <f t="shared" si="9"/>
        <v>155169.9300283</v>
      </c>
    </row>
    <row r="284" spans="18:23" x14ac:dyDescent="0.3">
      <c r="R284" s="28" t="s">
        <v>1412</v>
      </c>
      <c r="S284" s="28" t="str">
        <f>INDEX(TransactionTable[State],MATCH(R284,TransactionTable[Customer_ID],0))</f>
        <v>Lagos</v>
      </c>
      <c r="T284" s="28" t="str">
        <f>INDEX(TransactionTable[Account_Type],MATCH(R284,TransactionTable[Customer_ID],0))</f>
        <v>Savings</v>
      </c>
      <c r="U284" s="16">
        <f>SUMIFS(TransactionTable[Amount],TransactionTable[Customer_ID],R284)</f>
        <v>162409.20000000001</v>
      </c>
      <c r="V284" s="14">
        <f>COUNTIF(TransactionTable[Customer_ID],R284)</f>
        <v>4</v>
      </c>
      <c r="W284" s="29">
        <f t="shared" si="9"/>
        <v>162409.20002840002</v>
      </c>
    </row>
    <row r="285" spans="18:23" x14ac:dyDescent="0.3">
      <c r="R285" s="28" t="s">
        <v>806</v>
      </c>
      <c r="S285" s="28" t="str">
        <f>INDEX(TransactionTable[State],MATCH(R285,TransactionTable[Customer_ID],0))</f>
        <v>Kano</v>
      </c>
      <c r="T285" s="28" t="str">
        <f>INDEX(TransactionTable[Account_Type],MATCH(R285,TransactionTable[Customer_ID],0))</f>
        <v>Tier 3 Verified</v>
      </c>
      <c r="U285" s="16">
        <f>SUMIFS(TransactionTable[Amount],TransactionTable[Customer_ID],R285)</f>
        <v>101861.66</v>
      </c>
      <c r="V285" s="14">
        <f>COUNTIF(TransactionTable[Customer_ID],R285)</f>
        <v>8</v>
      </c>
      <c r="W285" s="29">
        <f t="shared" si="9"/>
        <v>101861.6600285</v>
      </c>
    </row>
    <row r="286" spans="18:23" x14ac:dyDescent="0.3">
      <c r="R286" s="28" t="s">
        <v>163</v>
      </c>
      <c r="S286" s="28" t="str">
        <f>INDEX(TransactionTable[State],MATCH(R286,TransactionTable[Customer_ID],0))</f>
        <v>Oyo</v>
      </c>
      <c r="T286" s="28" t="str">
        <f>INDEX(TransactionTable[Account_Type],MATCH(R286,TransactionTable[Customer_ID],0))</f>
        <v>Current</v>
      </c>
      <c r="U286" s="16">
        <f>SUMIFS(TransactionTable[Amount],TransactionTable[Customer_ID],R286)</f>
        <v>36298.69</v>
      </c>
      <c r="V286" s="14">
        <f>COUNTIF(TransactionTable[Customer_ID],R286)</f>
        <v>7</v>
      </c>
      <c r="W286" s="29">
        <f t="shared" si="9"/>
        <v>36298.690028600002</v>
      </c>
    </row>
    <row r="287" spans="18:23" x14ac:dyDescent="0.3">
      <c r="R287" s="28" t="s">
        <v>485</v>
      </c>
      <c r="S287" s="28" t="str">
        <f>INDEX(TransactionTable[State],MATCH(R287,TransactionTable[Customer_ID],0))</f>
        <v>FCT Abuja</v>
      </c>
      <c r="T287" s="28" t="str">
        <f>INDEX(TransactionTable[Account_Type],MATCH(R287,TransactionTable[Customer_ID],0))</f>
        <v>Savings</v>
      </c>
      <c r="U287" s="16">
        <f>SUMIFS(TransactionTable[Amount],TransactionTable[Customer_ID],R287)</f>
        <v>22341.99</v>
      </c>
      <c r="V287" s="14">
        <f>COUNTIF(TransactionTable[Customer_ID],R287)</f>
        <v>5</v>
      </c>
      <c r="W287" s="29">
        <f t="shared" si="9"/>
        <v>22341.990028700002</v>
      </c>
    </row>
    <row r="288" spans="18:23" x14ac:dyDescent="0.3">
      <c r="R288" s="28" t="s">
        <v>898</v>
      </c>
      <c r="S288" s="28" t="str">
        <f>INDEX(TransactionTable[State],MATCH(R288,TransactionTable[Customer_ID],0))</f>
        <v>Lagos</v>
      </c>
      <c r="T288" s="28" t="str">
        <f>INDEX(TransactionTable[Account_Type],MATCH(R288,TransactionTable[Customer_ID],0))</f>
        <v>Savings</v>
      </c>
      <c r="U288" s="16">
        <f>SUMIFS(TransactionTable[Amount],TransactionTable[Customer_ID],R288)</f>
        <v>73635.590000000011</v>
      </c>
      <c r="V288" s="14">
        <f>COUNTIF(TransactionTable[Customer_ID],R288)</f>
        <v>6</v>
      </c>
      <c r="W288" s="29">
        <f t="shared" si="9"/>
        <v>73635.590028800012</v>
      </c>
    </row>
    <row r="289" spans="18:23" x14ac:dyDescent="0.3">
      <c r="R289" s="28" t="s">
        <v>173</v>
      </c>
      <c r="S289" s="28" t="str">
        <f>INDEX(TransactionTable[State],MATCH(R289,TransactionTable[Customer_ID],0))</f>
        <v>Edo</v>
      </c>
      <c r="T289" s="28" t="str">
        <f>INDEX(TransactionTable[Account_Type],MATCH(R289,TransactionTable[Customer_ID],0))</f>
        <v>Current</v>
      </c>
      <c r="U289" s="16">
        <f>SUMIFS(TransactionTable[Amount],TransactionTable[Customer_ID],R289)</f>
        <v>217380.84</v>
      </c>
      <c r="V289" s="14">
        <f>COUNTIF(TransactionTable[Customer_ID],R289)</f>
        <v>9</v>
      </c>
      <c r="W289" s="29">
        <f t="shared" si="9"/>
        <v>217380.84002889998</v>
      </c>
    </row>
    <row r="290" spans="18:23" x14ac:dyDescent="0.3">
      <c r="R290" s="28" t="s">
        <v>201</v>
      </c>
      <c r="S290" s="28" t="str">
        <f>INDEX(TransactionTable[State],MATCH(R290,TransactionTable[Customer_ID],0))</f>
        <v>Lagos</v>
      </c>
      <c r="T290" s="28" t="str">
        <f>INDEX(TransactionTable[Account_Type],MATCH(R290,TransactionTable[Customer_ID],0))</f>
        <v>Tier 1 Wallet</v>
      </c>
      <c r="U290" s="16">
        <f>SUMIFS(TransactionTable[Amount],TransactionTable[Customer_ID],R290)</f>
        <v>75327.149999999994</v>
      </c>
      <c r="V290" s="14">
        <f>COUNTIF(TransactionTable[Customer_ID],R290)</f>
        <v>9</v>
      </c>
      <c r="W290" s="29">
        <f t="shared" si="9"/>
        <v>75327.150028999997</v>
      </c>
    </row>
    <row r="291" spans="18:23" x14ac:dyDescent="0.3">
      <c r="R291" s="28" t="s">
        <v>323</v>
      </c>
      <c r="S291" s="28" t="str">
        <f>INDEX(TransactionTable[State],MATCH(R291,TransactionTable[Customer_ID],0))</f>
        <v>Enugu</v>
      </c>
      <c r="T291" s="28" t="str">
        <f>INDEX(TransactionTable[Account_Type],MATCH(R291,TransactionTable[Customer_ID],0))</f>
        <v>Savings</v>
      </c>
      <c r="U291" s="16">
        <f>SUMIFS(TransactionTable[Amount],TransactionTable[Customer_ID],R291)</f>
        <v>209043.52</v>
      </c>
      <c r="V291" s="14">
        <f>COUNTIF(TransactionTable[Customer_ID],R291)</f>
        <v>10</v>
      </c>
      <c r="W291" s="29">
        <f t="shared" si="9"/>
        <v>209043.52002909998</v>
      </c>
    </row>
    <row r="292" spans="18:23" x14ac:dyDescent="0.3">
      <c r="R292" s="28" t="s">
        <v>631</v>
      </c>
      <c r="S292" s="28" t="str">
        <f>INDEX(TransactionTable[State],MATCH(R292,TransactionTable[Customer_ID],0))</f>
        <v>Lagos</v>
      </c>
      <c r="T292" s="28" t="str">
        <f>INDEX(TransactionTable[Account_Type],MATCH(R292,TransactionTable[Customer_ID],0))</f>
        <v>Savings</v>
      </c>
      <c r="U292" s="16">
        <f>SUMIFS(TransactionTable[Amount],TransactionTable[Customer_ID],R292)</f>
        <v>164741.20000000001</v>
      </c>
      <c r="V292" s="14">
        <f>COUNTIF(TransactionTable[Customer_ID],R292)</f>
        <v>11</v>
      </c>
      <c r="W292" s="29">
        <f t="shared" si="9"/>
        <v>164741.2000292</v>
      </c>
    </row>
    <row r="293" spans="18:23" x14ac:dyDescent="0.3">
      <c r="R293" s="28" t="s">
        <v>240</v>
      </c>
      <c r="S293" s="28" t="str">
        <f>INDEX(TransactionTable[State],MATCH(R293,TransactionTable[Customer_ID],0))</f>
        <v>Lagos</v>
      </c>
      <c r="T293" s="28" t="str">
        <f>INDEX(TransactionTable[Account_Type],MATCH(R293,TransactionTable[Customer_ID],0))</f>
        <v>Tier 1 Wallet</v>
      </c>
      <c r="U293" s="16">
        <f>SUMIFS(TransactionTable[Amount],TransactionTable[Customer_ID],R293)</f>
        <v>72211.87</v>
      </c>
      <c r="V293" s="14">
        <f>COUNTIF(TransactionTable[Customer_ID],R293)</f>
        <v>7</v>
      </c>
      <c r="W293" s="29">
        <f t="shared" si="9"/>
        <v>72211.8700293</v>
      </c>
    </row>
    <row r="294" spans="18:23" x14ac:dyDescent="0.3">
      <c r="R294" s="28" t="s">
        <v>181</v>
      </c>
      <c r="S294" s="28" t="str">
        <f>INDEX(TransactionTable[State],MATCH(R294,TransactionTable[Customer_ID],0))</f>
        <v>Rivers</v>
      </c>
      <c r="T294" s="28" t="str">
        <f>INDEX(TransactionTable[Account_Type],MATCH(R294,TransactionTable[Customer_ID],0))</f>
        <v>Savings</v>
      </c>
      <c r="U294" s="16">
        <f>SUMIFS(TransactionTable[Amount],TransactionTable[Customer_ID],R294)</f>
        <v>101070.90000000001</v>
      </c>
      <c r="V294" s="14">
        <f>COUNTIF(TransactionTable[Customer_ID],R294)</f>
        <v>10</v>
      </c>
      <c r="W294" s="29">
        <f t="shared" si="9"/>
        <v>101070.90002940001</v>
      </c>
    </row>
    <row r="295" spans="18:23" x14ac:dyDescent="0.3">
      <c r="R295" s="28" t="s">
        <v>289</v>
      </c>
      <c r="S295" s="28" t="str">
        <f>INDEX(TransactionTable[State],MATCH(R295,TransactionTable[Customer_ID],0))</f>
        <v>Rivers</v>
      </c>
      <c r="T295" s="28" t="str">
        <f>INDEX(TransactionTable[Account_Type],MATCH(R295,TransactionTable[Customer_ID],0))</f>
        <v>Savings</v>
      </c>
      <c r="U295" s="16">
        <f>SUMIFS(TransactionTable[Amount],TransactionTable[Customer_ID],R295)</f>
        <v>72873.83</v>
      </c>
      <c r="V295" s="14">
        <f>COUNTIF(TransactionTable[Customer_ID],R295)</f>
        <v>7</v>
      </c>
      <c r="W295" s="29">
        <f t="shared" si="9"/>
        <v>72873.830029500008</v>
      </c>
    </row>
    <row r="296" spans="18:23" x14ac:dyDescent="0.3">
      <c r="R296" s="28" t="s">
        <v>930</v>
      </c>
      <c r="S296" s="28" t="str">
        <f>INDEX(TransactionTable[State],MATCH(R296,TransactionTable[Customer_ID],0))</f>
        <v>Ogun</v>
      </c>
      <c r="T296" s="28" t="str">
        <f>INDEX(TransactionTable[Account_Type],MATCH(R296,TransactionTable[Customer_ID],0))</f>
        <v>Tier 3 Verified</v>
      </c>
      <c r="U296" s="16">
        <f>SUMIFS(TransactionTable[Amount],TransactionTable[Customer_ID],R296)</f>
        <v>93341.260000000009</v>
      </c>
      <c r="V296" s="14">
        <f>COUNTIF(TransactionTable[Customer_ID],R296)</f>
        <v>10</v>
      </c>
      <c r="W296" s="29">
        <f t="shared" si="9"/>
        <v>93341.260029600016</v>
      </c>
    </row>
    <row r="297" spans="18:23" x14ac:dyDescent="0.3">
      <c r="R297" s="28" t="s">
        <v>152</v>
      </c>
      <c r="S297" s="28" t="str">
        <f>INDEX(TransactionTable[State],MATCH(R297,TransactionTable[Customer_ID],0))</f>
        <v>Lagos</v>
      </c>
      <c r="T297" s="28" t="str">
        <f>INDEX(TransactionTable[Account_Type],MATCH(R297,TransactionTable[Customer_ID],0))</f>
        <v>Current</v>
      </c>
      <c r="U297" s="16">
        <f>SUMIFS(TransactionTable[Amount],TransactionTable[Customer_ID],R297)</f>
        <v>88801.290000000008</v>
      </c>
      <c r="V297" s="14">
        <f>COUNTIF(TransactionTable[Customer_ID],R297)</f>
        <v>8</v>
      </c>
      <c r="W297" s="29">
        <f t="shared" si="9"/>
        <v>88801.290029700001</v>
      </c>
    </row>
    <row r="298" spans="18:23" x14ac:dyDescent="0.3">
      <c r="R298" s="28" t="s">
        <v>364</v>
      </c>
      <c r="S298" s="28" t="str">
        <f>INDEX(TransactionTable[State],MATCH(R298,TransactionTable[Customer_ID],0))</f>
        <v>Lagos</v>
      </c>
      <c r="T298" s="28" t="str">
        <f>INDEX(TransactionTable[Account_Type],MATCH(R298,TransactionTable[Customer_ID],0))</f>
        <v>Savings</v>
      </c>
      <c r="U298" s="16">
        <f>SUMIFS(TransactionTable[Amount],TransactionTable[Customer_ID],R298)</f>
        <v>196197.19999999998</v>
      </c>
      <c r="V298" s="14">
        <f>COUNTIF(TransactionTable[Customer_ID],R298)</f>
        <v>9</v>
      </c>
      <c r="W298" s="29">
        <f t="shared" si="9"/>
        <v>196197.20002979998</v>
      </c>
    </row>
    <row r="299" spans="18:23" x14ac:dyDescent="0.3">
      <c r="R299" s="28" t="s">
        <v>272</v>
      </c>
      <c r="S299" s="28" t="str">
        <f>INDEX(TransactionTable[State],MATCH(R299,TransactionTable[Customer_ID],0))</f>
        <v>FCT Abuja</v>
      </c>
      <c r="T299" s="28" t="str">
        <f>INDEX(TransactionTable[Account_Type],MATCH(R299,TransactionTable[Customer_ID],0))</f>
        <v>Savings</v>
      </c>
      <c r="U299" s="16">
        <f>SUMIFS(TransactionTable[Amount],TransactionTable[Customer_ID],R299)</f>
        <v>130934.96</v>
      </c>
      <c r="V299" s="14">
        <f>COUNTIF(TransactionTable[Customer_ID],R299)</f>
        <v>10</v>
      </c>
      <c r="W299" s="29">
        <f t="shared" si="9"/>
        <v>130934.9600299</v>
      </c>
    </row>
    <row r="300" spans="18:23" x14ac:dyDescent="0.3">
      <c r="R300" s="28" t="s">
        <v>366</v>
      </c>
      <c r="S300" s="28" t="str">
        <f>INDEX(TransactionTable[State],MATCH(R300,TransactionTable[Customer_ID],0))</f>
        <v>Lagos</v>
      </c>
      <c r="T300" s="28" t="str">
        <f>INDEX(TransactionTable[Account_Type],MATCH(R300,TransactionTable[Customer_ID],0))</f>
        <v>Current</v>
      </c>
      <c r="U300" s="16">
        <f>SUMIFS(TransactionTable[Amount],TransactionTable[Customer_ID],R300)</f>
        <v>47179.820000000007</v>
      </c>
      <c r="V300" s="14">
        <f>COUNTIF(TransactionTable[Customer_ID],R300)</f>
        <v>11</v>
      </c>
      <c r="W300" s="29">
        <f t="shared" si="9"/>
        <v>47179.82003000001</v>
      </c>
    </row>
    <row r="301" spans="18:23" x14ac:dyDescent="0.3">
      <c r="R301" s="28" t="s">
        <v>1242</v>
      </c>
      <c r="S301" s="28" t="str">
        <f>INDEX(TransactionTable[State],MATCH(R301,TransactionTable[Customer_ID],0))</f>
        <v>Lagos</v>
      </c>
      <c r="T301" s="28" t="str">
        <f>INDEX(TransactionTable[Account_Type],MATCH(R301,TransactionTable[Customer_ID],0))</f>
        <v>Tier 1 Wallet</v>
      </c>
      <c r="U301" s="16">
        <f>SUMIFS(TransactionTable[Amount],TransactionTable[Customer_ID],R301)</f>
        <v>35099.599999999999</v>
      </c>
      <c r="V301" s="14">
        <f>COUNTIF(TransactionTable[Customer_ID],R301)</f>
        <v>3</v>
      </c>
      <c r="W301" s="29">
        <f t="shared" si="9"/>
        <v>35099.600030099995</v>
      </c>
    </row>
    <row r="302" spans="18:23" x14ac:dyDescent="0.3">
      <c r="R302" s="28" t="s">
        <v>59</v>
      </c>
      <c r="S302" s="28" t="str">
        <f>INDEX(TransactionTable[State],MATCH(R302,TransactionTable[Customer_ID],0))</f>
        <v>FCT Abuja</v>
      </c>
      <c r="T302" s="28" t="str">
        <f>INDEX(TransactionTable[Account_Type],MATCH(R302,TransactionTable[Customer_ID],0))</f>
        <v>Savings</v>
      </c>
      <c r="U302" s="16">
        <f>SUMIFS(TransactionTable[Amount],TransactionTable[Customer_ID],R302)</f>
        <v>5670.1299999999992</v>
      </c>
      <c r="V302" s="14">
        <f>COUNTIF(TransactionTable[Customer_ID],R302)</f>
        <v>3</v>
      </c>
      <c r="W302" s="29">
        <f t="shared" si="9"/>
        <v>5670.1300301999991</v>
      </c>
    </row>
    <row r="303" spans="18:23" x14ac:dyDescent="0.3">
      <c r="R303" s="28" t="s">
        <v>167</v>
      </c>
      <c r="S303" s="28" t="str">
        <f>INDEX(TransactionTable[State],MATCH(R303,TransactionTable[Customer_ID],0))</f>
        <v>Lagos</v>
      </c>
      <c r="T303" s="28" t="str">
        <f>INDEX(TransactionTable[Account_Type],MATCH(R303,TransactionTable[Customer_ID],0))</f>
        <v>Tier 1 Wallet</v>
      </c>
      <c r="U303" s="16">
        <f>SUMIFS(TransactionTable[Amount],TransactionTable[Customer_ID],R303)</f>
        <v>41355.300000000003</v>
      </c>
      <c r="V303" s="14">
        <f>COUNTIF(TransactionTable[Customer_ID],R303)</f>
        <v>4</v>
      </c>
      <c r="W303" s="29">
        <f t="shared" si="9"/>
        <v>41355.300030300001</v>
      </c>
    </row>
    <row r="304" spans="18:23" x14ac:dyDescent="0.3">
      <c r="R304" s="28" t="s">
        <v>126</v>
      </c>
      <c r="S304" s="28" t="str">
        <f>INDEX(TransactionTable[State],MATCH(R304,TransactionTable[Customer_ID],0))</f>
        <v>Ogun</v>
      </c>
      <c r="T304" s="28" t="str">
        <f>INDEX(TransactionTable[Account_Type],MATCH(R304,TransactionTable[Customer_ID],0))</f>
        <v>Savings</v>
      </c>
      <c r="U304" s="16">
        <f>SUMIFS(TransactionTable[Amount],TransactionTable[Customer_ID],R304)</f>
        <v>235235.54000000004</v>
      </c>
      <c r="V304" s="14">
        <f>COUNTIF(TransactionTable[Customer_ID],R304)</f>
        <v>9</v>
      </c>
      <c r="W304" s="29">
        <f t="shared" si="9"/>
        <v>235235.54003040004</v>
      </c>
    </row>
    <row r="305" spans="18:23" x14ac:dyDescent="0.3">
      <c r="R305" s="28" t="s">
        <v>360</v>
      </c>
      <c r="S305" s="28" t="str">
        <f>INDEX(TransactionTable[State],MATCH(R305,TransactionTable[Customer_ID],0))</f>
        <v>Lagos</v>
      </c>
      <c r="T305" s="28" t="str">
        <f>INDEX(TransactionTable[Account_Type],MATCH(R305,TransactionTable[Customer_ID],0))</f>
        <v>Savings</v>
      </c>
      <c r="U305" s="16">
        <f>SUMIFS(TransactionTable[Amount],TransactionTable[Customer_ID],R305)</f>
        <v>55621.39</v>
      </c>
      <c r="V305" s="14">
        <f>COUNTIF(TransactionTable[Customer_ID],R305)</f>
        <v>7</v>
      </c>
      <c r="W305" s="29">
        <f t="shared" si="9"/>
        <v>55621.390030499999</v>
      </c>
    </row>
    <row r="306" spans="18:23" x14ac:dyDescent="0.3">
      <c r="R306" s="28" t="s">
        <v>619</v>
      </c>
      <c r="S306" s="28" t="str">
        <f>INDEX(TransactionTable[State],MATCH(R306,TransactionTable[Customer_ID],0))</f>
        <v>Lagos</v>
      </c>
      <c r="T306" s="28" t="str">
        <f>INDEX(TransactionTable[Account_Type],MATCH(R306,TransactionTable[Customer_ID],0))</f>
        <v>Savings</v>
      </c>
      <c r="U306" s="16">
        <f>SUMIFS(TransactionTable[Amount],TransactionTable[Customer_ID],R306)</f>
        <v>125243.57</v>
      </c>
      <c r="V306" s="14">
        <f>COUNTIF(TransactionTable[Customer_ID],R306)</f>
        <v>10</v>
      </c>
      <c r="W306" s="29">
        <f t="shared" si="9"/>
        <v>125243.57003060001</v>
      </c>
    </row>
    <row r="307" spans="18:23" x14ac:dyDescent="0.3">
      <c r="R307" s="28" t="s">
        <v>438</v>
      </c>
      <c r="S307" s="28" t="str">
        <f>INDEX(TransactionTable[State],MATCH(R307,TransactionTable[Customer_ID],0))</f>
        <v>Lagos</v>
      </c>
      <c r="T307" s="28" t="str">
        <f>INDEX(TransactionTable[Account_Type],MATCH(R307,TransactionTable[Customer_ID],0))</f>
        <v>Savings</v>
      </c>
      <c r="U307" s="16">
        <f>SUMIFS(TransactionTable[Amount],TransactionTable[Customer_ID],R307)</f>
        <v>113189.35999999999</v>
      </c>
      <c r="V307" s="14">
        <f>COUNTIF(TransactionTable[Customer_ID],R307)</f>
        <v>6</v>
      </c>
      <c r="W307" s="29">
        <f t="shared" si="9"/>
        <v>113189.36003069999</v>
      </c>
    </row>
    <row r="308" spans="18:23" x14ac:dyDescent="0.3">
      <c r="R308" s="28" t="s">
        <v>1101</v>
      </c>
      <c r="S308" s="28" t="str">
        <f>INDEX(TransactionTable[State],MATCH(R308,TransactionTable[Customer_ID],0))</f>
        <v>Kano</v>
      </c>
      <c r="T308" s="28" t="str">
        <f>INDEX(TransactionTable[Account_Type],MATCH(R308,TransactionTable[Customer_ID],0))</f>
        <v>Tier 1 Wallet</v>
      </c>
      <c r="U308" s="16">
        <f>SUMIFS(TransactionTable[Amount],TransactionTable[Customer_ID],R308)</f>
        <v>111984.19999999998</v>
      </c>
      <c r="V308" s="14">
        <f>COUNTIF(TransactionTable[Customer_ID],R308)</f>
        <v>5</v>
      </c>
      <c r="W308" s="29">
        <f t="shared" si="9"/>
        <v>111984.20003079998</v>
      </c>
    </row>
    <row r="309" spans="18:23" x14ac:dyDescent="0.3">
      <c r="R309" s="28" t="s">
        <v>562</v>
      </c>
      <c r="S309" s="28" t="str">
        <f>INDEX(TransactionTable[State],MATCH(R309,TransactionTable[Customer_ID],0))</f>
        <v>Lagos</v>
      </c>
      <c r="T309" s="28" t="str">
        <f>INDEX(TransactionTable[Account_Type],MATCH(R309,TransactionTable[Customer_ID],0))</f>
        <v>Savings</v>
      </c>
      <c r="U309" s="16">
        <f>SUMIFS(TransactionTable[Amount],TransactionTable[Customer_ID],R309)</f>
        <v>75038.14</v>
      </c>
      <c r="V309" s="14">
        <f>COUNTIF(TransactionTable[Customer_ID],R309)</f>
        <v>6</v>
      </c>
      <c r="W309" s="29">
        <f t="shared" si="9"/>
        <v>75038.140030900002</v>
      </c>
    </row>
    <row r="310" spans="18:23" x14ac:dyDescent="0.3">
      <c r="R310" s="28" t="s">
        <v>62</v>
      </c>
      <c r="S310" s="28" t="str">
        <f>INDEX(TransactionTable[State],MATCH(R310,TransactionTable[Customer_ID],0))</f>
        <v>Oyo</v>
      </c>
      <c r="T310" s="28" t="str">
        <f>INDEX(TransactionTable[Account_Type],MATCH(R310,TransactionTable[Customer_ID],0))</f>
        <v>Savings</v>
      </c>
      <c r="U310" s="16">
        <f>SUMIFS(TransactionTable[Amount],TransactionTable[Customer_ID],R310)</f>
        <v>97359.010000000009</v>
      </c>
      <c r="V310" s="14">
        <f>COUNTIF(TransactionTable[Customer_ID],R310)</f>
        <v>7</v>
      </c>
      <c r="W310" s="29">
        <f t="shared" si="9"/>
        <v>97359.010031000013</v>
      </c>
    </row>
    <row r="311" spans="18:23" x14ac:dyDescent="0.3">
      <c r="R311" s="28" t="s">
        <v>1013</v>
      </c>
      <c r="S311" s="28" t="str">
        <f>INDEX(TransactionTable[State],MATCH(R311,TransactionTable[Customer_ID],0))</f>
        <v>Kano</v>
      </c>
      <c r="T311" s="28" t="str">
        <f>INDEX(TransactionTable[Account_Type],MATCH(R311,TransactionTable[Customer_ID],0))</f>
        <v>Current</v>
      </c>
      <c r="U311" s="16">
        <f>SUMIFS(TransactionTable[Amount],TransactionTable[Customer_ID],R311)</f>
        <v>8250.16</v>
      </c>
      <c r="V311" s="14">
        <f>COUNTIF(TransactionTable[Customer_ID],R311)</f>
        <v>3</v>
      </c>
      <c r="W311" s="29">
        <f t="shared" si="9"/>
        <v>8250.1600311000002</v>
      </c>
    </row>
    <row r="312" spans="18:23" x14ac:dyDescent="0.3">
      <c r="R312" s="28" t="s">
        <v>1118</v>
      </c>
      <c r="S312" s="28" t="str">
        <f>INDEX(TransactionTable[State],MATCH(R312,TransactionTable[Customer_ID],0))</f>
        <v>Lagos</v>
      </c>
      <c r="T312" s="28" t="str">
        <f>INDEX(TransactionTable[Account_Type],MATCH(R312,TransactionTable[Customer_ID],0))</f>
        <v>Tier 3 Verified</v>
      </c>
      <c r="U312" s="16">
        <f>SUMIFS(TransactionTable[Amount],TransactionTable[Customer_ID],R312)</f>
        <v>133486.31999999998</v>
      </c>
      <c r="V312" s="14">
        <f>COUNTIF(TransactionTable[Customer_ID],R312)</f>
        <v>5</v>
      </c>
      <c r="W312" s="29">
        <f t="shared" si="9"/>
        <v>133486.32003119998</v>
      </c>
    </row>
    <row r="313" spans="18:23" x14ac:dyDescent="0.3">
      <c r="R313" s="28" t="s">
        <v>709</v>
      </c>
      <c r="S313" s="28" t="str">
        <f>INDEX(TransactionTable[State],MATCH(R313,TransactionTable[Customer_ID],0))</f>
        <v>Lagos</v>
      </c>
      <c r="T313" s="28" t="str">
        <f>INDEX(TransactionTable[Account_Type],MATCH(R313,TransactionTable[Customer_ID],0))</f>
        <v>Tier 1 Wallet</v>
      </c>
      <c r="U313" s="16">
        <f>SUMIFS(TransactionTable[Amount],TransactionTable[Customer_ID],R313)</f>
        <v>186751.27000000002</v>
      </c>
      <c r="V313" s="14">
        <f>COUNTIF(TransactionTable[Customer_ID],R313)</f>
        <v>8</v>
      </c>
      <c r="W313" s="29">
        <f t="shared" si="9"/>
        <v>186751.27003130002</v>
      </c>
    </row>
    <row r="314" spans="18:23" x14ac:dyDescent="0.3">
      <c r="R314" s="28" t="s">
        <v>42</v>
      </c>
      <c r="S314" s="28" t="str">
        <f>INDEX(TransactionTable[State],MATCH(R314,TransactionTable[Customer_ID],0))</f>
        <v>Enugu</v>
      </c>
      <c r="T314" s="28" t="str">
        <f>INDEX(TransactionTable[Account_Type],MATCH(R314,TransactionTable[Customer_ID],0))</f>
        <v>Tier 1 Wallet</v>
      </c>
      <c r="U314" s="16">
        <f>SUMIFS(TransactionTable[Amount],TransactionTable[Customer_ID],R314)</f>
        <v>29588.659999999996</v>
      </c>
      <c r="V314" s="14">
        <f>COUNTIF(TransactionTable[Customer_ID],R314)</f>
        <v>6</v>
      </c>
      <c r="W314" s="29">
        <f t="shared" si="9"/>
        <v>29588.660031399995</v>
      </c>
    </row>
    <row r="315" spans="18:23" x14ac:dyDescent="0.3">
      <c r="R315" s="28" t="s">
        <v>169</v>
      </c>
      <c r="S315" s="28" t="str">
        <f>INDEX(TransactionTable[State],MATCH(R315,TransactionTable[Customer_ID],0))</f>
        <v>Lagos</v>
      </c>
      <c r="T315" s="28" t="str">
        <f>INDEX(TransactionTable[Account_Type],MATCH(R315,TransactionTable[Customer_ID],0))</f>
        <v>Savings</v>
      </c>
      <c r="U315" s="16">
        <f>SUMIFS(TransactionTable[Amount],TransactionTable[Customer_ID],R315)</f>
        <v>98252.770000000019</v>
      </c>
      <c r="V315" s="14">
        <f>COUNTIF(TransactionTable[Customer_ID],R315)</f>
        <v>6</v>
      </c>
      <c r="W315" s="29">
        <f t="shared" si="9"/>
        <v>98252.770031500026</v>
      </c>
    </row>
    <row r="316" spans="18:23" x14ac:dyDescent="0.3">
      <c r="R316" s="28" t="s">
        <v>268</v>
      </c>
      <c r="S316" s="28" t="str">
        <f>INDEX(TransactionTable[State],MATCH(R316,TransactionTable[Customer_ID],0))</f>
        <v>Oyo</v>
      </c>
      <c r="T316" s="28" t="str">
        <f>INDEX(TransactionTable[Account_Type],MATCH(R316,TransactionTable[Customer_ID],0))</f>
        <v>Savings</v>
      </c>
      <c r="U316" s="16">
        <f>SUMIFS(TransactionTable[Amount],TransactionTable[Customer_ID],R316)</f>
        <v>80101.73000000001</v>
      </c>
      <c r="V316" s="14">
        <f>COUNTIF(TransactionTable[Customer_ID],R316)</f>
        <v>5</v>
      </c>
      <c r="W316" s="29">
        <f t="shared" si="9"/>
        <v>80101.730031600004</v>
      </c>
    </row>
    <row r="317" spans="18:23" x14ac:dyDescent="0.3">
      <c r="R317" s="28" t="s">
        <v>483</v>
      </c>
      <c r="S317" s="28" t="str">
        <f>INDEX(TransactionTable[State],MATCH(R317,TransactionTable[Customer_ID],0))</f>
        <v>Ogun</v>
      </c>
      <c r="T317" s="28" t="str">
        <f>INDEX(TransactionTable[Account_Type],MATCH(R317,TransactionTable[Customer_ID],0))</f>
        <v>Tier 3 Verified</v>
      </c>
      <c r="U317" s="16">
        <f>SUMIFS(TransactionTable[Amount],TransactionTable[Customer_ID],R317)</f>
        <v>62912.38</v>
      </c>
      <c r="V317" s="14">
        <f>COUNTIF(TransactionTable[Customer_ID],R317)</f>
        <v>4</v>
      </c>
      <c r="W317" s="29">
        <f t="shared" si="9"/>
        <v>62912.380031699999</v>
      </c>
    </row>
    <row r="318" spans="18:23" x14ac:dyDescent="0.3">
      <c r="R318" s="28" t="s">
        <v>40</v>
      </c>
      <c r="S318" s="28" t="str">
        <f>INDEX(TransactionTable[State],MATCH(R318,TransactionTable[Customer_ID],0))</f>
        <v>Lagos</v>
      </c>
      <c r="T318" s="28" t="str">
        <f>INDEX(TransactionTable[Account_Type],MATCH(R318,TransactionTable[Customer_ID],0))</f>
        <v>Savings</v>
      </c>
      <c r="U318" s="16">
        <f>SUMIFS(TransactionTable[Amount],TransactionTable[Customer_ID],R318)</f>
        <v>71829.25</v>
      </c>
      <c r="V318" s="14">
        <f>COUNTIF(TransactionTable[Customer_ID],R318)</f>
        <v>7</v>
      </c>
      <c r="W318" s="29">
        <f t="shared" si="9"/>
        <v>71829.250031799995</v>
      </c>
    </row>
    <row r="319" spans="18:23" x14ac:dyDescent="0.3">
      <c r="R319" s="28" t="s">
        <v>132</v>
      </c>
      <c r="S319" s="28" t="str">
        <f>INDEX(TransactionTable[State],MATCH(R319,TransactionTable[Customer_ID],0))</f>
        <v>Enugu</v>
      </c>
      <c r="T319" s="28" t="str">
        <f>INDEX(TransactionTable[Account_Type],MATCH(R319,TransactionTable[Customer_ID],0))</f>
        <v>Savings</v>
      </c>
      <c r="U319" s="16">
        <f>SUMIFS(TransactionTable[Amount],TransactionTable[Customer_ID],R319)</f>
        <v>76218.13</v>
      </c>
      <c r="V319" s="14">
        <f>COUNTIF(TransactionTable[Customer_ID],R319)</f>
        <v>11</v>
      </c>
      <c r="W319" s="29">
        <f t="shared" si="9"/>
        <v>76218.1300319</v>
      </c>
    </row>
    <row r="320" spans="18:23" x14ac:dyDescent="0.3">
      <c r="R320" s="28" t="s">
        <v>532</v>
      </c>
      <c r="S320" s="28" t="str">
        <f>INDEX(TransactionTable[State],MATCH(R320,TransactionTable[Customer_ID],0))</f>
        <v>Lagos</v>
      </c>
      <c r="T320" s="28" t="str">
        <f>INDEX(TransactionTable[Account_Type],MATCH(R320,TransactionTable[Customer_ID],0))</f>
        <v>Current</v>
      </c>
      <c r="U320" s="16">
        <f>SUMIFS(TransactionTable[Amount],TransactionTable[Customer_ID],R320)</f>
        <v>31785.160000000003</v>
      </c>
      <c r="V320" s="14">
        <f>COUNTIF(TransactionTable[Customer_ID],R320)</f>
        <v>7</v>
      </c>
      <c r="W320" s="29">
        <f t="shared" si="9"/>
        <v>31785.160032000003</v>
      </c>
    </row>
    <row r="321" spans="18:23" x14ac:dyDescent="0.3">
      <c r="R321" s="28" t="s">
        <v>756</v>
      </c>
      <c r="S321" s="28" t="str">
        <f>INDEX(TransactionTable[State],MATCH(R321,TransactionTable[Customer_ID],0))</f>
        <v>Ogun</v>
      </c>
      <c r="T321" s="28" t="str">
        <f>INDEX(TransactionTable[Account_Type],MATCH(R321,TransactionTable[Customer_ID],0))</f>
        <v>Savings</v>
      </c>
      <c r="U321" s="16">
        <f>SUMIFS(TransactionTable[Amount],TransactionTable[Customer_ID],R321)</f>
        <v>112359.62000000001</v>
      </c>
      <c r="V321" s="14">
        <f>COUNTIF(TransactionTable[Customer_ID],R321)</f>
        <v>8</v>
      </c>
      <c r="W321" s="29">
        <f t="shared" si="9"/>
        <v>112359.62003210001</v>
      </c>
    </row>
    <row r="322" spans="18:23" x14ac:dyDescent="0.3">
      <c r="R322" s="28" t="s">
        <v>607</v>
      </c>
      <c r="S322" s="28" t="str">
        <f>INDEX(TransactionTable[State],MATCH(R322,TransactionTable[Customer_ID],0))</f>
        <v>Lagos</v>
      </c>
      <c r="T322" s="28" t="str">
        <f>INDEX(TransactionTable[Account_Type],MATCH(R322,TransactionTable[Customer_ID],0))</f>
        <v>Tier 3 Verified</v>
      </c>
      <c r="U322" s="16">
        <f>SUMIFS(TransactionTable[Amount],TransactionTable[Customer_ID],R322)</f>
        <v>191835.59</v>
      </c>
      <c r="V322" s="14">
        <f>COUNTIF(TransactionTable[Customer_ID],R322)</f>
        <v>6</v>
      </c>
      <c r="W322" s="29">
        <f t="shared" si="9"/>
        <v>191835.59003220001</v>
      </c>
    </row>
    <row r="323" spans="18:23" x14ac:dyDescent="0.3">
      <c r="R323" s="28" t="s">
        <v>213</v>
      </c>
      <c r="S323" s="28" t="str">
        <f>INDEX(TransactionTable[State],MATCH(R323,TransactionTable[Customer_ID],0))</f>
        <v>Oyo</v>
      </c>
      <c r="T323" s="28" t="str">
        <f>INDEX(TransactionTable[Account_Type],MATCH(R323,TransactionTable[Customer_ID],0))</f>
        <v>Current</v>
      </c>
      <c r="U323" s="16">
        <f>SUMIFS(TransactionTable[Amount],TransactionTable[Customer_ID],R323)</f>
        <v>69674.049999999988</v>
      </c>
      <c r="V323" s="14">
        <f>COUNTIF(TransactionTable[Customer_ID],R323)</f>
        <v>9</v>
      </c>
      <c r="W323" s="29">
        <f t="shared" si="9"/>
        <v>69674.050032299987</v>
      </c>
    </row>
    <row r="324" spans="18:23" x14ac:dyDescent="0.3">
      <c r="R324" s="28" t="s">
        <v>1049</v>
      </c>
      <c r="S324" s="28" t="str">
        <f>INDEX(TransactionTable[State],MATCH(R324,TransactionTable[Customer_ID],0))</f>
        <v>Lagos</v>
      </c>
      <c r="T324" s="28" t="str">
        <f>INDEX(TransactionTable[Account_Type],MATCH(R324,TransactionTable[Customer_ID],0))</f>
        <v>Tier 3 Verified</v>
      </c>
      <c r="U324" s="16">
        <f>SUMIFS(TransactionTable[Amount],TransactionTable[Customer_ID],R324)</f>
        <v>162207.14000000001</v>
      </c>
      <c r="V324" s="14">
        <f>COUNTIF(TransactionTable[Customer_ID],R324)</f>
        <v>8</v>
      </c>
      <c r="W324" s="29">
        <f t="shared" si="9"/>
        <v>162207.14003240003</v>
      </c>
    </row>
    <row r="325" spans="18:23" x14ac:dyDescent="0.3">
      <c r="R325" s="28" t="s">
        <v>73</v>
      </c>
      <c r="S325" s="28" t="str">
        <f>INDEX(TransactionTable[State],MATCH(R325,TransactionTable[Customer_ID],0))</f>
        <v>Kano</v>
      </c>
      <c r="T325" s="28" t="str">
        <f>INDEX(TransactionTable[Account_Type],MATCH(R325,TransactionTable[Customer_ID],0))</f>
        <v>Current</v>
      </c>
      <c r="U325" s="16">
        <f>SUMIFS(TransactionTable[Amount],TransactionTable[Customer_ID],R325)</f>
        <v>156127.26</v>
      </c>
      <c r="V325" s="14">
        <f>COUNTIF(TransactionTable[Customer_ID],R325)</f>
        <v>11</v>
      </c>
      <c r="W325" s="29">
        <f t="shared" si="9"/>
        <v>156127.26003249999</v>
      </c>
    </row>
    <row r="326" spans="18:23" x14ac:dyDescent="0.3">
      <c r="R326" s="28" t="s">
        <v>617</v>
      </c>
      <c r="S326" s="28" t="str">
        <f>INDEX(TransactionTable[State],MATCH(R326,TransactionTable[Customer_ID],0))</f>
        <v>Lagos</v>
      </c>
      <c r="T326" s="28" t="str">
        <f>INDEX(TransactionTable[Account_Type],MATCH(R326,TransactionTable[Customer_ID],0))</f>
        <v>Tier 1 Wallet</v>
      </c>
      <c r="U326" s="16">
        <f>SUMIFS(TransactionTable[Amount],TransactionTable[Customer_ID],R326)</f>
        <v>145108.72999999998</v>
      </c>
      <c r="V326" s="14">
        <f>COUNTIF(TransactionTable[Customer_ID],R326)</f>
        <v>9</v>
      </c>
      <c r="W326" s="29">
        <f t="shared" si="9"/>
        <v>145108.73003259997</v>
      </c>
    </row>
    <row r="327" spans="18:23" x14ac:dyDescent="0.3">
      <c r="R327" s="28" t="s">
        <v>1028</v>
      </c>
      <c r="S327" s="28" t="str">
        <f>INDEX(TransactionTable[State],MATCH(R327,TransactionTable[Customer_ID],0))</f>
        <v>Oyo</v>
      </c>
      <c r="T327" s="28" t="str">
        <f>INDEX(TransactionTable[Account_Type],MATCH(R327,TransactionTable[Customer_ID],0))</f>
        <v>Savings</v>
      </c>
      <c r="U327" s="16">
        <f>SUMIFS(TransactionTable[Amount],TransactionTable[Customer_ID],R327)</f>
        <v>112581.25</v>
      </c>
      <c r="V327" s="14">
        <f>COUNTIF(TransactionTable[Customer_ID],R327)</f>
        <v>3</v>
      </c>
      <c r="W327" s="29">
        <f t="shared" ref="W327:W356" si="10">U327+ROW()/10^7</f>
        <v>112581.2500327</v>
      </c>
    </row>
    <row r="328" spans="18:23" x14ac:dyDescent="0.3">
      <c r="R328" s="28" t="s">
        <v>380</v>
      </c>
      <c r="S328" s="28" t="str">
        <f>INDEX(TransactionTable[State],MATCH(R328,TransactionTable[Customer_ID],0))</f>
        <v>Lagos</v>
      </c>
      <c r="T328" s="28" t="str">
        <f>INDEX(TransactionTable[Account_Type],MATCH(R328,TransactionTable[Customer_ID],0))</f>
        <v>Savings</v>
      </c>
      <c r="U328" s="16">
        <f>SUMIFS(TransactionTable[Amount],TransactionTable[Customer_ID],R328)</f>
        <v>79546.11</v>
      </c>
      <c r="V328" s="14">
        <f>COUNTIF(TransactionTable[Customer_ID],R328)</f>
        <v>5</v>
      </c>
      <c r="W328" s="29">
        <f t="shared" si="10"/>
        <v>79546.110032800003</v>
      </c>
    </row>
    <row r="329" spans="18:23" x14ac:dyDescent="0.3">
      <c r="R329" s="28" t="s">
        <v>105</v>
      </c>
      <c r="S329" s="28" t="str">
        <f>INDEX(TransactionTable[State],MATCH(R329,TransactionTable[Customer_ID],0))</f>
        <v>Lagos</v>
      </c>
      <c r="T329" s="28" t="str">
        <f>INDEX(TransactionTable[Account_Type],MATCH(R329,TransactionTable[Customer_ID],0))</f>
        <v>Current</v>
      </c>
      <c r="U329" s="16">
        <f>SUMIFS(TransactionTable[Amount],TransactionTable[Customer_ID],R329)</f>
        <v>156943.59999999998</v>
      </c>
      <c r="V329" s="14">
        <f>COUNTIF(TransactionTable[Customer_ID],R329)</f>
        <v>13</v>
      </c>
      <c r="W329" s="29">
        <f t="shared" si="10"/>
        <v>156943.60003289997</v>
      </c>
    </row>
    <row r="330" spans="18:23" x14ac:dyDescent="0.3">
      <c r="R330" s="28" t="s">
        <v>334</v>
      </c>
      <c r="S330" s="28" t="str">
        <f>INDEX(TransactionTable[State],MATCH(R330,TransactionTable[Customer_ID],0))</f>
        <v>FCT Abuja</v>
      </c>
      <c r="T330" s="28" t="str">
        <f>INDEX(TransactionTable[Account_Type],MATCH(R330,TransactionTable[Customer_ID],0))</f>
        <v>Tier 3 Verified</v>
      </c>
      <c r="U330" s="16">
        <f>SUMIFS(TransactionTable[Amount],TransactionTable[Customer_ID],R330)</f>
        <v>70566.5</v>
      </c>
      <c r="V330" s="14">
        <f>COUNTIF(TransactionTable[Customer_ID],R330)</f>
        <v>7</v>
      </c>
      <c r="W330" s="29">
        <f t="shared" si="10"/>
        <v>70566.500033000004</v>
      </c>
    </row>
    <row r="331" spans="18:23" x14ac:dyDescent="0.3">
      <c r="R331" s="28" t="s">
        <v>103</v>
      </c>
      <c r="S331" s="28" t="str">
        <f>INDEX(TransactionTable[State],MATCH(R331,TransactionTable[Customer_ID],0))</f>
        <v>Lagos</v>
      </c>
      <c r="T331" s="28" t="str">
        <f>INDEX(TransactionTable[Account_Type],MATCH(R331,TransactionTable[Customer_ID],0))</f>
        <v>Savings</v>
      </c>
      <c r="U331" s="16">
        <f>SUMIFS(TransactionTable[Amount],TransactionTable[Customer_ID],R331)</f>
        <v>129308.04999999999</v>
      </c>
      <c r="V331" s="14">
        <f>COUNTIF(TransactionTable[Customer_ID],R331)</f>
        <v>5</v>
      </c>
      <c r="W331" s="29">
        <f t="shared" si="10"/>
        <v>129308.05003309999</v>
      </c>
    </row>
    <row r="332" spans="18:23" x14ac:dyDescent="0.3">
      <c r="R332" s="28" t="s">
        <v>1387</v>
      </c>
      <c r="S332" s="28" t="str">
        <f>INDEX(TransactionTable[State],MATCH(R332,TransactionTable[Customer_ID],0))</f>
        <v>Oyo</v>
      </c>
      <c r="T332" s="28" t="str">
        <f>INDEX(TransactionTable[Account_Type],MATCH(R332,TransactionTable[Customer_ID],0))</f>
        <v>Savings</v>
      </c>
      <c r="U332" s="16">
        <f>SUMIFS(TransactionTable[Amount],TransactionTable[Customer_ID],R332)</f>
        <v>81103.459999999992</v>
      </c>
      <c r="V332" s="14">
        <f>COUNTIF(TransactionTable[Customer_ID],R332)</f>
        <v>6</v>
      </c>
      <c r="W332" s="29">
        <f t="shared" si="10"/>
        <v>81103.460033199997</v>
      </c>
    </row>
    <row r="333" spans="18:23" x14ac:dyDescent="0.3">
      <c r="R333" s="28" t="s">
        <v>707</v>
      </c>
      <c r="S333" s="28" t="str">
        <f>INDEX(TransactionTable[State],MATCH(R333,TransactionTable[Customer_ID],0))</f>
        <v>Oyo</v>
      </c>
      <c r="T333" s="28" t="str">
        <f>INDEX(TransactionTable[Account_Type],MATCH(R333,TransactionTable[Customer_ID],0))</f>
        <v>Savings</v>
      </c>
      <c r="U333" s="16">
        <f>SUMIFS(TransactionTable[Amount],TransactionTable[Customer_ID],R333)</f>
        <v>119292.65</v>
      </c>
      <c r="V333" s="14">
        <f>COUNTIF(TransactionTable[Customer_ID],R333)</f>
        <v>7</v>
      </c>
      <c r="W333" s="29">
        <f t="shared" si="10"/>
        <v>119292.6500333</v>
      </c>
    </row>
    <row r="334" spans="18:23" x14ac:dyDescent="0.3">
      <c r="R334" s="28" t="s">
        <v>101</v>
      </c>
      <c r="S334" s="28" t="str">
        <f>INDEX(TransactionTable[State],MATCH(R334,TransactionTable[Customer_ID],0))</f>
        <v>Lagos</v>
      </c>
      <c r="T334" s="28" t="str">
        <f>INDEX(TransactionTable[Account_Type],MATCH(R334,TransactionTable[Customer_ID],0))</f>
        <v>Savings</v>
      </c>
      <c r="U334" s="16">
        <f>SUMIFS(TransactionTable[Amount],TransactionTable[Customer_ID],R334)</f>
        <v>120208.68000000001</v>
      </c>
      <c r="V334" s="14">
        <f>COUNTIF(TransactionTable[Customer_ID],R334)</f>
        <v>5</v>
      </c>
      <c r="W334" s="29">
        <f t="shared" si="10"/>
        <v>120208.68003340001</v>
      </c>
    </row>
    <row r="335" spans="18:23" x14ac:dyDescent="0.3">
      <c r="R335" s="28" t="s">
        <v>597</v>
      </c>
      <c r="S335" s="28" t="str">
        <f>INDEX(TransactionTable[State],MATCH(R335,TransactionTable[Customer_ID],0))</f>
        <v>Rivers</v>
      </c>
      <c r="T335" s="28" t="str">
        <f>INDEX(TransactionTable[Account_Type],MATCH(R335,TransactionTable[Customer_ID],0))</f>
        <v>Current</v>
      </c>
      <c r="U335" s="16">
        <f>SUMIFS(TransactionTable[Amount],TransactionTable[Customer_ID],R335)</f>
        <v>325244.08</v>
      </c>
      <c r="V335" s="14">
        <f>COUNTIF(TransactionTable[Customer_ID],R335)</f>
        <v>8</v>
      </c>
      <c r="W335" s="29">
        <f t="shared" si="10"/>
        <v>325244.08003350004</v>
      </c>
    </row>
    <row r="336" spans="18:23" x14ac:dyDescent="0.3">
      <c r="R336" s="28" t="s">
        <v>786</v>
      </c>
      <c r="S336" s="28" t="str">
        <f>INDEX(TransactionTable[State],MATCH(R336,TransactionTable[Customer_ID],0))</f>
        <v>Lagos</v>
      </c>
      <c r="T336" s="28" t="str">
        <f>INDEX(TransactionTable[Account_Type],MATCH(R336,TransactionTable[Customer_ID],0))</f>
        <v>Tier 1 Wallet</v>
      </c>
      <c r="U336" s="16">
        <f>SUMIFS(TransactionTable[Amount],TransactionTable[Customer_ID],R336)</f>
        <v>50734.62000000001</v>
      </c>
      <c r="V336" s="14">
        <f>COUNTIF(TransactionTable[Customer_ID],R336)</f>
        <v>5</v>
      </c>
      <c r="W336" s="29">
        <f t="shared" si="10"/>
        <v>50734.620033600011</v>
      </c>
    </row>
    <row r="337" spans="18:23" x14ac:dyDescent="0.3">
      <c r="R337" s="28" t="s">
        <v>2037</v>
      </c>
      <c r="S337" s="28" t="str">
        <f>INDEX(TransactionTable[State],MATCH(R337,TransactionTable[Customer_ID],0))</f>
        <v>FCT Abuja</v>
      </c>
      <c r="T337" s="28" t="str">
        <f>INDEX(TransactionTable[Account_Type],MATCH(R337,TransactionTable[Customer_ID],0))</f>
        <v>Savings</v>
      </c>
      <c r="U337" s="16">
        <f>SUMIFS(TransactionTable[Amount],TransactionTable[Customer_ID],R337)</f>
        <v>29833.96</v>
      </c>
      <c r="V337" s="14">
        <f>COUNTIF(TransactionTable[Customer_ID],R337)</f>
        <v>4</v>
      </c>
      <c r="W337" s="29">
        <f t="shared" si="10"/>
        <v>29833.960033699997</v>
      </c>
    </row>
    <row r="338" spans="18:23" x14ac:dyDescent="0.3">
      <c r="R338" s="28" t="s">
        <v>1337</v>
      </c>
      <c r="S338" s="28" t="str">
        <f>INDEX(TransactionTable[State],MATCH(R338,TransactionTable[Customer_ID],0))</f>
        <v>Kano</v>
      </c>
      <c r="T338" s="28" t="str">
        <f>INDEX(TransactionTable[Account_Type],MATCH(R338,TransactionTable[Customer_ID],0))</f>
        <v>Savings</v>
      </c>
      <c r="U338" s="16">
        <f>SUMIFS(TransactionTable[Amount],TransactionTable[Customer_ID],R338)</f>
        <v>157931.80999999997</v>
      </c>
      <c r="V338" s="14">
        <f>COUNTIF(TransactionTable[Customer_ID],R338)</f>
        <v>8</v>
      </c>
      <c r="W338" s="29">
        <f t="shared" si="10"/>
        <v>157931.81003379996</v>
      </c>
    </row>
    <row r="339" spans="18:23" x14ac:dyDescent="0.3">
      <c r="R339" s="28" t="s">
        <v>307</v>
      </c>
      <c r="S339" s="28" t="str">
        <f>INDEX(TransactionTable[State],MATCH(R339,TransactionTable[Customer_ID],0))</f>
        <v>Lagos</v>
      </c>
      <c r="T339" s="28" t="str">
        <f>INDEX(TransactionTable[Account_Type],MATCH(R339,TransactionTable[Customer_ID],0))</f>
        <v>Tier 3 Verified</v>
      </c>
      <c r="U339" s="16">
        <f>SUMIFS(TransactionTable[Amount],TransactionTable[Customer_ID],R339)</f>
        <v>111026.3</v>
      </c>
      <c r="V339" s="14">
        <f>COUNTIF(TransactionTable[Customer_ID],R339)</f>
        <v>6</v>
      </c>
      <c r="W339" s="29">
        <f t="shared" si="10"/>
        <v>111026.3000339</v>
      </c>
    </row>
    <row r="340" spans="18:23" x14ac:dyDescent="0.3">
      <c r="R340" s="28" t="s">
        <v>207</v>
      </c>
      <c r="S340" s="28" t="str">
        <f>INDEX(TransactionTable[State],MATCH(R340,TransactionTable[Customer_ID],0))</f>
        <v>Lagos</v>
      </c>
      <c r="T340" s="28" t="str">
        <f>INDEX(TransactionTable[Account_Type],MATCH(R340,TransactionTable[Customer_ID],0))</f>
        <v>Current</v>
      </c>
      <c r="U340" s="16">
        <f>SUMIFS(TransactionTable[Amount],TransactionTable[Customer_ID],R340)</f>
        <v>111328.63</v>
      </c>
      <c r="V340" s="14">
        <f>COUNTIF(TransactionTable[Customer_ID],R340)</f>
        <v>9</v>
      </c>
      <c r="W340" s="29">
        <f t="shared" si="10"/>
        <v>111328.630034</v>
      </c>
    </row>
    <row r="341" spans="18:23" x14ac:dyDescent="0.3">
      <c r="R341" s="28" t="s">
        <v>209</v>
      </c>
      <c r="S341" s="28" t="str">
        <f>INDEX(TransactionTable[State],MATCH(R341,TransactionTable[Customer_ID],0))</f>
        <v>FCT Abuja</v>
      </c>
      <c r="T341" s="28" t="str">
        <f>INDEX(TransactionTable[Account_Type],MATCH(R341,TransactionTable[Customer_ID],0))</f>
        <v>Tier 1 Wallet</v>
      </c>
      <c r="U341" s="16">
        <f>SUMIFS(TransactionTable[Amount],TransactionTable[Customer_ID],R341)</f>
        <v>104799.02</v>
      </c>
      <c r="V341" s="14">
        <f>COUNTIF(TransactionTable[Customer_ID],R341)</f>
        <v>7</v>
      </c>
      <c r="W341" s="29">
        <f t="shared" si="10"/>
        <v>104799.0200341</v>
      </c>
    </row>
    <row r="342" spans="18:23" x14ac:dyDescent="0.3">
      <c r="R342" s="28" t="s">
        <v>1068</v>
      </c>
      <c r="S342" s="28" t="str">
        <f>INDEX(TransactionTable[State],MATCH(R342,TransactionTable[Customer_ID],0))</f>
        <v>FCT Abuja</v>
      </c>
      <c r="T342" s="28" t="str">
        <f>INDEX(TransactionTable[Account_Type],MATCH(R342,TransactionTable[Customer_ID],0))</f>
        <v>Tier 1 Wallet</v>
      </c>
      <c r="U342" s="16">
        <f>SUMIFS(TransactionTable[Amount],TransactionTable[Customer_ID],R342)</f>
        <v>94019.37</v>
      </c>
      <c r="V342" s="14">
        <f>COUNTIF(TransactionTable[Customer_ID],R342)</f>
        <v>6</v>
      </c>
      <c r="W342" s="29">
        <f t="shared" si="10"/>
        <v>94019.370034199994</v>
      </c>
    </row>
    <row r="343" spans="18:23" x14ac:dyDescent="0.3">
      <c r="R343" s="28" t="s">
        <v>1859</v>
      </c>
      <c r="S343" s="28" t="str">
        <f>INDEX(TransactionTable[State],MATCH(R343,TransactionTable[Customer_ID],0))</f>
        <v>Rivers</v>
      </c>
      <c r="T343" s="28" t="str">
        <f>INDEX(TransactionTable[Account_Type],MATCH(R343,TransactionTable[Customer_ID],0))</f>
        <v>Savings</v>
      </c>
      <c r="U343" s="16">
        <f>SUMIFS(TransactionTable[Amount],TransactionTable[Customer_ID],R343)</f>
        <v>33739.39</v>
      </c>
      <c r="V343" s="14">
        <f>COUNTIF(TransactionTable[Customer_ID],R343)</f>
        <v>3</v>
      </c>
      <c r="W343" s="29">
        <f t="shared" si="10"/>
        <v>33739.390034299999</v>
      </c>
    </row>
    <row r="344" spans="18:23" x14ac:dyDescent="0.3">
      <c r="R344" s="28" t="s">
        <v>1401</v>
      </c>
      <c r="S344" s="28" t="str">
        <f>INDEX(TransactionTable[State],MATCH(R344,TransactionTable[Customer_ID],0))</f>
        <v>Delta</v>
      </c>
      <c r="T344" s="28" t="str">
        <f>INDEX(TransactionTable[Account_Type],MATCH(R344,TransactionTable[Customer_ID],0))</f>
        <v>Savings</v>
      </c>
      <c r="U344" s="16">
        <f>SUMIFS(TransactionTable[Amount],TransactionTable[Customer_ID],R344)</f>
        <v>96740.35</v>
      </c>
      <c r="V344" s="14">
        <f>COUNTIF(TransactionTable[Customer_ID],R344)</f>
        <v>6</v>
      </c>
      <c r="W344" s="29">
        <f t="shared" si="10"/>
        <v>96740.350034400006</v>
      </c>
    </row>
    <row r="345" spans="18:23" x14ac:dyDescent="0.3">
      <c r="R345" s="28" t="s">
        <v>774</v>
      </c>
      <c r="S345" s="28" t="str">
        <f>INDEX(TransactionTable[State],MATCH(R345,TransactionTable[Customer_ID],0))</f>
        <v>Delta</v>
      </c>
      <c r="T345" s="28" t="str">
        <f>INDEX(TransactionTable[Account_Type],MATCH(R345,TransactionTable[Customer_ID],0))</f>
        <v>Savings</v>
      </c>
      <c r="U345" s="16">
        <f>SUMIFS(TransactionTable[Amount],TransactionTable[Customer_ID],R345)</f>
        <v>214688.94000000003</v>
      </c>
      <c r="V345" s="14">
        <f>COUNTIF(TransactionTable[Customer_ID],R345)</f>
        <v>10</v>
      </c>
      <c r="W345" s="29">
        <f t="shared" si="10"/>
        <v>214688.94003450003</v>
      </c>
    </row>
    <row r="346" spans="18:23" x14ac:dyDescent="0.3">
      <c r="R346" s="28" t="s">
        <v>1457</v>
      </c>
      <c r="S346" s="28" t="str">
        <f>INDEX(TransactionTable[State],MATCH(R346,TransactionTable[Customer_ID],0))</f>
        <v>Enugu</v>
      </c>
      <c r="T346" s="28" t="str">
        <f>INDEX(TransactionTable[Account_Type],MATCH(R346,TransactionTable[Customer_ID],0))</f>
        <v>Savings</v>
      </c>
      <c r="U346" s="16">
        <f>SUMIFS(TransactionTable[Amount],TransactionTable[Customer_ID],R346)</f>
        <v>59329.829999999994</v>
      </c>
      <c r="V346" s="14">
        <f>COUNTIF(TransactionTable[Customer_ID],R346)</f>
        <v>3</v>
      </c>
      <c r="W346" s="29">
        <f t="shared" si="10"/>
        <v>59329.830034599996</v>
      </c>
    </row>
    <row r="347" spans="18:23" x14ac:dyDescent="0.3">
      <c r="R347" s="28" t="s">
        <v>1304</v>
      </c>
      <c r="S347" s="28" t="str">
        <f>INDEX(TransactionTable[State],MATCH(R347,TransactionTable[Customer_ID],0))</f>
        <v>Lagos</v>
      </c>
      <c r="T347" s="28" t="str">
        <f>INDEX(TransactionTable[Account_Type],MATCH(R347,TransactionTable[Customer_ID],0))</f>
        <v>Tier 3 Verified</v>
      </c>
      <c r="U347" s="16">
        <f>SUMIFS(TransactionTable[Amount],TransactionTable[Customer_ID],R347)</f>
        <v>70222.799999999988</v>
      </c>
      <c r="V347" s="14">
        <f>COUNTIF(TransactionTable[Customer_ID],R347)</f>
        <v>4</v>
      </c>
      <c r="W347" s="29">
        <f t="shared" si="10"/>
        <v>70222.800034699991</v>
      </c>
    </row>
    <row r="348" spans="18:23" x14ac:dyDescent="0.3">
      <c r="R348" s="28" t="s">
        <v>572</v>
      </c>
      <c r="S348" s="28" t="str">
        <f>INDEX(TransactionTable[State],MATCH(R348,TransactionTable[Customer_ID],0))</f>
        <v>Delta</v>
      </c>
      <c r="T348" s="28" t="str">
        <f>INDEX(TransactionTable[Account_Type],MATCH(R348,TransactionTable[Customer_ID],0))</f>
        <v>Savings</v>
      </c>
      <c r="U348" s="16">
        <f>SUMIFS(TransactionTable[Amount],TransactionTable[Customer_ID],R348)</f>
        <v>174392.18</v>
      </c>
      <c r="V348" s="14">
        <f>COUNTIF(TransactionTable[Customer_ID],R348)</f>
        <v>8</v>
      </c>
      <c r="W348" s="29">
        <f t="shared" si="10"/>
        <v>174392.1800348</v>
      </c>
    </row>
    <row r="349" spans="18:23" x14ac:dyDescent="0.3">
      <c r="R349" s="28" t="s">
        <v>244</v>
      </c>
      <c r="S349" s="28" t="str">
        <f>INDEX(TransactionTable[State],MATCH(R349,TransactionTable[Customer_ID],0))</f>
        <v>Ogun</v>
      </c>
      <c r="T349" s="28" t="str">
        <f>INDEX(TransactionTable[Account_Type],MATCH(R349,TransactionTable[Customer_ID],0))</f>
        <v>Savings</v>
      </c>
      <c r="U349" s="16">
        <f>SUMIFS(TransactionTable[Amount],TransactionTable[Customer_ID],R349)</f>
        <v>233921.87999999998</v>
      </c>
      <c r="V349" s="14">
        <f>COUNTIF(TransactionTable[Customer_ID],R349)</f>
        <v>6</v>
      </c>
      <c r="W349" s="29">
        <f t="shared" si="10"/>
        <v>233921.88003489998</v>
      </c>
    </row>
    <row r="350" spans="18:23" x14ac:dyDescent="0.3">
      <c r="R350" s="28" t="s">
        <v>587</v>
      </c>
      <c r="S350" s="28" t="str">
        <f>INDEX(TransactionTable[State],MATCH(R350,TransactionTable[Customer_ID],0))</f>
        <v>Lagos</v>
      </c>
      <c r="T350" s="28" t="str">
        <f>INDEX(TransactionTable[Account_Type],MATCH(R350,TransactionTable[Customer_ID],0))</f>
        <v>Current</v>
      </c>
      <c r="U350" s="16">
        <f>SUMIFS(TransactionTable[Amount],TransactionTable[Customer_ID],R350)</f>
        <v>77050.580000000016</v>
      </c>
      <c r="V350" s="14">
        <f>COUNTIF(TransactionTable[Customer_ID],R350)</f>
        <v>7</v>
      </c>
      <c r="W350" s="29">
        <f t="shared" si="10"/>
        <v>77050.580035000021</v>
      </c>
    </row>
    <row r="351" spans="18:23" x14ac:dyDescent="0.3">
      <c r="R351" s="28" t="s">
        <v>834</v>
      </c>
      <c r="S351" s="28" t="str">
        <f>INDEX(TransactionTable[State],MATCH(R351,TransactionTable[Customer_ID],0))</f>
        <v>Lagos</v>
      </c>
      <c r="T351" s="28" t="str">
        <f>INDEX(TransactionTable[Account_Type],MATCH(R351,TransactionTable[Customer_ID],0))</f>
        <v>Savings</v>
      </c>
      <c r="U351" s="16">
        <f>SUMIFS(TransactionTable[Amount],TransactionTable[Customer_ID],R351)</f>
        <v>102804.62000000001</v>
      </c>
      <c r="V351" s="14">
        <f>COUNTIF(TransactionTable[Customer_ID],R351)</f>
        <v>9</v>
      </c>
      <c r="W351" s="29">
        <f t="shared" si="10"/>
        <v>102804.62003510002</v>
      </c>
    </row>
    <row r="352" spans="18:23" x14ac:dyDescent="0.3">
      <c r="R352" s="28" t="s">
        <v>69</v>
      </c>
      <c r="S352" s="28" t="str">
        <f>INDEX(TransactionTable[State],MATCH(R352,TransactionTable[Customer_ID],0))</f>
        <v>Lagos</v>
      </c>
      <c r="T352" s="28" t="str">
        <f>INDEX(TransactionTable[Account_Type],MATCH(R352,TransactionTable[Customer_ID],0))</f>
        <v>Tier 1 Wallet</v>
      </c>
      <c r="U352" s="16">
        <f>SUMIFS(TransactionTable[Amount],TransactionTable[Customer_ID],R352)</f>
        <v>240394.36000000002</v>
      </c>
      <c r="V352" s="14">
        <f>COUNTIF(TransactionTable[Customer_ID],R352)</f>
        <v>7</v>
      </c>
      <c r="W352" s="29">
        <f t="shared" si="10"/>
        <v>240394.36003520002</v>
      </c>
    </row>
    <row r="353" spans="18:23" x14ac:dyDescent="0.3">
      <c r="R353" s="28" t="s">
        <v>440</v>
      </c>
      <c r="S353" s="28" t="str">
        <f>INDEX(TransactionTable[State],MATCH(R353,TransactionTable[Customer_ID],0))</f>
        <v>Lagos</v>
      </c>
      <c r="T353" s="28" t="str">
        <f>INDEX(TransactionTable[Account_Type],MATCH(R353,TransactionTable[Customer_ID],0))</f>
        <v>Current</v>
      </c>
      <c r="U353" s="16">
        <f>SUMIFS(TransactionTable[Amount],TransactionTable[Customer_ID],R353)</f>
        <v>58465.63</v>
      </c>
      <c r="V353" s="14">
        <f>COUNTIF(TransactionTable[Customer_ID],R353)</f>
        <v>6</v>
      </c>
      <c r="W353" s="29">
        <f t="shared" si="10"/>
        <v>58465.630035299997</v>
      </c>
    </row>
    <row r="354" spans="18:23" x14ac:dyDescent="0.3">
      <c r="R354" s="28" t="s">
        <v>853</v>
      </c>
      <c r="S354" s="28" t="str">
        <f>INDEX(TransactionTable[State],MATCH(R354,TransactionTable[Customer_ID],0))</f>
        <v>Lagos</v>
      </c>
      <c r="T354" s="28" t="str">
        <f>INDEX(TransactionTable[Account_Type],MATCH(R354,TransactionTable[Customer_ID],0))</f>
        <v>Current</v>
      </c>
      <c r="U354" s="16">
        <f>SUMIFS(TransactionTable[Amount],TransactionTable[Customer_ID],R354)</f>
        <v>171812.74</v>
      </c>
      <c r="V354" s="14">
        <f>COUNTIF(TransactionTable[Customer_ID],R354)</f>
        <v>8</v>
      </c>
      <c r="W354" s="29">
        <f t="shared" si="10"/>
        <v>171812.7400354</v>
      </c>
    </row>
    <row r="355" spans="18:23" x14ac:dyDescent="0.3">
      <c r="R355" s="28" t="s">
        <v>468</v>
      </c>
      <c r="S355" s="28" t="str">
        <f>INDEX(TransactionTable[State],MATCH(R355,TransactionTable[Customer_ID],0))</f>
        <v>Oyo</v>
      </c>
      <c r="T355" s="28" t="str">
        <f>INDEX(TransactionTable[Account_Type],MATCH(R355,TransactionTable[Customer_ID],0))</f>
        <v>Savings</v>
      </c>
      <c r="U355" s="16">
        <f>SUMIFS(TransactionTable[Amount],TransactionTable[Customer_ID],R355)</f>
        <v>104165.66</v>
      </c>
      <c r="V355" s="14">
        <f>COUNTIF(TransactionTable[Customer_ID],R355)</f>
        <v>9</v>
      </c>
      <c r="W355" s="29">
        <f t="shared" si="10"/>
        <v>104165.6600355</v>
      </c>
    </row>
    <row r="356" spans="18:23" x14ac:dyDescent="0.3">
      <c r="R356" s="28" t="s">
        <v>121</v>
      </c>
      <c r="S356" s="28" t="str">
        <f>INDEX(TransactionTable[State],MATCH(R356,TransactionTable[Customer_ID],0))</f>
        <v>Ogun</v>
      </c>
      <c r="T356" s="28" t="str">
        <f>INDEX(TransactionTable[Account_Type],MATCH(R356,TransactionTable[Customer_ID],0))</f>
        <v>Savings</v>
      </c>
      <c r="U356" s="16">
        <f>SUMIFS(TransactionTable[Amount],TransactionTable[Customer_ID],R356)</f>
        <v>83494.600000000006</v>
      </c>
      <c r="V356" s="14">
        <f>COUNTIF(TransactionTable[Customer_ID],R356)</f>
        <v>8</v>
      </c>
      <c r="W356" s="29">
        <f t="shared" si="10"/>
        <v>83494.6000356</v>
      </c>
    </row>
  </sheetData>
  <mergeCells count="2">
    <mergeCell ref="B3:P3"/>
    <mergeCell ref="B2:P2"/>
  </mergeCells>
  <pageMargins left="0.75" right="0.75" top="1" bottom="1" header="0.5" footer="0.5"/>
  <drawing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22"/>
  <sheetViews>
    <sheetView zoomScale="90" workbookViewId="0"/>
  </sheetViews>
  <sheetFormatPr defaultRowHeight="14.4" x14ac:dyDescent="0.3"/>
  <cols>
    <col min="1" max="1" width="2" customWidth="1"/>
    <col min="2" max="2" width="20" customWidth="1"/>
    <col min="3" max="4" width="13" customWidth="1"/>
    <col min="5" max="5" width="20" customWidth="1"/>
    <col min="6" max="6" width="19" customWidth="1"/>
    <col min="7" max="7" width="15" customWidth="1"/>
    <col min="8" max="9" width="12" customWidth="1"/>
    <col min="10" max="10" width="3" customWidth="1"/>
  </cols>
  <sheetData>
    <row r="2" spans="2:19" ht="30" customHeight="1" x14ac:dyDescent="0.3">
      <c r="B2" s="53" t="s">
        <v>2934</v>
      </c>
      <c r="C2" s="54"/>
      <c r="D2" s="54"/>
      <c r="E2" s="54"/>
      <c r="F2" s="54"/>
      <c r="G2" s="54"/>
      <c r="H2" s="54"/>
      <c r="I2" s="54"/>
      <c r="J2" s="54"/>
      <c r="K2" s="54"/>
      <c r="L2" s="54"/>
      <c r="M2" s="54"/>
      <c r="N2" s="54"/>
      <c r="O2" s="54"/>
      <c r="P2" s="54"/>
      <c r="Q2" s="54"/>
      <c r="R2" s="54"/>
      <c r="S2" s="54"/>
    </row>
    <row r="3" spans="2:19" ht="30" customHeight="1" x14ac:dyDescent="0.3">
      <c r="B3" s="55" t="s">
        <v>2935</v>
      </c>
      <c r="C3" s="56"/>
      <c r="D3" s="56"/>
      <c r="E3" s="56"/>
      <c r="F3" s="56"/>
      <c r="G3" s="56"/>
      <c r="H3" s="56"/>
      <c r="I3" s="56"/>
      <c r="J3" s="56"/>
      <c r="K3" s="56"/>
      <c r="L3" s="56"/>
      <c r="M3" s="56"/>
      <c r="N3" s="56"/>
      <c r="O3" s="56"/>
      <c r="P3" s="56"/>
      <c r="Q3" s="56"/>
      <c r="R3" s="56"/>
      <c r="S3" s="56"/>
    </row>
    <row r="5" spans="2:19" ht="15.6" x14ac:dyDescent="0.3">
      <c r="B5" s="6" t="s">
        <v>2936</v>
      </c>
    </row>
    <row r="6" spans="2:19" ht="31.95" customHeight="1" x14ac:dyDescent="0.3">
      <c r="B6" s="7" t="s">
        <v>2937</v>
      </c>
      <c r="C6" s="7" t="s">
        <v>2938</v>
      </c>
      <c r="D6" s="7" t="s">
        <v>2903</v>
      </c>
      <c r="E6" s="7" t="s">
        <v>2923</v>
      </c>
      <c r="F6" s="7" t="s">
        <v>2939</v>
      </c>
      <c r="G6" s="7" t="s">
        <v>2940</v>
      </c>
      <c r="H6" s="7" t="s">
        <v>2941</v>
      </c>
      <c r="I6" s="7" t="s">
        <v>2942</v>
      </c>
    </row>
    <row r="7" spans="2:19" x14ac:dyDescent="0.3">
      <c r="B7" s="13" t="s">
        <v>28</v>
      </c>
      <c r="C7" s="14">
        <f>COUNTIF(TransactionTable[Transaction_Type],B7)</f>
        <v>1085</v>
      </c>
      <c r="D7" s="15">
        <f>C7/$C$12</f>
        <v>0.434</v>
      </c>
      <c r="E7" s="16">
        <f>SUMIF(TransactionTable[Transaction_Type],B7,TransactionTable[Amount])</f>
        <v>27884106.860000007</v>
      </c>
      <c r="F7" s="16">
        <f>IFERROR(AVERAGEIF(TransactionTable[Transaction_Type],B7,TransactionTable[Amount]),0)</f>
        <v>25699.637658986183</v>
      </c>
      <c r="G7" s="15">
        <f>E7/$E$12</f>
        <v>0.75437393721665158</v>
      </c>
      <c r="H7" s="37">
        <f>RANK(C7,$C$7:$C$11)</f>
        <v>1</v>
      </c>
      <c r="I7" s="37">
        <f>RANK(E7,$E$7:$E$11)</f>
        <v>1</v>
      </c>
    </row>
    <row r="8" spans="2:19" x14ac:dyDescent="0.3">
      <c r="B8" s="13" t="s">
        <v>13</v>
      </c>
      <c r="C8" s="14">
        <f>COUNTIF(TransactionTable[Transaction_Type],B8)</f>
        <v>660</v>
      </c>
      <c r="D8" s="15">
        <f>C8/$C$12</f>
        <v>0.26400000000000001</v>
      </c>
      <c r="E8" s="16">
        <f>SUMIF(TransactionTable[Transaction_Type],B8,TransactionTable[Amount])</f>
        <v>1133662.29</v>
      </c>
      <c r="F8" s="16">
        <f>IFERROR(AVERAGEIF(TransactionTable[Transaction_Type],B8,TransactionTable[Amount]),0)</f>
        <v>1717.6701363636364</v>
      </c>
      <c r="G8" s="15">
        <f>E8/$E$12</f>
        <v>3.0669990237634073E-2</v>
      </c>
      <c r="H8" s="37">
        <f>RANK(C8,$C$7:$C$11)</f>
        <v>2</v>
      </c>
      <c r="I8" s="37">
        <f>RANK(E8,$E$7:$E$11)</f>
        <v>5</v>
      </c>
    </row>
    <row r="9" spans="2:19" x14ac:dyDescent="0.3">
      <c r="B9" s="13" t="s">
        <v>33</v>
      </c>
      <c r="C9" s="14">
        <f>COUNTIF(TransactionTable[Transaction_Type],B9)</f>
        <v>377</v>
      </c>
      <c r="D9" s="15">
        <f>C9/$C$12</f>
        <v>0.15079999999999999</v>
      </c>
      <c r="E9" s="16">
        <f>SUMIF(TransactionTable[Transaction_Type],B9,TransactionTable[Amount])</f>
        <v>4243869.8400000008</v>
      </c>
      <c r="F9" s="16">
        <f>IFERROR(AVERAGEIF(TransactionTable[Transaction_Type],B9,TransactionTable[Amount]),0)</f>
        <v>11256.949177718834</v>
      </c>
      <c r="G9" s="15">
        <f>E9/$E$12</f>
        <v>0.11481324527658912</v>
      </c>
      <c r="H9" s="37">
        <f>RANK(C9,$C$7:$C$11)</f>
        <v>3</v>
      </c>
      <c r="I9" s="37">
        <f>RANK(E9,$E$7:$E$11)</f>
        <v>2</v>
      </c>
    </row>
    <row r="10" spans="2:19" x14ac:dyDescent="0.3">
      <c r="B10" s="13" t="s">
        <v>38</v>
      </c>
      <c r="C10" s="14">
        <f>COUNTIF(TransactionTable[Transaction_Type],B10)</f>
        <v>268</v>
      </c>
      <c r="D10" s="15">
        <f>C10/$C$12</f>
        <v>0.1072</v>
      </c>
      <c r="E10" s="16">
        <f>SUMIF(TransactionTable[Transaction_Type],B10,TransactionTable[Amount])</f>
        <v>2171603.6199999982</v>
      </c>
      <c r="F10" s="16">
        <f>IFERROR(AVERAGEIF(TransactionTable[Transaction_Type],B10,TransactionTable[Amount]),0)</f>
        <v>8102.9985820895454</v>
      </c>
      <c r="G10" s="15">
        <f>E10/$E$12</f>
        <v>5.8750354856921948E-2</v>
      </c>
      <c r="H10" s="37">
        <f>RANK(C10,$C$7:$C$11)</f>
        <v>4</v>
      </c>
      <c r="I10" s="37">
        <f>RANK(E10,$E$7:$E$11)</f>
        <v>3</v>
      </c>
    </row>
    <row r="11" spans="2:19" x14ac:dyDescent="0.3">
      <c r="B11" s="13" t="s">
        <v>154</v>
      </c>
      <c r="C11" s="14">
        <f>COUNTIF(TransactionTable[Transaction_Type],B11)</f>
        <v>110</v>
      </c>
      <c r="D11" s="15">
        <f>C11/$C$12</f>
        <v>4.3999999999999997E-2</v>
      </c>
      <c r="E11" s="16">
        <f>SUMIF(TransactionTable[Transaction_Type],B11,TransactionTable[Amount])</f>
        <v>1530000</v>
      </c>
      <c r="F11" s="16">
        <f>IFERROR(AVERAGEIF(TransactionTable[Transaction_Type],B11,TransactionTable[Amount]),0)</f>
        <v>13909.09090909091</v>
      </c>
      <c r="G11" s="15">
        <f>E11/$E$12</f>
        <v>4.1392472412203223E-2</v>
      </c>
      <c r="H11" s="37">
        <f>RANK(C11,$C$7:$C$11)</f>
        <v>5</v>
      </c>
      <c r="I11" s="37">
        <f>RANK(E11,$E$7:$E$11)</f>
        <v>4</v>
      </c>
    </row>
    <row r="12" spans="2:19" x14ac:dyDescent="0.3">
      <c r="B12" s="21" t="s">
        <v>2907</v>
      </c>
      <c r="C12" s="22">
        <f>SUM(C7:C11)</f>
        <v>2500</v>
      </c>
      <c r="D12" s="23">
        <f>SUM(D7:D11)</f>
        <v>1</v>
      </c>
      <c r="E12" s="24">
        <f>SUM(E7:E11)</f>
        <v>36963242.610000007</v>
      </c>
      <c r="F12" s="24">
        <f>IFERROR(E12/C12,0)</f>
        <v>14785.297044000003</v>
      </c>
      <c r="G12" s="23">
        <f>SUM(G7:G11)</f>
        <v>0.99999999999999989</v>
      </c>
      <c r="H12" s="21"/>
      <c r="I12" s="21"/>
    </row>
    <row r="13" spans="2:19" x14ac:dyDescent="0.3">
      <c r="B13" s="35" t="s">
        <v>2943</v>
      </c>
    </row>
    <row r="16" spans="2:19" ht="15.6" x14ac:dyDescent="0.3">
      <c r="B16" s="6" t="s">
        <v>2944</v>
      </c>
    </row>
    <row r="17" spans="2:9" ht="31.95" customHeight="1" x14ac:dyDescent="0.3">
      <c r="B17" s="7" t="s">
        <v>2945</v>
      </c>
      <c r="C17" s="7" t="s">
        <v>2938</v>
      </c>
      <c r="D17" s="7" t="s">
        <v>2903</v>
      </c>
      <c r="E17" s="7" t="s">
        <v>2923</v>
      </c>
      <c r="F17" s="7" t="s">
        <v>2939</v>
      </c>
      <c r="G17" s="7" t="s">
        <v>2940</v>
      </c>
      <c r="H17" s="7" t="s">
        <v>2941</v>
      </c>
      <c r="I17" s="7" t="s">
        <v>2942</v>
      </c>
    </row>
    <row r="18" spans="2:9" x14ac:dyDescent="0.3">
      <c r="B18" s="13" t="s">
        <v>18</v>
      </c>
      <c r="C18" s="14">
        <f>COUNTIF(TransactionTable[Payment_Method],B18)</f>
        <v>1251</v>
      </c>
      <c r="D18" s="15">
        <f>C18/$C$22</f>
        <v>0.50039999999999996</v>
      </c>
      <c r="E18" s="16">
        <f>SUMIF(TransactionTable[Payment_Method],B18,TransactionTable[Amount])</f>
        <v>18382631.620000001</v>
      </c>
      <c r="F18" s="16">
        <f>IFERROR(AVERAGEIF(TransactionTable[Payment_Method],B18,TransactionTable[Amount]),0)</f>
        <v>14694.349816147083</v>
      </c>
      <c r="G18" s="15">
        <f>E18/$E$22</f>
        <v>0.49732194261081364</v>
      </c>
      <c r="H18" s="37">
        <f>RANK(C18,$C$18:$C$21)</f>
        <v>1</v>
      </c>
      <c r="I18" s="37">
        <f>RANK(E18,$E$18:$E$21)</f>
        <v>1</v>
      </c>
    </row>
    <row r="19" spans="2:9" x14ac:dyDescent="0.3">
      <c r="B19" s="13" t="s">
        <v>45</v>
      </c>
      <c r="C19" s="14">
        <f>COUNTIF(TransactionTable[Payment_Method],B19)</f>
        <v>646</v>
      </c>
      <c r="D19" s="15">
        <f>C19/$C$22</f>
        <v>0.25840000000000002</v>
      </c>
      <c r="E19" s="16">
        <f>SUMIF(TransactionTable[Payment_Method],B19,TransactionTable[Amount])</f>
        <v>8882524.9399999939</v>
      </c>
      <c r="F19" s="16">
        <f>IFERROR(AVERAGEIF(TransactionTable[Payment_Method],B19,TransactionTable[Amount]),0)</f>
        <v>13750.038606811137</v>
      </c>
      <c r="G19" s="15">
        <f>E19/$E$22</f>
        <v>0.24030697289520062</v>
      </c>
      <c r="H19" s="37">
        <f>RANK(C19,$C$18:$C$21)</f>
        <v>2</v>
      </c>
      <c r="I19" s="37">
        <f>RANK(E19,$E$18:$E$21)</f>
        <v>2</v>
      </c>
    </row>
    <row r="20" spans="2:9" x14ac:dyDescent="0.3">
      <c r="B20" s="13" t="s">
        <v>35</v>
      </c>
      <c r="C20" s="14">
        <f>COUNTIF(TransactionTable[Payment_Method],B20)</f>
        <v>364</v>
      </c>
      <c r="D20" s="15">
        <f>C20/$C$22</f>
        <v>0.14560000000000001</v>
      </c>
      <c r="E20" s="16">
        <f>SUMIF(TransactionTable[Payment_Method],B20,TransactionTable[Amount])</f>
        <v>5879513.8499999996</v>
      </c>
      <c r="F20" s="16">
        <f>IFERROR(AVERAGEIF(TransactionTable[Payment_Method],B20,TransactionTable[Amount]),0)</f>
        <v>16152.510576923076</v>
      </c>
      <c r="G20" s="15">
        <f>E20/$E$22</f>
        <v>0.15906380054463518</v>
      </c>
      <c r="H20" s="37">
        <f>RANK(C20,$C$18:$C$21)</f>
        <v>3</v>
      </c>
      <c r="I20" s="37">
        <f>RANK(E20,$E$18:$E$21)</f>
        <v>3</v>
      </c>
    </row>
    <row r="21" spans="2:9" x14ac:dyDescent="0.3">
      <c r="B21" s="13" t="s">
        <v>22</v>
      </c>
      <c r="C21" s="14">
        <f>COUNTIF(TransactionTable[Payment_Method],B21)</f>
        <v>239</v>
      </c>
      <c r="D21" s="15">
        <f>C21/$C$22</f>
        <v>9.5600000000000004E-2</v>
      </c>
      <c r="E21" s="16">
        <f>SUMIF(TransactionTable[Payment_Method],B21,TransactionTable[Amount])</f>
        <v>3818572.200000002</v>
      </c>
      <c r="F21" s="16">
        <f>IFERROR(AVERAGEIF(TransactionTable[Payment_Method],B21,TransactionTable[Amount]),0)</f>
        <v>15977.289539748963</v>
      </c>
      <c r="G21" s="15">
        <f>E21/$E$22</f>
        <v>0.10330728394935051</v>
      </c>
      <c r="H21" s="37">
        <f>RANK(C21,$C$18:$C$21)</f>
        <v>4</v>
      </c>
      <c r="I21" s="37">
        <f>RANK(E21,$E$18:$E$21)</f>
        <v>4</v>
      </c>
    </row>
    <row r="22" spans="2:9" x14ac:dyDescent="0.3">
      <c r="B22" s="21" t="s">
        <v>2907</v>
      </c>
      <c r="C22" s="22">
        <f>SUM(C18:C21)</f>
        <v>2500</v>
      </c>
      <c r="D22" s="23">
        <f>SUM(D18:D21)</f>
        <v>0.99999999999999989</v>
      </c>
      <c r="E22" s="24">
        <f>SUM(E18:E21)</f>
        <v>36963242.609999999</v>
      </c>
      <c r="F22" s="24">
        <f>IFERROR(E22/C22,0)</f>
        <v>14785.297043999999</v>
      </c>
      <c r="G22" s="23">
        <f>SUM(G18:G21)</f>
        <v>1</v>
      </c>
      <c r="H22" s="21"/>
      <c r="I22" s="21"/>
    </row>
  </sheetData>
  <mergeCells count="2">
    <mergeCell ref="B3:S3"/>
    <mergeCell ref="B2:S2"/>
  </mergeCells>
  <conditionalFormatting sqref="B7:I11">
    <cfRule type="expression" dxfId="9" priority="1">
      <formula>$E7=MAX($E$7:$E$11)</formula>
    </cfRule>
  </conditionalFormatting>
  <conditionalFormatting sqref="B18:I21">
    <cfRule type="expression" dxfId="8" priority="2">
      <formula>$E18=MAX($E$18:$E$21)</formula>
    </cfRule>
  </conditionalFormatting>
  <pageMargins left="0.75" right="0.75" top="1" bottom="1" header="0.5" footer="0.5"/>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26"/>
  <sheetViews>
    <sheetView zoomScale="90" workbookViewId="0"/>
  </sheetViews>
  <sheetFormatPr defaultRowHeight="14.4" x14ac:dyDescent="0.3"/>
  <cols>
    <col min="1" max="1" width="2" customWidth="1"/>
    <col min="2" max="2" width="12" customWidth="1"/>
    <col min="3" max="3" width="16" customWidth="1"/>
    <col min="4" max="4" width="20" customWidth="1"/>
    <col min="5" max="5" width="16" customWidth="1"/>
    <col min="6" max="6" width="19" customWidth="1"/>
    <col min="7" max="7" width="14" customWidth="1"/>
    <col min="8" max="8" width="16" customWidth="1"/>
    <col min="9" max="9" width="3" customWidth="1"/>
    <col min="10" max="17" width="10.77734375" customWidth="1"/>
    <col min="18" max="18" width="3" customWidth="1"/>
    <col min="19" max="19" width="14" customWidth="1"/>
    <col min="20" max="20" width="20" customWidth="1"/>
    <col min="21" max="21" width="12" customWidth="1"/>
    <col min="22" max="22" width="20" customWidth="1"/>
    <col min="24" max="25" width="18.77734375" customWidth="1"/>
  </cols>
  <sheetData>
    <row r="2" spans="2:25" ht="30" customHeight="1" x14ac:dyDescent="0.3">
      <c r="B2" s="53" t="s">
        <v>2946</v>
      </c>
      <c r="C2" s="54"/>
      <c r="D2" s="54"/>
      <c r="E2" s="54"/>
      <c r="F2" s="54"/>
      <c r="G2" s="54"/>
      <c r="H2" s="54"/>
      <c r="I2" s="54"/>
      <c r="J2" s="54"/>
      <c r="K2" s="54"/>
      <c r="L2" s="54"/>
      <c r="M2" s="54"/>
      <c r="N2" s="54"/>
      <c r="O2" s="54"/>
      <c r="P2" s="54"/>
      <c r="Q2" s="54"/>
    </row>
    <row r="3" spans="2:25" ht="30" customHeight="1" x14ac:dyDescent="0.3">
      <c r="B3" s="55" t="s">
        <v>2947</v>
      </c>
      <c r="C3" s="56"/>
      <c r="D3" s="56"/>
      <c r="E3" s="56"/>
      <c r="F3" s="56"/>
      <c r="G3" s="56"/>
      <c r="H3" s="56"/>
      <c r="I3" s="56"/>
      <c r="J3" s="56"/>
      <c r="K3" s="56"/>
      <c r="L3" s="56"/>
      <c r="M3" s="56"/>
      <c r="N3" s="56"/>
      <c r="O3" s="56"/>
      <c r="P3" s="56"/>
      <c r="Q3" s="56"/>
    </row>
    <row r="5" spans="2:25" ht="15.6" x14ac:dyDescent="0.3">
      <c r="B5" s="6" t="s">
        <v>2948</v>
      </c>
      <c r="S5" s="6" t="s">
        <v>2949</v>
      </c>
      <c r="X5" s="70" t="s">
        <v>3035</v>
      </c>
    </row>
    <row r="6" spans="2:25" ht="31.95" customHeight="1" x14ac:dyDescent="0.3">
      <c r="B6" s="7" t="s">
        <v>2914</v>
      </c>
      <c r="C6" s="7" t="s">
        <v>8</v>
      </c>
      <c r="D6" s="7" t="s">
        <v>2950</v>
      </c>
      <c r="E6" s="7" t="s">
        <v>2902</v>
      </c>
      <c r="F6" s="7" t="s">
        <v>2951</v>
      </c>
      <c r="G6" s="7" t="s">
        <v>2952</v>
      </c>
      <c r="H6" s="7" t="s">
        <v>2953</v>
      </c>
      <c r="S6" s="7" t="s">
        <v>8</v>
      </c>
      <c r="T6" s="7" t="s">
        <v>2950</v>
      </c>
      <c r="U6" s="7" t="s">
        <v>2917</v>
      </c>
      <c r="V6" s="7" t="s">
        <v>2918</v>
      </c>
      <c r="X6" s="69" t="s">
        <v>3033</v>
      </c>
      <c r="Y6" s="69" t="s">
        <v>3034</v>
      </c>
    </row>
    <row r="7" spans="2:25" x14ac:dyDescent="0.3">
      <c r="B7" s="27">
        <v>1</v>
      </c>
      <c r="C7" s="28" t="str">
        <f t="shared" ref="C7:C16" si="0">INDEX($S$7:$S$16,MATCH(LARGE($V$7:$V$16,B7),$V$7:$V$16,0))</f>
        <v>Lagos</v>
      </c>
      <c r="D7" s="16">
        <f t="shared" ref="D7:D16" si="1">INDEX($T$7:$T$16,MATCH(LARGE($V$7:$V$16,B7),$V$7:$V$16,0))</f>
        <v>14255386.969999999</v>
      </c>
      <c r="E7" s="14">
        <f t="shared" ref="E7:E16" si="2">INDEX($U$7:$U$16,MATCH(LARGE($V$7:$V$16,B7),$V$7:$V$16,0))</f>
        <v>985</v>
      </c>
      <c r="F7" s="16">
        <f t="shared" ref="F7:F17" si="3">IFERROR(D7/E7,0)</f>
        <v>14472.474081218274</v>
      </c>
      <c r="G7" s="15">
        <f>D7/SUM(TransactionTable[Amount])</f>
        <v>0.38566386397451474</v>
      </c>
      <c r="H7" s="38" t="str">
        <f t="shared" ref="H7:H16" si="4">IF(OR(C7="Lagos",C7="FCT Abuja",C7="Rivers"),"★ Key Hub","")</f>
        <v>★ Key Hub</v>
      </c>
      <c r="S7" s="28" t="s">
        <v>95</v>
      </c>
      <c r="T7" s="16">
        <f>SUMIF(TransactionTable[State],S7,TransactionTable[Amount])</f>
        <v>2519131.7300000009</v>
      </c>
      <c r="U7" s="14">
        <f>COUNTIF(TransactionTable[State],S7)</f>
        <v>150</v>
      </c>
      <c r="V7" s="29">
        <f t="shared" ref="V7:V16" si="5">T7+ROW()/10^7</f>
        <v>2519131.7300007008</v>
      </c>
      <c r="X7" s="68">
        <f>IF($H7&lt;&gt;"",$D7,0)</f>
        <v>14255386.969999999</v>
      </c>
      <c r="Y7" s="68">
        <f>IF($H7="",$D7,0)</f>
        <v>0</v>
      </c>
    </row>
    <row r="8" spans="2:25" x14ac:dyDescent="0.3">
      <c r="B8" s="27">
        <v>2</v>
      </c>
      <c r="C8" s="28" t="str">
        <f t="shared" si="0"/>
        <v>Kano</v>
      </c>
      <c r="D8" s="16">
        <f t="shared" si="1"/>
        <v>4166745.1300000013</v>
      </c>
      <c r="E8" s="14">
        <f t="shared" si="2"/>
        <v>266</v>
      </c>
      <c r="F8" s="16">
        <f t="shared" si="3"/>
        <v>15664.455375939855</v>
      </c>
      <c r="G8" s="15">
        <f>D8/SUM(TransactionTable[Amount])</f>
        <v>0.11272672081190037</v>
      </c>
      <c r="H8" s="38" t="str">
        <f t="shared" si="4"/>
        <v/>
      </c>
      <c r="S8" s="28" t="s">
        <v>30</v>
      </c>
      <c r="T8" s="16">
        <f>SUMIF(TransactionTable[State],S8,TransactionTable[Amount])</f>
        <v>1595024.56</v>
      </c>
      <c r="U8" s="14">
        <f>COUNTIF(TransactionTable[State],S8)</f>
        <v>101</v>
      </c>
      <c r="V8" s="29">
        <f t="shared" si="5"/>
        <v>1595024.5600008001</v>
      </c>
      <c r="X8" s="68">
        <f>IF($H8&lt;&gt;"",$D8,0)</f>
        <v>0</v>
      </c>
      <c r="Y8" s="68">
        <f>IF($H8="",$D8,0)</f>
        <v>4166745.1300000013</v>
      </c>
    </row>
    <row r="9" spans="2:25" x14ac:dyDescent="0.3">
      <c r="B9" s="27">
        <v>3</v>
      </c>
      <c r="C9" s="28" t="str">
        <f t="shared" si="0"/>
        <v>Oyo</v>
      </c>
      <c r="D9" s="16">
        <f t="shared" si="1"/>
        <v>3305333.8099999982</v>
      </c>
      <c r="E9" s="14">
        <f t="shared" si="2"/>
        <v>253</v>
      </c>
      <c r="F9" s="16">
        <f t="shared" si="3"/>
        <v>13064.560513833985</v>
      </c>
      <c r="G9" s="15">
        <f>D9/SUM(TransactionTable[Amount])</f>
        <v>8.9422182054606406E-2</v>
      </c>
      <c r="H9" s="38" t="str">
        <f t="shared" si="4"/>
        <v/>
      </c>
      <c r="S9" s="28" t="s">
        <v>43</v>
      </c>
      <c r="T9" s="16">
        <f>SUMIF(TransactionTable[State],S9,TransactionTable[Amount])</f>
        <v>1254513.3199999996</v>
      </c>
      <c r="U9" s="14">
        <f>COUNTIF(TransactionTable[State],S9)</f>
        <v>92</v>
      </c>
      <c r="V9" s="29">
        <f t="shared" si="5"/>
        <v>1254513.3200008995</v>
      </c>
      <c r="X9" s="68">
        <f>IF($H9&lt;&gt;"",$D9,0)</f>
        <v>0</v>
      </c>
      <c r="Y9" s="68">
        <f>IF($H9="",$D9,0)</f>
        <v>3305333.8099999982</v>
      </c>
    </row>
    <row r="10" spans="2:25" x14ac:dyDescent="0.3">
      <c r="B10" s="27">
        <v>4</v>
      </c>
      <c r="C10" s="28" t="str">
        <f t="shared" si="0"/>
        <v>FCT Abuja</v>
      </c>
      <c r="D10" s="16">
        <f t="shared" si="1"/>
        <v>3304556.46</v>
      </c>
      <c r="E10" s="14">
        <f t="shared" si="2"/>
        <v>250</v>
      </c>
      <c r="F10" s="16">
        <f t="shared" si="3"/>
        <v>13218.225839999999</v>
      </c>
      <c r="G10" s="15">
        <f>D10/SUM(TransactionTable[Amount])</f>
        <v>8.9401151702691667E-2</v>
      </c>
      <c r="H10" s="38" t="str">
        <f t="shared" si="4"/>
        <v>★ Key Hub</v>
      </c>
      <c r="S10" s="28" t="s">
        <v>60</v>
      </c>
      <c r="T10" s="16">
        <f>SUMIF(TransactionTable[State],S10,TransactionTable[Amount])</f>
        <v>3304556.46</v>
      </c>
      <c r="U10" s="14">
        <f>COUNTIF(TransactionTable[State],S10)</f>
        <v>250</v>
      </c>
      <c r="V10" s="29">
        <f t="shared" si="5"/>
        <v>3304556.4600009997</v>
      </c>
      <c r="X10" s="68">
        <f>IF($H10&lt;&gt;"",$D10,0)</f>
        <v>3304556.46</v>
      </c>
      <c r="Y10" s="68">
        <f>IF($H10="",$D10,0)</f>
        <v>0</v>
      </c>
    </row>
    <row r="11" spans="2:25" x14ac:dyDescent="0.3">
      <c r="B11" s="27">
        <v>5</v>
      </c>
      <c r="C11" s="28" t="str">
        <f t="shared" si="0"/>
        <v>Rivers</v>
      </c>
      <c r="D11" s="16">
        <f t="shared" si="1"/>
        <v>2910052.3000000012</v>
      </c>
      <c r="E11" s="14">
        <f t="shared" si="2"/>
        <v>187</v>
      </c>
      <c r="F11" s="16">
        <f t="shared" si="3"/>
        <v>15561.7770053476</v>
      </c>
      <c r="G11" s="15">
        <f>D11/SUM(TransactionTable[Amount])</f>
        <v>7.8728274212953503E-2</v>
      </c>
      <c r="H11" s="38" t="str">
        <f t="shared" si="4"/>
        <v>★ Key Hub</v>
      </c>
      <c r="S11" s="28" t="s">
        <v>78</v>
      </c>
      <c r="T11" s="16">
        <f>SUMIF(TransactionTable[State],S11,TransactionTable[Amount])</f>
        <v>1334629.060000001</v>
      </c>
      <c r="U11" s="14">
        <f>COUNTIF(TransactionTable[State],S11)</f>
        <v>77</v>
      </c>
      <c r="V11" s="29">
        <f t="shared" si="5"/>
        <v>1334629.0600011009</v>
      </c>
      <c r="X11" s="68">
        <f>IF($H11&lt;&gt;"",$D11,0)</f>
        <v>2910052.3000000012</v>
      </c>
      <c r="Y11" s="68">
        <f>IF($H11="",$D11,0)</f>
        <v>0</v>
      </c>
    </row>
    <row r="12" spans="2:25" x14ac:dyDescent="0.3">
      <c r="B12" s="27">
        <v>6</v>
      </c>
      <c r="C12" s="28" t="str">
        <f t="shared" si="0"/>
        <v>Delta</v>
      </c>
      <c r="D12" s="16">
        <f t="shared" si="1"/>
        <v>2519131.7300000009</v>
      </c>
      <c r="E12" s="14">
        <f t="shared" si="2"/>
        <v>150</v>
      </c>
      <c r="F12" s="16">
        <f t="shared" si="3"/>
        <v>16794.211533333339</v>
      </c>
      <c r="G12" s="15">
        <f>D12/SUM(TransactionTable[Amount])</f>
        <v>6.8152346821392845E-2</v>
      </c>
      <c r="H12" s="38" t="str">
        <f t="shared" si="4"/>
        <v/>
      </c>
      <c r="S12" s="28" t="s">
        <v>21</v>
      </c>
      <c r="T12" s="16">
        <f>SUMIF(TransactionTable[State],S12,TransactionTable[Amount])</f>
        <v>4166745.1300000013</v>
      </c>
      <c r="U12" s="14">
        <f>COUNTIF(TransactionTable[State],S12)</f>
        <v>266</v>
      </c>
      <c r="V12" s="29">
        <f t="shared" si="5"/>
        <v>4166745.1300012013</v>
      </c>
      <c r="X12" s="68">
        <f>IF($H12&lt;&gt;"",$D12,0)</f>
        <v>0</v>
      </c>
      <c r="Y12" s="68">
        <f>IF($H12="",$D12,0)</f>
        <v>2519131.7300000009</v>
      </c>
    </row>
    <row r="13" spans="2:25" x14ac:dyDescent="0.3">
      <c r="B13" s="27">
        <v>7</v>
      </c>
      <c r="C13" s="28" t="str">
        <f t="shared" si="0"/>
        <v>Ogun</v>
      </c>
      <c r="D13" s="16">
        <f t="shared" si="1"/>
        <v>2317869.27</v>
      </c>
      <c r="E13" s="14">
        <f t="shared" si="2"/>
        <v>139</v>
      </c>
      <c r="F13" s="16">
        <f t="shared" si="3"/>
        <v>16675.318489208632</v>
      </c>
      <c r="G13" s="15">
        <f>D13/SUM(TransactionTable[Amount])</f>
        <v>6.2707411642855454E-2</v>
      </c>
      <c r="H13" s="38" t="str">
        <f t="shared" si="4"/>
        <v/>
      </c>
      <c r="S13" s="28" t="s">
        <v>34</v>
      </c>
      <c r="T13" s="16">
        <f>SUMIF(TransactionTable[State],S13,TransactionTable[Amount])</f>
        <v>14255386.969999999</v>
      </c>
      <c r="U13" s="14">
        <f>COUNTIF(TransactionTable[State],S13)</f>
        <v>985</v>
      </c>
      <c r="V13" s="29">
        <f t="shared" si="5"/>
        <v>14255386.970001299</v>
      </c>
      <c r="X13" s="68">
        <f>IF($H13&lt;&gt;"",$D13,0)</f>
        <v>0</v>
      </c>
      <c r="Y13" s="68">
        <f>IF($H13="",$D13,0)</f>
        <v>2317869.27</v>
      </c>
    </row>
    <row r="14" spans="2:25" x14ac:dyDescent="0.3">
      <c r="B14" s="27">
        <v>8</v>
      </c>
      <c r="C14" s="28" t="str">
        <f t="shared" si="0"/>
        <v>Edo</v>
      </c>
      <c r="D14" s="16">
        <f t="shared" si="1"/>
        <v>1595024.56</v>
      </c>
      <c r="E14" s="14">
        <f t="shared" si="2"/>
        <v>101</v>
      </c>
      <c r="F14" s="16">
        <f t="shared" si="3"/>
        <v>15792.322376237624</v>
      </c>
      <c r="G14" s="15">
        <f>D14/SUM(TransactionTable[Amount])</f>
        <v>4.3151640586004403E-2</v>
      </c>
      <c r="H14" s="38" t="str">
        <f t="shared" si="4"/>
        <v/>
      </c>
      <c r="S14" s="28" t="s">
        <v>16</v>
      </c>
      <c r="T14" s="16">
        <f>SUMIF(TransactionTable[State],S14,TransactionTable[Amount])</f>
        <v>2317869.27</v>
      </c>
      <c r="U14" s="14">
        <f>COUNTIF(TransactionTable[State],S14)</f>
        <v>139</v>
      </c>
      <c r="V14" s="29">
        <f t="shared" si="5"/>
        <v>2317869.2700013998</v>
      </c>
      <c r="X14" s="68">
        <f>IF($H14&lt;&gt;"",$D14,0)</f>
        <v>0</v>
      </c>
      <c r="Y14" s="68">
        <f>IF($H14="",$D14,0)</f>
        <v>1595024.56</v>
      </c>
    </row>
    <row r="15" spans="2:25" x14ac:dyDescent="0.3">
      <c r="B15" s="27">
        <v>9</v>
      </c>
      <c r="C15" s="28" t="str">
        <f t="shared" si="0"/>
        <v>Kaduna</v>
      </c>
      <c r="D15" s="16">
        <f t="shared" si="1"/>
        <v>1334629.060000001</v>
      </c>
      <c r="E15" s="14">
        <f t="shared" si="2"/>
        <v>77</v>
      </c>
      <c r="F15" s="16">
        <f t="shared" si="3"/>
        <v>17332.844935064946</v>
      </c>
      <c r="G15" s="15">
        <f>D15/SUM(TransactionTable[Amount])</f>
        <v>3.6106925847434565E-2</v>
      </c>
      <c r="H15" s="38" t="str">
        <f t="shared" si="4"/>
        <v/>
      </c>
      <c r="S15" s="28" t="s">
        <v>25</v>
      </c>
      <c r="T15" s="16">
        <f>SUMIF(TransactionTable[State],S15,TransactionTable[Amount])</f>
        <v>3305333.8099999982</v>
      </c>
      <c r="U15" s="14">
        <f>COUNTIF(TransactionTable[State],S15)</f>
        <v>253</v>
      </c>
      <c r="V15" s="29">
        <f t="shared" si="5"/>
        <v>3305333.8100014981</v>
      </c>
      <c r="X15" s="68">
        <f>IF($H15&lt;&gt;"",$D15,0)</f>
        <v>0</v>
      </c>
      <c r="Y15" s="68">
        <f>IF($H15="",$D15,0)</f>
        <v>1334629.060000001</v>
      </c>
    </row>
    <row r="16" spans="2:25" x14ac:dyDescent="0.3">
      <c r="B16" s="27">
        <v>10</v>
      </c>
      <c r="C16" s="28" t="str">
        <f t="shared" si="0"/>
        <v>Enugu</v>
      </c>
      <c r="D16" s="16">
        <f t="shared" si="1"/>
        <v>1254513.3199999996</v>
      </c>
      <c r="E16" s="14">
        <f t="shared" si="2"/>
        <v>92</v>
      </c>
      <c r="F16" s="16">
        <f t="shared" si="3"/>
        <v>13636.014347826083</v>
      </c>
      <c r="G16" s="15">
        <f>D16/SUM(TransactionTable[Amount])</f>
        <v>3.3939482345648087E-2</v>
      </c>
      <c r="H16" s="38" t="str">
        <f t="shared" si="4"/>
        <v/>
      </c>
      <c r="S16" s="28" t="s">
        <v>48</v>
      </c>
      <c r="T16" s="16">
        <f>SUMIF(TransactionTable[State],S16,TransactionTable[Amount])</f>
        <v>2910052.3000000012</v>
      </c>
      <c r="U16" s="14">
        <f>COUNTIF(TransactionTable[State],S16)</f>
        <v>187</v>
      </c>
      <c r="V16" s="29">
        <f t="shared" si="5"/>
        <v>2910052.3000016012</v>
      </c>
      <c r="X16" s="68">
        <f>IF($H16&lt;&gt;"",$D16,0)</f>
        <v>0</v>
      </c>
      <c r="Y16" s="68">
        <f>IF($H16="",$D16,0)</f>
        <v>1254513.3199999996</v>
      </c>
    </row>
    <row r="17" spans="2:8" x14ac:dyDescent="0.3">
      <c r="B17" s="21" t="s">
        <v>2907</v>
      </c>
      <c r="C17" s="21"/>
      <c r="D17" s="24">
        <f>SUM(D7:D16)</f>
        <v>36963242.610000007</v>
      </c>
      <c r="E17" s="22">
        <f>SUM(E7:E16)</f>
        <v>2500</v>
      </c>
      <c r="F17" s="24">
        <f t="shared" si="3"/>
        <v>14785.297044000003</v>
      </c>
      <c r="G17" s="23">
        <f>SUM(G7:G16)</f>
        <v>1.000000000000002</v>
      </c>
      <c r="H17" s="21"/>
    </row>
    <row r="18" spans="2:8" x14ac:dyDescent="0.3">
      <c r="B18" s="35" t="s">
        <v>2954</v>
      </c>
    </row>
    <row r="20" spans="2:8" ht="15.6" x14ac:dyDescent="0.3">
      <c r="B20" s="6" t="s">
        <v>2955</v>
      </c>
    </row>
    <row r="21" spans="2:8" ht="31.95" customHeight="1" x14ac:dyDescent="0.3">
      <c r="B21" s="57" t="s">
        <v>2956</v>
      </c>
      <c r="C21" s="59"/>
      <c r="D21" s="7" t="s">
        <v>2950</v>
      </c>
      <c r="E21" s="7" t="s">
        <v>2902</v>
      </c>
      <c r="F21" s="7" t="s">
        <v>2951</v>
      </c>
      <c r="G21" s="7" t="s">
        <v>2952</v>
      </c>
      <c r="H21" s="7" t="s">
        <v>2903</v>
      </c>
    </row>
    <row r="22" spans="2:8" x14ac:dyDescent="0.3">
      <c r="B22" s="60" t="s">
        <v>34</v>
      </c>
      <c r="C22" s="52"/>
      <c r="D22" s="16">
        <f>SUMIF(TransactionTable[State],B22,TransactionTable[Amount])</f>
        <v>14255386.969999999</v>
      </c>
      <c r="E22" s="14">
        <f>COUNTIF(TransactionTable[State],B22)</f>
        <v>985</v>
      </c>
      <c r="F22" s="16">
        <f>IFERROR(D22/E22,0)</f>
        <v>14472.474081218274</v>
      </c>
      <c r="G22" s="15">
        <f>D22/SUM(TransactionTable[Amount])</f>
        <v>0.38566386397451474</v>
      </c>
      <c r="H22" s="15">
        <f>E22/COUNTA(TransactionTable[Transaction_ID])</f>
        <v>0.39400000000000002</v>
      </c>
    </row>
    <row r="23" spans="2:8" x14ac:dyDescent="0.3">
      <c r="B23" s="60" t="s">
        <v>60</v>
      </c>
      <c r="C23" s="52"/>
      <c r="D23" s="16">
        <f>SUMIF(TransactionTable[State],B23,TransactionTable[Amount])</f>
        <v>3304556.46</v>
      </c>
      <c r="E23" s="14">
        <f>COUNTIF(TransactionTable[State],B23)</f>
        <v>250</v>
      </c>
      <c r="F23" s="16">
        <f>IFERROR(D23/E23,0)</f>
        <v>13218.225839999999</v>
      </c>
      <c r="G23" s="15">
        <f>D23/SUM(TransactionTable[Amount])</f>
        <v>8.9401151702691667E-2</v>
      </c>
      <c r="H23" s="15">
        <f>E23/COUNTA(TransactionTable[Transaction_ID])</f>
        <v>0.1</v>
      </c>
    </row>
    <row r="24" spans="2:8" x14ac:dyDescent="0.3">
      <c r="B24" s="60" t="s">
        <v>48</v>
      </c>
      <c r="C24" s="52"/>
      <c r="D24" s="16">
        <f>SUMIF(TransactionTable[State],B24,TransactionTable[Amount])</f>
        <v>2910052.3000000012</v>
      </c>
      <c r="E24" s="14">
        <f>COUNTIF(TransactionTable[State],B24)</f>
        <v>187</v>
      </c>
      <c r="F24" s="16">
        <f>IFERROR(D24/E24,0)</f>
        <v>15561.7770053476</v>
      </c>
      <c r="G24" s="15">
        <f>D24/SUM(TransactionTable[Amount])</f>
        <v>7.8728274212953503E-2</v>
      </c>
      <c r="H24" s="15">
        <f>E24/COUNTA(TransactionTable[Transaction_ID])</f>
        <v>7.4800000000000005E-2</v>
      </c>
    </row>
    <row r="25" spans="2:8" x14ac:dyDescent="0.3">
      <c r="B25" s="61" t="s">
        <v>2957</v>
      </c>
      <c r="C25" s="61"/>
      <c r="D25" s="24">
        <f>SUM(D22:D24)</f>
        <v>20469995.73</v>
      </c>
      <c r="E25" s="22">
        <f>SUM(E22:E24)</f>
        <v>1422</v>
      </c>
      <c r="F25" s="24">
        <f>IFERROR(D25/E25,0)</f>
        <v>14395.215</v>
      </c>
      <c r="G25" s="23">
        <f>D25/SUM(TransactionTable[Amount])</f>
        <v>0.55379328989015997</v>
      </c>
      <c r="H25" s="23">
        <f>E25/COUNTA(TransactionTable[Transaction_ID])</f>
        <v>0.56879999999999997</v>
      </c>
    </row>
    <row r="26" spans="2:8" x14ac:dyDescent="0.3">
      <c r="B26" s="62" t="s">
        <v>2958</v>
      </c>
      <c r="C26" s="50"/>
      <c r="D26" s="16">
        <f>D17-D25</f>
        <v>16493246.880000006</v>
      </c>
      <c r="E26" s="14">
        <f>E17-E25</f>
        <v>1078</v>
      </c>
      <c r="F26" s="16">
        <f>IFERROR(D26/E26,0)</f>
        <v>15299.857959183679</v>
      </c>
      <c r="G26" s="15">
        <f>D26/SUM(TransactionTable[Amount])</f>
        <v>0.44620671010984225</v>
      </c>
      <c r="H26" s="15">
        <f>E26/COUNTA(TransactionTable[Transaction_ID])</f>
        <v>0.43120000000000003</v>
      </c>
    </row>
  </sheetData>
  <mergeCells count="8">
    <mergeCell ref="B26:C26"/>
    <mergeCell ref="B2:Q2"/>
    <mergeCell ref="B3:Q3"/>
    <mergeCell ref="B21:C21"/>
    <mergeCell ref="B24:C24"/>
    <mergeCell ref="B25:C25"/>
    <mergeCell ref="B23:C23"/>
    <mergeCell ref="B22:C22"/>
  </mergeCells>
  <conditionalFormatting sqref="B7:H16">
    <cfRule type="expression" dxfId="7" priority="1">
      <formula>OR($C7="Lagos",$C7="FCT Abuja",$C7="Rivers")</formula>
    </cfRule>
  </conditionalFormatting>
  <pageMargins left="0.75" right="0.75" top="1" bottom="1" header="0.5" footer="0.5"/>
  <pageSetup orientation="portrait" r:id="rId1"/>
  <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S32"/>
  <sheetViews>
    <sheetView zoomScale="90" workbookViewId="0"/>
  </sheetViews>
  <sheetFormatPr defaultRowHeight="14.4" x14ac:dyDescent="0.3"/>
  <cols>
    <col min="1" max="1" width="2" customWidth="1"/>
    <col min="2" max="2" width="22" customWidth="1"/>
    <col min="3" max="3" width="21" customWidth="1"/>
    <col min="4" max="4" width="15" customWidth="1"/>
    <col min="5" max="6" width="17" customWidth="1"/>
    <col min="7" max="7" width="19" customWidth="1"/>
    <col min="8" max="8" width="10" customWidth="1"/>
    <col min="9" max="9" width="3" customWidth="1"/>
  </cols>
  <sheetData>
    <row r="2" spans="2:19" ht="30" customHeight="1" x14ac:dyDescent="0.3">
      <c r="B2" s="53" t="s">
        <v>2959</v>
      </c>
      <c r="C2" s="54"/>
      <c r="D2" s="54"/>
      <c r="E2" s="54"/>
      <c r="F2" s="54"/>
      <c r="G2" s="54"/>
      <c r="H2" s="54"/>
      <c r="I2" s="54"/>
      <c r="J2" s="54"/>
      <c r="K2" s="54"/>
      <c r="L2" s="54"/>
      <c r="M2" s="54"/>
      <c r="N2" s="54"/>
      <c r="O2" s="54"/>
      <c r="P2" s="54"/>
      <c r="Q2" s="54"/>
      <c r="R2" s="54"/>
      <c r="S2" s="54"/>
    </row>
    <row r="3" spans="2:19" ht="30" customHeight="1" x14ac:dyDescent="0.3">
      <c r="B3" s="55" t="s">
        <v>2960</v>
      </c>
      <c r="C3" s="56"/>
      <c r="D3" s="56"/>
      <c r="E3" s="56"/>
      <c r="F3" s="56"/>
      <c r="G3" s="56"/>
      <c r="H3" s="56"/>
      <c r="I3" s="56"/>
      <c r="J3" s="56"/>
      <c r="K3" s="56"/>
      <c r="L3" s="56"/>
      <c r="M3" s="56"/>
      <c r="N3" s="56"/>
      <c r="O3" s="56"/>
      <c r="P3" s="56"/>
      <c r="Q3" s="56"/>
      <c r="R3" s="56"/>
      <c r="S3" s="56"/>
    </row>
    <row r="5" spans="2:19" ht="15.6" x14ac:dyDescent="0.3">
      <c r="B5" s="6" t="s">
        <v>2961</v>
      </c>
    </row>
    <row r="6" spans="2:19" ht="31.95" customHeight="1" x14ac:dyDescent="0.3">
      <c r="B6" s="7" t="s">
        <v>2962</v>
      </c>
      <c r="C6" s="7" t="s">
        <v>2963</v>
      </c>
      <c r="D6" s="7" t="s">
        <v>2964</v>
      </c>
      <c r="E6" s="7" t="s">
        <v>2965</v>
      </c>
      <c r="F6" s="7" t="s">
        <v>2966</v>
      </c>
      <c r="G6" s="7" t="s">
        <v>2967</v>
      </c>
      <c r="H6" s="7" t="s">
        <v>2968</v>
      </c>
    </row>
    <row r="7" spans="2:19" x14ac:dyDescent="0.3">
      <c r="B7" s="39">
        <v>45658</v>
      </c>
      <c r="C7" s="16">
        <f>SUMIFS(TransactionTable[Amount],TransactionTable[Transaction_Date],"&gt;="&amp;B7,TransactionTable[Transaction_Date],"&lt;"&amp;EDATE(B7,1))</f>
        <v>2613872.8900000006</v>
      </c>
      <c r="D7" s="14">
        <f>COUNTIFS(TransactionTable[Transaction_Date],"&gt;="&amp;B7,TransactionTable[Transaction_Date],"&lt;"&amp;EDATE(B7,1))</f>
        <v>183</v>
      </c>
      <c r="E7" s="40" t="s">
        <v>2969</v>
      </c>
      <c r="F7" s="40" t="s">
        <v>2969</v>
      </c>
      <c r="G7" s="16">
        <f t="shared" ref="G7:G19" si="0">IFERROR(C7/D7,0)</f>
        <v>14283.458415300549</v>
      </c>
      <c r="H7" s="41">
        <v>1</v>
      </c>
    </row>
    <row r="8" spans="2:19" x14ac:dyDescent="0.3">
      <c r="B8" s="42">
        <f t="shared" ref="B8:B18" si="1">EDATE(B7,1)</f>
        <v>45689</v>
      </c>
      <c r="C8" s="16">
        <f>SUMIFS(TransactionTable[Amount],TransactionTable[Transaction_Date],"&gt;="&amp;B8,TransactionTable[Transaction_Date],"&lt;"&amp;EDATE(B8,1))</f>
        <v>2676223.5099999988</v>
      </c>
      <c r="D8" s="14">
        <f>COUNTIFS(TransactionTable[Transaction_Date],"&gt;="&amp;B8,TransactionTable[Transaction_Date],"&lt;"&amp;EDATE(B8,1))</f>
        <v>204</v>
      </c>
      <c r="E8" s="15">
        <f t="shared" ref="E8:E18" si="2">IFERROR(C8/C7-1,0)</f>
        <v>2.3853730699199494E-2</v>
      </c>
      <c r="F8" s="15">
        <f t="shared" ref="F8:F18" si="3">IFERROR(D8/D7-1,0)</f>
        <v>0.11475409836065564</v>
      </c>
      <c r="G8" s="16">
        <f t="shared" si="0"/>
        <v>13118.742696078425</v>
      </c>
      <c r="H8" s="41">
        <v>2</v>
      </c>
    </row>
    <row r="9" spans="2:19" x14ac:dyDescent="0.3">
      <c r="B9" s="42">
        <f t="shared" si="1"/>
        <v>45717</v>
      </c>
      <c r="C9" s="16">
        <f>SUMIFS(TransactionTable[Amount],TransactionTable[Transaction_Date],"&gt;="&amp;B9,TransactionTable[Transaction_Date],"&lt;"&amp;EDATE(B9,1))</f>
        <v>3658525.8599999989</v>
      </c>
      <c r="D9" s="14">
        <f>COUNTIFS(TransactionTable[Transaction_Date],"&gt;="&amp;B9,TransactionTable[Transaction_Date],"&lt;"&amp;EDATE(B9,1))</f>
        <v>217</v>
      </c>
      <c r="E9" s="15">
        <f t="shared" si="2"/>
        <v>0.36704794884639536</v>
      </c>
      <c r="F9" s="15">
        <f t="shared" si="3"/>
        <v>6.3725490196078427E-2</v>
      </c>
      <c r="G9" s="16">
        <f t="shared" si="0"/>
        <v>16859.566175115204</v>
      </c>
      <c r="H9" s="41">
        <v>3</v>
      </c>
    </row>
    <row r="10" spans="2:19" x14ac:dyDescent="0.3">
      <c r="B10" s="42">
        <f t="shared" si="1"/>
        <v>45748</v>
      </c>
      <c r="C10" s="16">
        <f>SUMIFS(TransactionTable[Amount],TransactionTable[Transaction_Date],"&gt;="&amp;B10,TransactionTable[Transaction_Date],"&lt;"&amp;EDATE(B10,1))</f>
        <v>2410304.2399999984</v>
      </c>
      <c r="D10" s="14">
        <f>COUNTIFS(TransactionTable[Transaction_Date],"&gt;="&amp;B10,TransactionTable[Transaction_Date],"&lt;"&amp;EDATE(B10,1))</f>
        <v>184</v>
      </c>
      <c r="E10" s="15">
        <f t="shared" si="2"/>
        <v>-0.3411815763412428</v>
      </c>
      <c r="F10" s="15">
        <f t="shared" si="3"/>
        <v>-0.15207373271889402</v>
      </c>
      <c r="G10" s="16">
        <f t="shared" si="0"/>
        <v>13099.479565217382</v>
      </c>
      <c r="H10" s="41">
        <v>4</v>
      </c>
    </row>
    <row r="11" spans="2:19" x14ac:dyDescent="0.3">
      <c r="B11" s="42">
        <f t="shared" si="1"/>
        <v>45778</v>
      </c>
      <c r="C11" s="16">
        <f>SUMIFS(TransactionTable[Amount],TransactionTable[Transaction_Date],"&gt;="&amp;B11,TransactionTable[Transaction_Date],"&lt;"&amp;EDATE(B11,1))</f>
        <v>2581277.8500000015</v>
      </c>
      <c r="D11" s="14">
        <f>COUNTIFS(TransactionTable[Transaction_Date],"&gt;="&amp;B11,TransactionTable[Transaction_Date],"&lt;"&amp;EDATE(B11,1))</f>
        <v>189</v>
      </c>
      <c r="E11" s="15">
        <f t="shared" si="2"/>
        <v>7.0934451826713429E-2</v>
      </c>
      <c r="F11" s="15">
        <f t="shared" si="3"/>
        <v>2.7173913043478271E-2</v>
      </c>
      <c r="G11" s="16">
        <f t="shared" si="0"/>
        <v>13657.55476190477</v>
      </c>
      <c r="H11" s="41">
        <v>5</v>
      </c>
    </row>
    <row r="12" spans="2:19" x14ac:dyDescent="0.3">
      <c r="B12" s="42">
        <f t="shared" si="1"/>
        <v>45809</v>
      </c>
      <c r="C12" s="16">
        <f>SUMIFS(TransactionTable[Amount],TransactionTable[Transaction_Date],"&gt;="&amp;B12,TransactionTable[Transaction_Date],"&lt;"&amp;EDATE(B12,1))</f>
        <v>4089023.8099999991</v>
      </c>
      <c r="D12" s="14">
        <f>COUNTIFS(TransactionTable[Transaction_Date],"&gt;="&amp;B12,TransactionTable[Transaction_Date],"&lt;"&amp;EDATE(B12,1))</f>
        <v>224</v>
      </c>
      <c r="E12" s="15">
        <f t="shared" si="2"/>
        <v>0.58410835547982431</v>
      </c>
      <c r="F12" s="15">
        <f t="shared" si="3"/>
        <v>0.18518518518518512</v>
      </c>
      <c r="G12" s="16">
        <f t="shared" si="0"/>
        <v>18254.57058035714</v>
      </c>
      <c r="H12" s="41">
        <v>6</v>
      </c>
    </row>
    <row r="13" spans="2:19" x14ac:dyDescent="0.3">
      <c r="B13" s="42">
        <f t="shared" si="1"/>
        <v>45839</v>
      </c>
      <c r="C13" s="16">
        <f>SUMIFS(TransactionTable[Amount],TransactionTable[Transaction_Date],"&gt;="&amp;B13,TransactionTable[Transaction_Date],"&lt;"&amp;EDATE(B13,1))</f>
        <v>2958096.8900000029</v>
      </c>
      <c r="D13" s="14">
        <f>COUNTIFS(TransactionTable[Transaction_Date],"&gt;="&amp;B13,TransactionTable[Transaction_Date],"&lt;"&amp;EDATE(B13,1))</f>
        <v>207</v>
      </c>
      <c r="E13" s="15">
        <f t="shared" si="2"/>
        <v>-0.27657626185355877</v>
      </c>
      <c r="F13" s="15">
        <f t="shared" si="3"/>
        <v>-7.5892857142857095E-2</v>
      </c>
      <c r="G13" s="16">
        <f t="shared" si="0"/>
        <v>14290.323140096632</v>
      </c>
      <c r="H13" s="41">
        <v>7</v>
      </c>
    </row>
    <row r="14" spans="2:19" x14ac:dyDescent="0.3">
      <c r="B14" s="42">
        <f t="shared" si="1"/>
        <v>45870</v>
      </c>
      <c r="C14" s="16">
        <f>SUMIFS(TransactionTable[Amount],TransactionTable[Transaction_Date],"&gt;="&amp;B14,TransactionTable[Transaction_Date],"&lt;"&amp;EDATE(B14,1))</f>
        <v>2919927.9800000004</v>
      </c>
      <c r="D14" s="14">
        <f>COUNTIFS(TransactionTable[Transaction_Date],"&gt;="&amp;B14,TransactionTable[Transaction_Date],"&lt;"&amp;EDATE(B14,1))</f>
        <v>204</v>
      </c>
      <c r="E14" s="15">
        <f t="shared" si="2"/>
        <v>-1.2903198042306996E-2</v>
      </c>
      <c r="F14" s="15">
        <f t="shared" si="3"/>
        <v>-1.4492753623188359E-2</v>
      </c>
      <c r="G14" s="16">
        <f t="shared" si="0"/>
        <v>14313.372450980394</v>
      </c>
      <c r="H14" s="41">
        <v>8</v>
      </c>
    </row>
    <row r="15" spans="2:19" x14ac:dyDescent="0.3">
      <c r="B15" s="42">
        <f t="shared" si="1"/>
        <v>45901</v>
      </c>
      <c r="C15" s="16">
        <f>SUMIFS(TransactionTable[Amount],TransactionTable[Transaction_Date],"&gt;="&amp;B15,TransactionTable[Transaction_Date],"&lt;"&amp;EDATE(B15,1))</f>
        <v>3029489.3800000004</v>
      </c>
      <c r="D15" s="14">
        <f>COUNTIFS(TransactionTable[Transaction_Date],"&gt;="&amp;B15,TransactionTable[Transaction_Date],"&lt;"&amp;EDATE(B15,1))</f>
        <v>193</v>
      </c>
      <c r="E15" s="15">
        <f t="shared" si="2"/>
        <v>3.7521952853097451E-2</v>
      </c>
      <c r="F15" s="15">
        <f t="shared" si="3"/>
        <v>-5.3921568627451011E-2</v>
      </c>
      <c r="G15" s="16">
        <f t="shared" si="0"/>
        <v>15696.83616580311</v>
      </c>
      <c r="H15" s="41">
        <v>9</v>
      </c>
    </row>
    <row r="16" spans="2:19" x14ac:dyDescent="0.3">
      <c r="B16" s="42">
        <f t="shared" si="1"/>
        <v>45931</v>
      </c>
      <c r="C16" s="16">
        <f>SUMIFS(TransactionTable[Amount],TransactionTable[Transaction_Date],"&gt;="&amp;B16,TransactionTable[Transaction_Date],"&lt;"&amp;EDATE(B16,1))</f>
        <v>3729052.54</v>
      </c>
      <c r="D16" s="14">
        <f>COUNTIFS(TransactionTable[Transaction_Date],"&gt;="&amp;B16,TransactionTable[Transaction_Date],"&lt;"&amp;EDATE(B16,1))</f>
        <v>250</v>
      </c>
      <c r="E16" s="15">
        <f t="shared" si="2"/>
        <v>0.23091784530368598</v>
      </c>
      <c r="F16" s="15">
        <f t="shared" si="3"/>
        <v>0.29533678756476678</v>
      </c>
      <c r="G16" s="16">
        <f t="shared" si="0"/>
        <v>14916.210160000001</v>
      </c>
      <c r="H16" s="41">
        <v>10</v>
      </c>
    </row>
    <row r="17" spans="2:8" x14ac:dyDescent="0.3">
      <c r="B17" s="42">
        <f t="shared" si="1"/>
        <v>45962</v>
      </c>
      <c r="C17" s="16">
        <f>SUMIFS(TransactionTable[Amount],TransactionTable[Transaction_Date],"&gt;="&amp;B17,TransactionTable[Transaction_Date],"&lt;"&amp;EDATE(B17,1))</f>
        <v>3039172.7900000005</v>
      </c>
      <c r="D17" s="14">
        <f>COUNTIFS(TransactionTable[Transaction_Date],"&gt;="&amp;B17,TransactionTable[Transaction_Date],"&lt;"&amp;EDATE(B17,1))</f>
        <v>211</v>
      </c>
      <c r="E17" s="15">
        <f t="shared" si="2"/>
        <v>-0.18500134889491249</v>
      </c>
      <c r="F17" s="15">
        <f t="shared" si="3"/>
        <v>-0.15600000000000003</v>
      </c>
      <c r="G17" s="16">
        <f t="shared" si="0"/>
        <v>14403.662511848344</v>
      </c>
      <c r="H17" s="41">
        <v>11</v>
      </c>
    </row>
    <row r="18" spans="2:8" x14ac:dyDescent="0.3">
      <c r="B18" s="42">
        <f t="shared" si="1"/>
        <v>45992</v>
      </c>
      <c r="C18" s="16">
        <f>SUMIFS(TransactionTable[Amount],TransactionTable[Transaction_Date],"&gt;="&amp;B18,TransactionTable[Transaction_Date],"&lt;"&amp;EDATE(B18,1))</f>
        <v>3258274.870000001</v>
      </c>
      <c r="D18" s="14">
        <f>COUNTIFS(TransactionTable[Transaction_Date],"&gt;="&amp;B18,TransactionTable[Transaction_Date],"&lt;"&amp;EDATE(B18,1))</f>
        <v>234</v>
      </c>
      <c r="E18" s="15">
        <f t="shared" si="2"/>
        <v>7.2092669663576636E-2</v>
      </c>
      <c r="F18" s="15">
        <f t="shared" si="3"/>
        <v>0.1090047393364928</v>
      </c>
      <c r="G18" s="16">
        <f t="shared" si="0"/>
        <v>13924.251581196586</v>
      </c>
      <c r="H18" s="41">
        <v>12</v>
      </c>
    </row>
    <row r="19" spans="2:8" x14ac:dyDescent="0.3">
      <c r="B19" s="21" t="s">
        <v>2970</v>
      </c>
      <c r="C19" s="24">
        <f>SUM(C7:C18)</f>
        <v>36963242.609999999</v>
      </c>
      <c r="D19" s="22">
        <f>SUM(D7:D18)</f>
        <v>2500</v>
      </c>
      <c r="E19" s="21"/>
      <c r="F19" s="21"/>
      <c r="G19" s="24">
        <f t="shared" si="0"/>
        <v>14785.297043999999</v>
      </c>
      <c r="H19" s="21"/>
    </row>
    <row r="21" spans="2:8" ht="15.6" x14ac:dyDescent="0.3">
      <c r="B21" s="6" t="s">
        <v>2971</v>
      </c>
    </row>
    <row r="22" spans="2:8" ht="31.95" customHeight="1" x14ac:dyDescent="0.3">
      <c r="B22" s="57" t="s">
        <v>2892</v>
      </c>
      <c r="C22" s="59"/>
      <c r="D22" s="7" t="s">
        <v>2893</v>
      </c>
      <c r="E22" s="57" t="s">
        <v>2972</v>
      </c>
      <c r="F22" s="58"/>
      <c r="G22" s="58"/>
      <c r="H22" s="59"/>
    </row>
    <row r="23" spans="2:8" x14ac:dyDescent="0.3">
      <c r="B23" s="64" t="s">
        <v>2973</v>
      </c>
      <c r="C23" s="52"/>
      <c r="D23" s="11">
        <f>AVERAGE(E8:E18)</f>
        <v>5.1892233594588326E-2</v>
      </c>
      <c r="E23" s="63" t="s">
        <v>2974</v>
      </c>
      <c r="F23" s="52"/>
      <c r="G23" s="52"/>
      <c r="H23" s="52"/>
    </row>
    <row r="24" spans="2:8" x14ac:dyDescent="0.3">
      <c r="B24" s="64" t="s">
        <v>2975</v>
      </c>
      <c r="C24" s="52"/>
      <c r="D24" s="11">
        <f>AVERAGE(F8:F18)</f>
        <v>3.1163572870387866E-2</v>
      </c>
      <c r="E24" s="63" t="s">
        <v>2974</v>
      </c>
      <c r="F24" s="52"/>
      <c r="G24" s="52"/>
      <c r="H24" s="52"/>
    </row>
    <row r="25" spans="2:8" x14ac:dyDescent="0.3">
      <c r="B25" s="64" t="s">
        <v>2976</v>
      </c>
      <c r="C25" s="52"/>
      <c r="D25" s="11">
        <f>(C18/C7)^(1/11)-1</f>
        <v>2.023518223737808E-2</v>
      </c>
      <c r="E25" s="63" t="s">
        <v>2977</v>
      </c>
      <c r="F25" s="52"/>
      <c r="G25" s="52"/>
      <c r="H25" s="52"/>
    </row>
    <row r="26" spans="2:8" x14ac:dyDescent="0.3">
      <c r="B26" s="64" t="s">
        <v>2978</v>
      </c>
      <c r="C26" s="52"/>
      <c r="D26" s="11">
        <f>SUM(C13:C18)/SUM(C7:C12)-1</f>
        <v>5.0184416214077432E-2</v>
      </c>
      <c r="E26" s="63" t="s">
        <v>2979</v>
      </c>
      <c r="F26" s="52"/>
      <c r="G26" s="52"/>
      <c r="H26" s="52"/>
    </row>
    <row r="27" spans="2:8" x14ac:dyDescent="0.3">
      <c r="B27" s="64" t="s">
        <v>2980</v>
      </c>
      <c r="C27" s="52"/>
      <c r="D27" s="11">
        <f>SUM(D13:D18)/SUM(D7:D12)-1</f>
        <v>8.159866777685254E-2</v>
      </c>
      <c r="E27" s="63" t="s">
        <v>2979</v>
      </c>
      <c r="F27" s="52"/>
      <c r="G27" s="52"/>
      <c r="H27" s="52"/>
    </row>
    <row r="28" spans="2:8" x14ac:dyDescent="0.3">
      <c r="B28" s="64" t="s">
        <v>2981</v>
      </c>
      <c r="C28" s="52"/>
      <c r="D28" s="43">
        <f>INDEX(B7:B18,MATCH(MAX(C7:C18),C7:C18,0))</f>
        <v>45809</v>
      </c>
      <c r="E28" s="63" t="s">
        <v>2982</v>
      </c>
      <c r="F28" s="52"/>
      <c r="G28" s="52"/>
      <c r="H28" s="52"/>
    </row>
    <row r="29" spans="2:8" x14ac:dyDescent="0.3">
      <c r="B29" s="64" t="s">
        <v>2983</v>
      </c>
      <c r="C29" s="52"/>
      <c r="D29" s="43">
        <f>INDEX(B7:B18,MATCH(MIN(C7:C18),C7:C18,0))</f>
        <v>45748</v>
      </c>
      <c r="E29" s="63" t="s">
        <v>2984</v>
      </c>
      <c r="F29" s="52"/>
      <c r="G29" s="52"/>
      <c r="H29" s="52"/>
    </row>
    <row r="30" spans="2:8" x14ac:dyDescent="0.3">
      <c r="B30" s="64" t="s">
        <v>2985</v>
      </c>
      <c r="C30" s="52"/>
      <c r="D30" s="9">
        <f>SLOPE(C7:C18,H7:H18)</f>
        <v>48355.249055944201</v>
      </c>
      <c r="E30" s="63" t="s">
        <v>2986</v>
      </c>
      <c r="F30" s="52"/>
      <c r="G30" s="52"/>
      <c r="H30" s="52"/>
    </row>
    <row r="31" spans="2:8" x14ac:dyDescent="0.3">
      <c r="B31" s="64" t="s">
        <v>2987</v>
      </c>
      <c r="C31" s="52"/>
      <c r="D31" s="44" t="str">
        <f>IF(D30&gt;0,"Increasing","Decreasing")</f>
        <v>Increasing</v>
      </c>
      <c r="E31" s="63" t="s">
        <v>2988</v>
      </c>
      <c r="F31" s="52"/>
      <c r="G31" s="52"/>
      <c r="H31" s="52"/>
    </row>
    <row r="32" spans="2:8" x14ac:dyDescent="0.3">
      <c r="B32" s="64" t="s">
        <v>2989</v>
      </c>
      <c r="C32" s="52"/>
      <c r="D32" s="44" t="str">
        <f>IF(SLOPE(D7:D18,H7:H18)&gt;0,"Increasing","Decreasing")</f>
        <v>Increasing</v>
      </c>
      <c r="E32" s="63" t="s">
        <v>2988</v>
      </c>
      <c r="F32" s="52"/>
      <c r="G32" s="52"/>
      <c r="H32" s="52"/>
    </row>
  </sheetData>
  <mergeCells count="24">
    <mergeCell ref="E27:H27"/>
    <mergeCell ref="B31:C31"/>
    <mergeCell ref="B27:C27"/>
    <mergeCell ref="E32:H32"/>
    <mergeCell ref="E22:H22"/>
    <mergeCell ref="B23:C23"/>
    <mergeCell ref="E24:H24"/>
    <mergeCell ref="E23:H23"/>
    <mergeCell ref="B29:C29"/>
    <mergeCell ref="B28:C28"/>
    <mergeCell ref="E29:H29"/>
    <mergeCell ref="E28:H28"/>
    <mergeCell ref="B24:C24"/>
    <mergeCell ref="B30:C30"/>
    <mergeCell ref="E31:H31"/>
    <mergeCell ref="E30:H30"/>
    <mergeCell ref="B32:C32"/>
    <mergeCell ref="E26:H26"/>
    <mergeCell ref="B25:C25"/>
    <mergeCell ref="B2:S2"/>
    <mergeCell ref="B22:C22"/>
    <mergeCell ref="E25:H25"/>
    <mergeCell ref="B3:S3"/>
    <mergeCell ref="B26:C26"/>
  </mergeCells>
  <conditionalFormatting sqref="E8:E18">
    <cfRule type="cellIs" dxfId="6" priority="1" operator="lessThan">
      <formula>0</formula>
    </cfRule>
    <cfRule type="cellIs" dxfId="5" priority="2" operator="greaterThan">
      <formula>0</formula>
    </cfRule>
  </conditionalFormatting>
  <conditionalFormatting sqref="F8:F18">
    <cfRule type="cellIs" dxfId="4" priority="3" operator="lessThan">
      <formula>0</formula>
    </cfRule>
    <cfRule type="cellIs" dxfId="3" priority="4" operator="greaterThan">
      <formula>0</formula>
    </cfRule>
  </conditionalFormatting>
  <pageMargins left="0.75" right="0.75" top="1" bottom="1" header="0.5" footer="0.5"/>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E29"/>
  <sheetViews>
    <sheetView zoomScale="90" workbookViewId="0"/>
  </sheetViews>
  <sheetFormatPr defaultRowHeight="14.4" x14ac:dyDescent="0.3"/>
  <cols>
    <col min="1" max="1" width="2" customWidth="1"/>
    <col min="2" max="2" width="24" customWidth="1"/>
    <col min="3" max="3" width="46" customWidth="1"/>
    <col min="4" max="4" width="70" customWidth="1"/>
    <col min="5" max="5" width="52" customWidth="1"/>
  </cols>
  <sheetData>
    <row r="2" spans="2:5" ht="30" customHeight="1" x14ac:dyDescent="0.3">
      <c r="B2" s="53" t="s">
        <v>2990</v>
      </c>
      <c r="C2" s="54"/>
      <c r="D2" s="54"/>
      <c r="E2" s="54"/>
    </row>
    <row r="3" spans="2:5" ht="30" customHeight="1" x14ac:dyDescent="0.3">
      <c r="B3" s="55" t="s">
        <v>2991</v>
      </c>
      <c r="C3" s="56"/>
      <c r="D3" s="56"/>
      <c r="E3" s="56"/>
    </row>
    <row r="5" spans="2:5" ht="15.6" x14ac:dyDescent="0.3">
      <c r="B5" s="6" t="s">
        <v>2992</v>
      </c>
    </row>
    <row r="6" spans="2:5" ht="66" customHeight="1" x14ac:dyDescent="0.3">
      <c r="B6" s="67" t="str">
        <f>"In FY2025 the platform processed "&amp;TEXT(Obj1_Volume_and_Value!C8,"#,##0")&amp;" transactions worth ₦"&amp;TEXT(Obj1_Volume_and_Value!C7,"#,##0.00")&amp;" (average ₦"&amp;TEXT(Obj1_Volume_and_Value!C9,"#,##0.00")&amp;"). Activity is concentrated in "&amp;Obj4_Geographic_Distribution!C7&amp;" ("&amp;TEXT(Obj4_Geographic_Distribution!G7,"0.0%")&amp;" of value) and value is driven by Transfers ("&amp;TEXT(Obj3_Product_Popularity!G7,"0.0%")&amp;" of value). "&amp;TEXT(Obj1_Volume_and_Value!C11,"0.0%")&amp;" of transactions failed, leaving ₦"&amp;TEXT(Obj1_Volume_and_Value!E17,"#,##0.00")&amp;" of value unrealised. "&amp;"Monthly value is volatile but the full-year trend is "&amp;LOWER(Obj5_Growth_Trajectory!D31)&amp;" (H2 vs H1: "&amp;TEXT(Obj5_Growth_Trajectory!D26,"+0.0%;-0.0%")&amp;")."</f>
        <v>In FY2025 the platform processed 2,500 transactions worth ₦36,963,242.61 (average ₦14,785.30). Activity is concentrated in Lagos (38.6% of value) and value is driven by Transfers (75.4% of value). 9.6% of transactions failed, leaving ₦3,743,318.15 of value unrealised. Monthly value is volatile but the full-year trend is increasing (H2 vs H1: +5.0%).</v>
      </c>
      <c r="C6" s="50"/>
      <c r="D6" s="50"/>
      <c r="E6" s="50"/>
    </row>
    <row r="8" spans="2:5" ht="15.6" x14ac:dyDescent="0.3">
      <c r="B8" s="6" t="s">
        <v>2993</v>
      </c>
    </row>
    <row r="9" spans="2:5" ht="31.95" customHeight="1" x14ac:dyDescent="0.3">
      <c r="B9" s="7" t="s">
        <v>2994</v>
      </c>
      <c r="C9" s="7" t="s">
        <v>2995</v>
      </c>
      <c r="D9" s="57" t="s">
        <v>2996</v>
      </c>
      <c r="E9" s="59"/>
    </row>
    <row r="10" spans="2:5" ht="48" customHeight="1" x14ac:dyDescent="0.3">
      <c r="B10" s="45" t="s">
        <v>2997</v>
      </c>
      <c r="C10" s="46" t="s">
        <v>2998</v>
      </c>
      <c r="D10" s="66" t="str">
        <f>"₦"&amp;TEXT(Obj1_Volume_and_Value!C7,"#,##0.00")&amp;" across "&amp;TEXT(Obj1_Volume_and_Value!C8,"#,##0")&amp;" transactions; average ticket ₦"&amp;TEXT(Obj1_Volume_and_Value!C9,"#,##0.00")&amp;". Success rate "&amp;TEXT(Obj1_Volume_and_Value!C10,"0.0%")&amp;", failure rate "&amp;TEXT(Obj1_Volume_and_Value!C11,"0.0%")&amp;", pending "&amp;TEXT(Obj1_Volume_and_Value!D18,"0.0%")&amp;"."</f>
        <v>₦36,963,242.61 across 2,500 transactions; average ticket ₦14,785.30. Success rate 88.3%, failure rate 9.6%, pending 2.1%.</v>
      </c>
      <c r="E10" s="52"/>
    </row>
    <row r="11" spans="2:5" ht="48" customHeight="1" x14ac:dyDescent="0.3">
      <c r="B11" s="45" t="s">
        <v>2999</v>
      </c>
      <c r="C11" s="46" t="s">
        <v>3000</v>
      </c>
      <c r="D11" s="66" t="str">
        <f>"Top customer "&amp;Obj2_High_Value_Customers!C7&amp;" ("&amp;Obj2_High_Value_Customers!D7&amp;", "&amp;Obj2_High_Value_Customers!E7&amp;") transacted ₦"&amp;TEXT(Obj2_High_Value_Customers!F7,"#,##0.00")&amp;". The Top 10 hold only "&amp;TEXT(Obj2_High_Value_Customers!H17,"0.0%")&amp;" of value — revenue is broad-based across "&amp;TEXT(Obj2_High_Value_Customers!C27,"#,##0")&amp;" customers. Savings accounts ("&amp;TEXT(Obj2_High_Value_Customers!G23,"0.0%")&amp;") and the 35-49 age group ("&amp;TEXT(Obj2_High_Value_Customers!H34,"0.0%")&amp;") are the largest value segments."</f>
        <v>Top customer CUST-0179 (Delta, Tier 1 Wallet) transacted ₦374,370.26. The Top 10 hold only 7.8% of value — revenue is broad-based across 350 customers. Savings accounts (50.0%) and the 35-49 age group (43.4%) are the largest value segments.</v>
      </c>
      <c r="E11" s="52"/>
    </row>
    <row r="12" spans="2:5" ht="48" customHeight="1" x14ac:dyDescent="0.3">
      <c r="B12" s="45" t="s">
        <v>3001</v>
      </c>
      <c r="C12" s="46" t="s">
        <v>3002</v>
      </c>
      <c r="D12" s="66" t="str">
        <f>"By value: "&amp;INDEX(Obj3_Product_Popularity!B7:B11,MATCH(1,Obj3_Product_Popularity!I7:I11,0))&amp;" leads ("&amp;TEXT(INDEX(Obj3_Product_Popularity!G7:G11,MATCH(1,Obj3_Product_Popularity!I7:I11,0)),"0.0%")&amp;" of value). Airtime/Data is a volume product: "&amp;TEXT(Obj3_Product_Popularity!D8,"0.0%")&amp;" of count but "&amp;TEXT(Obj3_Product_Popularity!G8,"0.0%")&amp;" of value (avg ₦"&amp;TEXT(Obj3_Product_Popularity!F8,"#,##0.00")&amp;"). "&amp;INDEX(Obj3_Product_Popularity!B18:B21,MATCH(1,Obj3_Product_Popularity!I18:I21,0))&amp;" is the top channel ("&amp;TEXT(INDEX(Obj3_Product_Popularity!G18:G21,MATCH(1,Obj3_Product_Popularity!I18:I21,0)),"0.0%")&amp;" of value)."</f>
        <v>By value: Transfer leads (75.4% of value). Airtime/Data is a volume product: 26.4% of count but 3.1% of value (avg ₦1,717.67). Bank Transfer is the top channel (49.7% of value).</v>
      </c>
      <c r="E12" s="52"/>
    </row>
    <row r="13" spans="2:5" ht="48" customHeight="1" x14ac:dyDescent="0.3">
      <c r="B13" s="45" t="s">
        <v>3003</v>
      </c>
      <c r="C13" s="46" t="s">
        <v>3004</v>
      </c>
      <c r="D13" s="66" t="str">
        <f>Obj4_Geographic_Distribution!C7&amp;" leads with ₦"&amp;TEXT(Obj4_Geographic_Distribution!D7,"#,##0.00")&amp;" ("&amp;TEXT(Obj4_Geographic_Distribution!G7,"0.0%")&amp;" of revenue, "&amp;TEXT(Obj4_Geographic_Distribution!E7,"#,##0")&amp;" txns), followed by "&amp;Obj4_Geographic_Distribution!C8&amp;" and "&amp;Obj4_Geographic_Distribution!C9&amp;". Key hubs Lagos + FCT Abuja + Rivers generate "&amp;TEXT(Obj4_Geographic_Distribution!G25,"0.0%")&amp;" of revenue."</f>
        <v>Lagos leads with ₦14,255,386.97 (38.6% of revenue, 985 txns), followed by Kano and Oyo. Key hubs Lagos + FCT Abuja + Rivers generate 55.4% of revenue.</v>
      </c>
      <c r="E13" s="52"/>
    </row>
    <row r="14" spans="2:5" ht="48" customHeight="1" x14ac:dyDescent="0.3">
      <c r="B14" s="45" t="s">
        <v>3005</v>
      </c>
      <c r="C14" s="46" t="s">
        <v>3006</v>
      </c>
      <c r="D14" s="66" t="str">
        <f>"MoM value growth swung between "&amp;TEXT(MIN(Obj5_Growth_Trajectory!E8:E18),"0.0%")&amp;" and "&amp;TEXT(MAX(Obj5_Growth_Trajectory!E8:E18),"+0.0%")&amp;", but the trend is "&amp;LOWER(Obj5_Growth_Trajectory!D31)&amp;": H2 value "&amp;TEXT(Obj5_Growth_Trajectory!D26,"+0.0%;-0.0%")&amp;" and volume "&amp;TEXT(Obj5_Growth_Trajectory!D27,"+0.0%;-0.0%")&amp;" vs H1; Dec vs Jan value "&amp;TEXT(Obj5_Growth_Trajectory!C18/Obj5_Growth_Trajectory!C7-1,"+0.0%;-0.0%")&amp;". Peak month: "&amp;TEXT(Obj5_Growth_Trajectory!D28,"mmm yyyy")&amp;"."</f>
        <v>MoM value growth swung between -34.1% and +58.4%, but the trend is increasing: H2 value +5.0% and volume +8.2% vs H1; Dec vs Jan value +24.7%. Peak month: Jun 2025.</v>
      </c>
      <c r="E14" s="52"/>
    </row>
    <row r="15" spans="2:5" ht="48" customHeight="1" x14ac:dyDescent="0.3">
      <c r="B15" s="45" t="s">
        <v>3007</v>
      </c>
      <c r="C15" s="46" t="s">
        <v>3008</v>
      </c>
      <c r="D15" s="66" t="s">
        <v>3009</v>
      </c>
      <c r="E15" s="52"/>
    </row>
    <row r="17" spans="2:5" ht="15.6" x14ac:dyDescent="0.3">
      <c r="B17" s="6" t="s">
        <v>3010</v>
      </c>
    </row>
    <row r="18" spans="2:5" ht="31.95" customHeight="1" x14ac:dyDescent="0.3">
      <c r="B18" s="7" t="s">
        <v>3011</v>
      </c>
      <c r="C18" s="7" t="s">
        <v>3012</v>
      </c>
      <c r="D18" s="7" t="s">
        <v>3013</v>
      </c>
      <c r="E18" s="7" t="s">
        <v>3014</v>
      </c>
    </row>
    <row r="19" spans="2:5" ht="120" customHeight="1" x14ac:dyDescent="0.3">
      <c r="B19" s="45" t="s">
        <v>3015</v>
      </c>
      <c r="C19" s="47" t="str">
        <f>"Lagos: "&amp;TEXT(SUMIF(TransactionTable[State],"Lagos",TransactionTable[Amount])/SUM(TransactionTable[Amount]),"0.0%")&amp;" of value, "&amp;TEXT(COUNTIF(TransactionTable[State],"Lagos")/COUNTA(TransactionTable[Transaction_ID]),"0.0%")&amp;" of volume"&amp;CHAR(10)&amp;"Lagos + FCT Abuja + Rivers: "&amp;TEXT(Obj4_Geographic_Distribution!G25,"0.0%")&amp;" of value"&amp;CHAR(10)&amp;"State avg ticket range: ₦"&amp;TEXT(MIN(Obj4_Geographic_Distribution!F7:F16),"#,##0")&amp;" – ₦"&amp;TEXT(MAX(Obj4_Geographic_Distribution!F7:F16),"#,##0")</f>
        <v>Lagos: 38.6% of value, 39.4% of volume
Lagos + FCT Abuja + Rivers: 55.4% of value
State avg ticket range: ₦13,065 – ₦17,333</v>
      </c>
      <c r="D19" s="46" t="s">
        <v>3016</v>
      </c>
      <c r="E19" s="46" t="s">
        <v>3017</v>
      </c>
    </row>
    <row r="20" spans="2:5" ht="120" customHeight="1" x14ac:dyDescent="0.3">
      <c r="B20" s="45" t="s">
        <v>3018</v>
      </c>
      <c r="C20" s="47" t="str">
        <f>"Transfer: "&amp;TEXT(Obj3_Product_Popularity!D7,"0.0%")&amp;" of volume → "&amp;TEXT(Obj3_Product_Popularity!G7,"0.0%")&amp;" of value (avg ₦"&amp;TEXT(Obj3_Product_Popularity!F7,"#,##0")&amp;")"&amp;CHAR(10)&amp;"Airtime/Data: "&amp;TEXT(Obj3_Product_Popularity!D8,"0.0%")&amp;" of volume → "&amp;TEXT(Obj3_Product_Popularity!G8,"0.0%")&amp;" of value (avg ₦"&amp;TEXT(Obj3_Product_Popularity!F8,"#,##0")&amp;")"</f>
        <v>Transfer: 43.4% of volume → 75.4% of value (avg ₦25,700)
Airtime/Data: 26.4% of volume → 3.1% of value (avg ₦1,718)</v>
      </c>
      <c r="D20" s="46" t="s">
        <v>3019</v>
      </c>
      <c r="E20" s="46" t="s">
        <v>3020</v>
      </c>
    </row>
    <row r="21" spans="2:5" ht="120" customHeight="1" x14ac:dyDescent="0.3">
      <c r="B21" s="48" t="s">
        <v>3021</v>
      </c>
      <c r="C21" s="47" t="str">
        <f>"Failed: "&amp;TEXT(Obj1_Volume_and_Value!C17,"#,##0")&amp;" txns ("&amp;TEXT(Obj1_Volume_and_Value!C11,"0.0%")&amp;") = ₦"&amp;TEXT(Obj1_Volume_and_Value!E17,"#,##0.00")&amp;" ("&amp;TEXT(Obj1_Volume_and_Value!F17,"0.0%")&amp;" of value)"&amp;CHAR(10)&amp;"Pending: ₦"&amp;TEXT(Obj1_Volume_and_Value!E18,"#,##0.00")&amp;CHAR(10)&amp;"Each 1pp cut in failure rate ≈ ₦"&amp;TEXT(Obj1_Volume_and_Value!C7*0.01,"#,##0")&amp;" recovered"</f>
        <v>Failed: 239 txns (9.6%) = ₦3,743,318.15 (10.1% of value)
Pending: ₦906,651.76
Each 1pp cut in failure rate ≈ ₦369,632 recovered</v>
      </c>
      <c r="D21" s="46" t="s">
        <v>3022</v>
      </c>
      <c r="E21" s="46" t="s">
        <v>3023</v>
      </c>
    </row>
    <row r="22" spans="2:5" ht="120" customHeight="1" x14ac:dyDescent="0.3">
      <c r="B22" s="45" t="s">
        <v>3024</v>
      </c>
      <c r="C22" s="47" t="str">
        <f>"Age 35-49: "&amp;TEXT(Obj2_High_Value_Customers!H34,"0.0%")&amp;" of value (avg ₦"&amp;TEXT(Obj2_High_Value_Customers!G34,"#,##0")&amp;")"&amp;CHAR(10)&amp;"Savings: "&amp;TEXT(Obj2_High_Value_Customers!G23,"0.0%")&amp;" of value · Tier 3 Verified: "&amp;TEXT(Obj2_High_Value_Customers!D26/Obj2_High_Value_Customers!D27,"0.0%")&amp;" of volume"&amp;CHAR(10)&amp;"Tier 1 Wallet avg ticket: ₦"&amp;TEXT(Obj2_High_Value_Customers!F25,"#,##0")</f>
        <v>Age 35-49: 43.4% of value (avg ₦16,155)
Savings: 50.0% of value · Tier 3 Verified: 9.1% of volume
Tier 1 Wallet avg ticket: ₦15,566</v>
      </c>
      <c r="D22" s="46" t="s">
        <v>3025</v>
      </c>
      <c r="E22" s="46" t="s">
        <v>3026</v>
      </c>
    </row>
    <row r="24" spans="2:5" ht="15.6" x14ac:dyDescent="0.3">
      <c r="B24" s="6" t="s">
        <v>3027</v>
      </c>
    </row>
    <row r="25" spans="2:5" x14ac:dyDescent="0.3">
      <c r="B25" s="65" t="s">
        <v>3028</v>
      </c>
      <c r="C25" s="50"/>
      <c r="D25" s="50"/>
      <c r="E25" s="50"/>
    </row>
    <row r="26" spans="2:5" x14ac:dyDescent="0.3">
      <c r="B26" s="65" t="s">
        <v>3029</v>
      </c>
      <c r="C26" s="50"/>
      <c r="D26" s="50"/>
      <c r="E26" s="50"/>
    </row>
    <row r="27" spans="2:5" x14ac:dyDescent="0.3">
      <c r="B27" s="65" t="s">
        <v>3030</v>
      </c>
      <c r="C27" s="50"/>
      <c r="D27" s="50"/>
      <c r="E27" s="50"/>
    </row>
    <row r="28" spans="2:5" x14ac:dyDescent="0.3">
      <c r="B28" s="65" t="s">
        <v>3031</v>
      </c>
      <c r="C28" s="50"/>
      <c r="D28" s="50"/>
      <c r="E28" s="50"/>
    </row>
    <row r="29" spans="2:5" x14ac:dyDescent="0.3">
      <c r="B29" s="65" t="s">
        <v>3032</v>
      </c>
      <c r="C29" s="50"/>
      <c r="D29" s="50"/>
      <c r="E29" s="50"/>
    </row>
  </sheetData>
  <mergeCells count="15">
    <mergeCell ref="B3:E3"/>
    <mergeCell ref="B2:E2"/>
    <mergeCell ref="D9:E9"/>
    <mergeCell ref="D12:E12"/>
    <mergeCell ref="B6:E6"/>
    <mergeCell ref="B28:E28"/>
    <mergeCell ref="B29:E29"/>
    <mergeCell ref="D14:E14"/>
    <mergeCell ref="B25:E25"/>
    <mergeCell ref="B26:E26"/>
    <mergeCell ref="B27:E27"/>
    <mergeCell ref="D10:E10"/>
    <mergeCell ref="D15:E15"/>
    <mergeCell ref="D11:E11"/>
    <mergeCell ref="D13:E13"/>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28"/>
  <sheetViews>
    <sheetView workbookViewId="0"/>
  </sheetViews>
  <sheetFormatPr defaultRowHeight="14.4" x14ac:dyDescent="0.3"/>
  <cols>
    <col min="1" max="1" width="13.88671875" customWidth="1"/>
    <col min="2" max="2" width="11" customWidth="1"/>
    <col min="3" max="3" width="40.77734375" customWidth="1"/>
    <col min="5" max="5" width="12.5546875" bestFit="1" customWidth="1"/>
    <col min="6" max="6" width="11.77734375" bestFit="1" customWidth="1"/>
    <col min="9" max="9" width="12.5546875" customWidth="1"/>
    <col min="10" max="10" width="19.33203125" bestFit="1" customWidth="1"/>
    <col min="13" max="13" width="12.5546875" bestFit="1" customWidth="1"/>
    <col min="14" max="14" width="16.33203125" bestFit="1" customWidth="1"/>
    <col min="17" max="17" width="14.77734375" bestFit="1" customWidth="1"/>
    <col min="18" max="18" width="18.77734375" bestFit="1" customWidth="1"/>
  </cols>
  <sheetData>
    <row r="1" spans="1:18" x14ac:dyDescent="0.3">
      <c r="A1" s="69" t="s">
        <v>3055</v>
      </c>
    </row>
    <row r="2" spans="1:18" x14ac:dyDescent="0.3">
      <c r="A2" t="s">
        <v>3056</v>
      </c>
      <c r="B2" t="s">
        <v>2893</v>
      </c>
      <c r="C2" t="s">
        <v>3057</v>
      </c>
    </row>
    <row r="3" spans="1:18" x14ac:dyDescent="0.3">
      <c r="A3" t="s">
        <v>3058</v>
      </c>
      <c r="B3" s="68">
        <f>IFERROR(GETPIVOTDATA("Total Value (₦)",$A$15),0)</f>
        <v>36963242.609999925</v>
      </c>
      <c r="C3" t="str">
        <f>"Attempted value · all statuses"</f>
        <v>Attempted value · all statuses</v>
      </c>
    </row>
    <row r="4" spans="1:18" x14ac:dyDescent="0.3">
      <c r="A4" t="s">
        <v>3059</v>
      </c>
      <c r="B4" s="71">
        <f>IFERROR(GETPIVOTDATA("Txn Volume",$A$15),0)</f>
        <v>2500</v>
      </c>
      <c r="C4" t="str">
        <f>"Transactions · "&amp;TEXT(B8,"#,##0")&amp;" successful"</f>
        <v>Transactions · 2,208 successful</v>
      </c>
    </row>
    <row r="5" spans="1:18" x14ac:dyDescent="0.3">
      <c r="A5" t="s">
        <v>3060</v>
      </c>
      <c r="B5" s="68">
        <f>IFERROR(B3/B4,0)</f>
        <v>14785.29704399997</v>
      </c>
      <c r="C5" t="str">
        <f>"Per transaction (all statuses)"</f>
        <v>Per transaction (all statuses)</v>
      </c>
    </row>
    <row r="6" spans="1:18" x14ac:dyDescent="0.3">
      <c r="A6" t="s">
        <v>3061</v>
      </c>
      <c r="B6" s="75">
        <f>IFERROR(B8/B4,0)</f>
        <v>0.88319999999999999</v>
      </c>
      <c r="C6" t="str">
        <f>TEXT(B8,"#,##0")&amp;" successful transactions"</f>
        <v>2,208 successful transactions</v>
      </c>
    </row>
    <row r="7" spans="1:18" x14ac:dyDescent="0.3">
      <c r="A7" t="s">
        <v>3062</v>
      </c>
      <c r="B7" s="75">
        <f>IFERROR(B9/B4,0)</f>
        <v>9.5600000000000004E-2</v>
      </c>
      <c r="C7" t="str">
        <f>TEXT(B9,"#,##0")&amp;" failed · revenue at risk"</f>
        <v>239 failed · revenue at risk</v>
      </c>
    </row>
    <row r="8" spans="1:18" x14ac:dyDescent="0.3">
      <c r="A8" t="s">
        <v>3063</v>
      </c>
      <c r="B8" s="71">
        <f>IFERROR(GETPIVOTDATA("Status Count",$E$15,"Transaction_Status","Successful"),0)</f>
        <v>2208</v>
      </c>
    </row>
    <row r="9" spans="1:18" x14ac:dyDescent="0.3">
      <c r="A9" t="s">
        <v>3064</v>
      </c>
      <c r="B9" s="71">
        <f>IFERROR(GETPIVOTDATA("Status Count",$E$15,"Transaction_Status","Failed"),0)</f>
        <v>239</v>
      </c>
    </row>
    <row r="15" spans="1:18" x14ac:dyDescent="0.3">
      <c r="A15" t="s">
        <v>2923</v>
      </c>
      <c r="B15" t="s">
        <v>3036</v>
      </c>
      <c r="E15" s="72" t="s">
        <v>3037</v>
      </c>
      <c r="F15" t="s">
        <v>3039</v>
      </c>
      <c r="I15" s="72" t="s">
        <v>3037</v>
      </c>
      <c r="J15" t="s">
        <v>3040</v>
      </c>
      <c r="M15" s="72" t="s">
        <v>3037</v>
      </c>
      <c r="N15" t="s">
        <v>3053</v>
      </c>
      <c r="Q15" s="72" t="s">
        <v>3037</v>
      </c>
      <c r="R15" t="s">
        <v>3054</v>
      </c>
    </row>
    <row r="16" spans="1:18" x14ac:dyDescent="0.3">
      <c r="A16" s="68">
        <v>36963242.609999925</v>
      </c>
      <c r="B16" s="71">
        <v>2500</v>
      </c>
      <c r="E16" s="73" t="s">
        <v>57</v>
      </c>
      <c r="F16" s="71">
        <v>239</v>
      </c>
      <c r="I16" s="74" t="s">
        <v>3041</v>
      </c>
      <c r="J16" s="68">
        <v>2613872.8900000006</v>
      </c>
      <c r="M16" s="73" t="s">
        <v>34</v>
      </c>
      <c r="N16" s="68">
        <v>14255386.969999999</v>
      </c>
      <c r="Q16" s="73" t="s">
        <v>28</v>
      </c>
      <c r="R16" s="68">
        <v>27884106.860000007</v>
      </c>
    </row>
    <row r="17" spans="5:18" x14ac:dyDescent="0.3">
      <c r="E17" s="73" t="s">
        <v>122</v>
      </c>
      <c r="F17" s="71">
        <v>53</v>
      </c>
      <c r="I17" s="74" t="s">
        <v>3042</v>
      </c>
      <c r="J17" s="68">
        <v>2676223.5099999988</v>
      </c>
      <c r="M17" s="73" t="s">
        <v>21</v>
      </c>
      <c r="N17" s="68">
        <v>4166745.1300000013</v>
      </c>
      <c r="Q17" s="73" t="s">
        <v>33</v>
      </c>
      <c r="R17" s="68">
        <v>4243869.8400000008</v>
      </c>
    </row>
    <row r="18" spans="5:18" x14ac:dyDescent="0.3">
      <c r="E18" s="73" t="s">
        <v>14</v>
      </c>
      <c r="F18" s="71">
        <v>2208</v>
      </c>
      <c r="I18" s="74" t="s">
        <v>3043</v>
      </c>
      <c r="J18" s="68">
        <v>3658525.8599999989</v>
      </c>
      <c r="M18" s="73" t="s">
        <v>25</v>
      </c>
      <c r="N18" s="68">
        <v>3305333.8099999982</v>
      </c>
      <c r="Q18" s="73" t="s">
        <v>38</v>
      </c>
      <c r="R18" s="68">
        <v>2171603.6199999982</v>
      </c>
    </row>
    <row r="19" spans="5:18" x14ac:dyDescent="0.3">
      <c r="E19" s="73" t="s">
        <v>3038</v>
      </c>
      <c r="F19" s="71">
        <v>2500</v>
      </c>
      <c r="I19" s="74" t="s">
        <v>3044</v>
      </c>
      <c r="J19" s="68">
        <v>2410304.2399999984</v>
      </c>
      <c r="M19" s="73" t="s">
        <v>60</v>
      </c>
      <c r="N19" s="68">
        <v>3304556.46</v>
      </c>
      <c r="Q19" s="73" t="s">
        <v>154</v>
      </c>
      <c r="R19" s="68">
        <v>1530000</v>
      </c>
    </row>
    <row r="20" spans="5:18" x14ac:dyDescent="0.3">
      <c r="I20" s="74" t="s">
        <v>3045</v>
      </c>
      <c r="J20" s="68">
        <v>2581277.8500000015</v>
      </c>
      <c r="M20" s="73" t="s">
        <v>48</v>
      </c>
      <c r="N20" s="68">
        <v>2910052.3000000012</v>
      </c>
      <c r="Q20" s="73" t="s">
        <v>13</v>
      </c>
      <c r="R20" s="68">
        <v>1133662.29</v>
      </c>
    </row>
    <row r="21" spans="5:18" x14ac:dyDescent="0.3">
      <c r="I21" s="74" t="s">
        <v>3046</v>
      </c>
      <c r="J21" s="68">
        <v>4089023.8099999991</v>
      </c>
      <c r="M21" s="73" t="s">
        <v>95</v>
      </c>
      <c r="N21" s="68">
        <v>2519131.7300000009</v>
      </c>
      <c r="Q21" s="73" t="s">
        <v>3038</v>
      </c>
      <c r="R21" s="68">
        <v>36963242.610000007</v>
      </c>
    </row>
    <row r="22" spans="5:18" x14ac:dyDescent="0.3">
      <c r="I22" s="74" t="s">
        <v>3047</v>
      </c>
      <c r="J22" s="68">
        <v>2958096.8900000029</v>
      </c>
      <c r="M22" s="73" t="s">
        <v>16</v>
      </c>
      <c r="N22" s="68">
        <v>2317869.27</v>
      </c>
    </row>
    <row r="23" spans="5:18" x14ac:dyDescent="0.3">
      <c r="I23" s="74" t="s">
        <v>3048</v>
      </c>
      <c r="J23" s="68">
        <v>2919927.9800000004</v>
      </c>
      <c r="M23" s="73" t="s">
        <v>30</v>
      </c>
      <c r="N23" s="68">
        <v>1595024.56</v>
      </c>
    </row>
    <row r="24" spans="5:18" x14ac:dyDescent="0.3">
      <c r="I24" s="74" t="s">
        <v>3049</v>
      </c>
      <c r="J24" s="68">
        <v>3029489.3800000004</v>
      </c>
      <c r="M24" s="73" t="s">
        <v>78</v>
      </c>
      <c r="N24" s="68">
        <v>1334629.060000001</v>
      </c>
    </row>
    <row r="25" spans="5:18" x14ac:dyDescent="0.3">
      <c r="I25" s="74" t="s">
        <v>3050</v>
      </c>
      <c r="J25" s="68">
        <v>3729052.54</v>
      </c>
      <c r="M25" s="73" t="s">
        <v>43</v>
      </c>
      <c r="N25" s="68">
        <v>1254513.3199999996</v>
      </c>
    </row>
    <row r="26" spans="5:18" x14ac:dyDescent="0.3">
      <c r="I26" s="74" t="s">
        <v>3051</v>
      </c>
      <c r="J26" s="68">
        <v>3039172.7900000005</v>
      </c>
      <c r="M26" s="73" t="s">
        <v>3038</v>
      </c>
      <c r="N26" s="68">
        <v>36963242.609999999</v>
      </c>
    </row>
    <row r="27" spans="5:18" x14ac:dyDescent="0.3">
      <c r="I27" s="74" t="s">
        <v>3052</v>
      </c>
      <c r="J27" s="68">
        <v>3258274.870000001</v>
      </c>
    </row>
    <row r="28" spans="5:18" x14ac:dyDescent="0.3">
      <c r="I28" s="74" t="s">
        <v>3038</v>
      </c>
      <c r="J28" s="68">
        <v>36963242.609999999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V395"/>
  <sheetViews>
    <sheetView showGridLines="0" tabSelected="1" zoomScale="80" zoomScaleNormal="80" workbookViewId="0"/>
  </sheetViews>
  <sheetFormatPr defaultRowHeight="14.4" x14ac:dyDescent="0.3"/>
  <cols>
    <col min="1" max="1" width="2.77734375" style="76" customWidth="1"/>
    <col min="2" max="16" width="10.77734375" style="76" customWidth="1"/>
    <col min="17" max="17" width="6.77734375" style="76" customWidth="1"/>
    <col min="18" max="18" width="15" style="76" customWidth="1"/>
    <col min="19" max="19" width="9.6640625" style="76" customWidth="1"/>
    <col min="20" max="20" width="15.77734375" style="76" customWidth="1"/>
    <col min="21" max="21" width="14.21875" style="76" customWidth="1"/>
    <col min="22" max="22" width="9.88671875" style="76" customWidth="1"/>
    <col min="23" max="23" width="2.77734375" style="76" customWidth="1"/>
    <col min="24" max="16384" width="8.88671875" style="76"/>
  </cols>
  <sheetData>
    <row r="2" spans="2:22" ht="22.05" customHeight="1" x14ac:dyDescent="0.3">
      <c r="B2" s="78" t="s">
        <v>3065</v>
      </c>
      <c r="C2" s="78"/>
      <c r="D2" s="78"/>
      <c r="E2" s="78"/>
      <c r="F2" s="78"/>
      <c r="G2" s="78"/>
      <c r="H2" s="78"/>
      <c r="I2" s="78"/>
      <c r="J2" s="78"/>
      <c r="K2" s="78"/>
      <c r="L2" s="78"/>
      <c r="M2" s="78"/>
      <c r="N2" s="78"/>
      <c r="O2" s="78"/>
      <c r="P2" s="78"/>
      <c r="Q2" s="78"/>
      <c r="R2" s="78"/>
      <c r="S2" s="78"/>
      <c r="T2" s="78"/>
      <c r="U2" s="78"/>
      <c r="V2" s="78"/>
    </row>
    <row r="3" spans="2:22" ht="22.05" customHeight="1" x14ac:dyDescent="0.3">
      <c r="B3" s="78"/>
      <c r="C3" s="78"/>
      <c r="D3" s="78"/>
      <c r="E3" s="78"/>
      <c r="F3" s="78"/>
      <c r="G3" s="78"/>
      <c r="H3" s="78"/>
      <c r="I3" s="78"/>
      <c r="J3" s="78"/>
      <c r="K3" s="78"/>
      <c r="L3" s="78"/>
      <c r="M3" s="78"/>
      <c r="N3" s="78"/>
      <c r="O3" s="78"/>
      <c r="P3" s="78"/>
      <c r="Q3" s="78"/>
      <c r="R3" s="78"/>
      <c r="S3" s="78"/>
      <c r="T3" s="78"/>
      <c r="U3" s="78"/>
      <c r="V3" s="78"/>
    </row>
    <row r="4" spans="2:22" x14ac:dyDescent="0.3">
      <c r="B4" s="79" t="s">
        <v>3066</v>
      </c>
      <c r="C4" s="79"/>
      <c r="D4" s="79"/>
      <c r="E4" s="79"/>
      <c r="F4" s="79"/>
      <c r="G4" s="79"/>
      <c r="H4" s="79"/>
      <c r="I4" s="79"/>
      <c r="J4" s="79"/>
      <c r="K4" s="79"/>
      <c r="L4" s="79"/>
      <c r="M4" s="79"/>
      <c r="N4" s="79"/>
      <c r="O4" s="79"/>
      <c r="P4" s="79"/>
      <c r="Q4" s="79"/>
      <c r="R4" s="79"/>
      <c r="S4" s="79"/>
      <c r="T4" s="79"/>
      <c r="U4" s="79"/>
      <c r="V4" s="79"/>
    </row>
    <row r="42" spans="17:22" ht="18" thickBot="1" x14ac:dyDescent="0.4">
      <c r="Q42" s="80" t="s">
        <v>3067</v>
      </c>
      <c r="R42" s="80"/>
      <c r="S42" s="80"/>
      <c r="T42" s="80"/>
      <c r="U42" s="80"/>
      <c r="V42" s="80"/>
    </row>
    <row r="44" spans="17:22" x14ac:dyDescent="0.3">
      <c r="Q44" s="81" t="s">
        <v>2914</v>
      </c>
      <c r="R44" s="72" t="s">
        <v>1</v>
      </c>
      <c r="S44" s="72" t="s">
        <v>8</v>
      </c>
      <c r="T44" s="72" t="s">
        <v>9</v>
      </c>
      <c r="U44" t="s">
        <v>2915</v>
      </c>
      <c r="V44" t="s">
        <v>2917</v>
      </c>
    </row>
    <row r="45" spans="17:22" x14ac:dyDescent="0.3">
      <c r="Q45" s="82">
        <f>IF(ISNUMBER(U45),1,"")</f>
        <v>1</v>
      </c>
      <c r="R45" t="s">
        <v>740</v>
      </c>
      <c r="S45" t="s">
        <v>95</v>
      </c>
      <c r="T45" t="s">
        <v>44</v>
      </c>
      <c r="U45" s="68">
        <v>374370.25999999995</v>
      </c>
      <c r="V45" s="71">
        <v>8</v>
      </c>
    </row>
    <row r="46" spans="17:22" x14ac:dyDescent="0.3">
      <c r="Q46" s="82">
        <f>IF(ISNUMBER(U46),2,"")</f>
        <v>2</v>
      </c>
      <c r="R46" t="s">
        <v>88</v>
      </c>
      <c r="S46" t="s">
        <v>34</v>
      </c>
      <c r="T46" t="s">
        <v>49</v>
      </c>
      <c r="U46" s="68">
        <v>349166.65</v>
      </c>
      <c r="V46" s="71">
        <v>10</v>
      </c>
    </row>
    <row r="47" spans="17:22" x14ac:dyDescent="0.3">
      <c r="Q47" s="82">
        <f>IF(ISNUMBER(U47),3,"")</f>
        <v>3</v>
      </c>
      <c r="R47" t="s">
        <v>597</v>
      </c>
      <c r="S47" t="s">
        <v>48</v>
      </c>
      <c r="T47" t="s">
        <v>49</v>
      </c>
      <c r="U47" s="68">
        <v>325244.08</v>
      </c>
      <c r="V47" s="71">
        <v>8</v>
      </c>
    </row>
    <row r="48" spans="17:22" x14ac:dyDescent="0.3">
      <c r="Q48" s="82">
        <f>IF(ISNUMBER(U48),4,"")</f>
        <v>4</v>
      </c>
      <c r="R48" t="s">
        <v>431</v>
      </c>
      <c r="S48" t="s">
        <v>21</v>
      </c>
      <c r="T48" t="s">
        <v>49</v>
      </c>
      <c r="U48" s="68">
        <v>273501.11</v>
      </c>
      <c r="V48" s="71">
        <v>10</v>
      </c>
    </row>
    <row r="49" spans="17:22" x14ac:dyDescent="0.3">
      <c r="Q49" s="82">
        <f>IF(ISNUMBER(U49),5,"")</f>
        <v>5</v>
      </c>
      <c r="R49" t="s">
        <v>585</v>
      </c>
      <c r="S49" t="s">
        <v>95</v>
      </c>
      <c r="T49" t="s">
        <v>49</v>
      </c>
      <c r="U49" s="68">
        <v>269972.15999999997</v>
      </c>
      <c r="V49" s="71">
        <v>11</v>
      </c>
    </row>
    <row r="50" spans="17:22" x14ac:dyDescent="0.3">
      <c r="Q50" s="82">
        <f>IF(ISNUMBER(U50),6,"")</f>
        <v>6</v>
      </c>
      <c r="R50" t="s">
        <v>291</v>
      </c>
      <c r="S50" t="s">
        <v>25</v>
      </c>
      <c r="T50" t="s">
        <v>17</v>
      </c>
      <c r="U50" s="68">
        <v>263967.93000000005</v>
      </c>
      <c r="V50" s="71">
        <v>7</v>
      </c>
    </row>
    <row r="51" spans="17:22" x14ac:dyDescent="0.3">
      <c r="Q51" s="82">
        <f>IF(ISNUMBER(U51),7,"")</f>
        <v>7</v>
      </c>
      <c r="R51" t="s">
        <v>194</v>
      </c>
      <c r="S51" t="s">
        <v>16</v>
      </c>
      <c r="T51" t="s">
        <v>17</v>
      </c>
      <c r="U51" s="68">
        <v>258224.20999999996</v>
      </c>
      <c r="V51" s="71">
        <v>16</v>
      </c>
    </row>
    <row r="52" spans="17:22" x14ac:dyDescent="0.3">
      <c r="Q52" s="82">
        <f>IF(ISNUMBER(U52),8,"")</f>
        <v>8</v>
      </c>
      <c r="R52" t="s">
        <v>232</v>
      </c>
      <c r="S52" t="s">
        <v>34</v>
      </c>
      <c r="T52" t="s">
        <v>44</v>
      </c>
      <c r="U52" s="68">
        <v>257489.54000000004</v>
      </c>
      <c r="V52" s="71">
        <v>10</v>
      </c>
    </row>
    <row r="53" spans="17:22" x14ac:dyDescent="0.3">
      <c r="Q53" s="82">
        <f>IF(ISNUMBER(U53),9,"")</f>
        <v>9</v>
      </c>
      <c r="R53" t="s">
        <v>299</v>
      </c>
      <c r="S53" t="s">
        <v>34</v>
      </c>
      <c r="T53" t="s">
        <v>49</v>
      </c>
      <c r="U53" s="68">
        <v>247545.09</v>
      </c>
      <c r="V53" s="71">
        <v>10</v>
      </c>
    </row>
    <row r="54" spans="17:22" x14ac:dyDescent="0.3">
      <c r="Q54" s="82">
        <f>IF(ISNUMBER(U54),10,"")</f>
        <v>10</v>
      </c>
      <c r="R54" t="s">
        <v>415</v>
      </c>
      <c r="S54" t="s">
        <v>21</v>
      </c>
      <c r="T54" t="s">
        <v>49</v>
      </c>
      <c r="U54" s="68">
        <v>247160.95</v>
      </c>
      <c r="V54" s="71">
        <v>11</v>
      </c>
    </row>
    <row r="55" spans="17:22" x14ac:dyDescent="0.3">
      <c r="R55"/>
      <c r="S55"/>
      <c r="T55"/>
      <c r="U55"/>
      <c r="V55"/>
    </row>
    <row r="56" spans="17:22" x14ac:dyDescent="0.3">
      <c r="Q56" s="83" t="s">
        <v>3068</v>
      </c>
      <c r="R56" s="77"/>
      <c r="S56" s="77"/>
      <c r="T56" s="77"/>
      <c r="U56" s="77"/>
      <c r="V56" s="77"/>
    </row>
    <row r="57" spans="17:22" x14ac:dyDescent="0.3">
      <c r="R57"/>
      <c r="S57"/>
      <c r="T57"/>
      <c r="U57"/>
      <c r="V57"/>
    </row>
    <row r="58" spans="17:22" x14ac:dyDescent="0.3">
      <c r="R58"/>
      <c r="S58"/>
      <c r="T58"/>
      <c r="U58"/>
      <c r="V58"/>
    </row>
    <row r="59" spans="17:22" x14ac:dyDescent="0.3">
      <c r="R59"/>
      <c r="S59"/>
      <c r="T59"/>
      <c r="U59"/>
      <c r="V59"/>
    </row>
    <row r="60" spans="17:22" x14ac:dyDescent="0.3">
      <c r="R60"/>
      <c r="S60"/>
      <c r="T60"/>
      <c r="U60"/>
      <c r="V60"/>
    </row>
    <row r="61" spans="17:22" x14ac:dyDescent="0.3">
      <c r="R61"/>
      <c r="S61"/>
      <c r="T61"/>
      <c r="U61"/>
      <c r="V61"/>
    </row>
    <row r="62" spans="17:22" x14ac:dyDescent="0.3">
      <c r="R62"/>
      <c r="S62"/>
      <c r="T62"/>
      <c r="U62"/>
      <c r="V62"/>
    </row>
    <row r="63" spans="17:22" x14ac:dyDescent="0.3">
      <c r="R63"/>
      <c r="S63"/>
      <c r="T63"/>
      <c r="U63"/>
      <c r="V63"/>
    </row>
    <row r="64" spans="17:22" x14ac:dyDescent="0.3">
      <c r="R64"/>
      <c r="S64"/>
      <c r="T64"/>
      <c r="U64"/>
      <c r="V64"/>
    </row>
    <row r="65" spans="18:22" x14ac:dyDescent="0.3">
      <c r="R65"/>
      <c r="S65"/>
      <c r="T65"/>
      <c r="U65"/>
      <c r="V65"/>
    </row>
    <row r="66" spans="18:22" x14ac:dyDescent="0.3">
      <c r="R66"/>
      <c r="S66"/>
      <c r="T66"/>
      <c r="U66"/>
      <c r="V66"/>
    </row>
    <row r="67" spans="18:22" x14ac:dyDescent="0.3">
      <c r="R67"/>
      <c r="S67"/>
      <c r="T67"/>
      <c r="U67"/>
      <c r="V67"/>
    </row>
    <row r="68" spans="18:22" x14ac:dyDescent="0.3">
      <c r="R68"/>
      <c r="S68"/>
      <c r="T68"/>
      <c r="U68"/>
      <c r="V68"/>
    </row>
    <row r="69" spans="18:22" x14ac:dyDescent="0.3">
      <c r="R69"/>
      <c r="S69"/>
      <c r="T69"/>
      <c r="U69"/>
      <c r="V69"/>
    </row>
    <row r="70" spans="18:22" x14ac:dyDescent="0.3">
      <c r="R70"/>
      <c r="S70"/>
      <c r="T70"/>
      <c r="U70"/>
      <c r="V70"/>
    </row>
    <row r="71" spans="18:22" x14ac:dyDescent="0.3">
      <c r="R71"/>
      <c r="S71"/>
      <c r="T71"/>
      <c r="U71"/>
      <c r="V71"/>
    </row>
    <row r="72" spans="18:22" x14ac:dyDescent="0.3">
      <c r="R72"/>
      <c r="S72"/>
      <c r="T72"/>
      <c r="U72"/>
      <c r="V72"/>
    </row>
    <row r="73" spans="18:22" x14ac:dyDescent="0.3">
      <c r="R73"/>
      <c r="S73"/>
      <c r="T73"/>
      <c r="U73"/>
      <c r="V73"/>
    </row>
    <row r="74" spans="18:22" x14ac:dyDescent="0.3">
      <c r="R74"/>
      <c r="S74"/>
      <c r="T74"/>
      <c r="U74"/>
      <c r="V74"/>
    </row>
    <row r="75" spans="18:22" x14ac:dyDescent="0.3">
      <c r="R75"/>
      <c r="S75"/>
      <c r="T75"/>
      <c r="U75"/>
      <c r="V75"/>
    </row>
    <row r="76" spans="18:22" x14ac:dyDescent="0.3">
      <c r="R76"/>
      <c r="S76"/>
      <c r="T76"/>
      <c r="U76"/>
      <c r="V76"/>
    </row>
    <row r="77" spans="18:22" x14ac:dyDescent="0.3">
      <c r="R77"/>
      <c r="S77"/>
      <c r="T77"/>
      <c r="U77"/>
      <c r="V77"/>
    </row>
    <row r="78" spans="18:22" x14ac:dyDescent="0.3">
      <c r="R78"/>
      <c r="S78"/>
      <c r="T78"/>
      <c r="U78"/>
      <c r="V78"/>
    </row>
    <row r="79" spans="18:22" x14ac:dyDescent="0.3">
      <c r="R79"/>
      <c r="S79"/>
      <c r="T79"/>
      <c r="U79"/>
      <c r="V79"/>
    </row>
    <row r="80" spans="18:22" x14ac:dyDescent="0.3">
      <c r="R80"/>
      <c r="S80"/>
      <c r="T80"/>
      <c r="U80"/>
      <c r="V80"/>
    </row>
    <row r="81" spans="18:22" x14ac:dyDescent="0.3">
      <c r="R81"/>
      <c r="S81"/>
      <c r="T81"/>
      <c r="U81"/>
      <c r="V81"/>
    </row>
    <row r="82" spans="18:22" x14ac:dyDescent="0.3">
      <c r="R82"/>
      <c r="S82"/>
      <c r="T82"/>
      <c r="U82"/>
      <c r="V82"/>
    </row>
    <row r="83" spans="18:22" x14ac:dyDescent="0.3">
      <c r="R83"/>
      <c r="S83"/>
      <c r="T83"/>
      <c r="U83"/>
      <c r="V83"/>
    </row>
    <row r="84" spans="18:22" x14ac:dyDescent="0.3">
      <c r="R84"/>
      <c r="S84"/>
      <c r="T84"/>
      <c r="U84"/>
      <c r="V84"/>
    </row>
    <row r="85" spans="18:22" x14ac:dyDescent="0.3">
      <c r="R85"/>
      <c r="S85"/>
      <c r="T85"/>
      <c r="U85"/>
      <c r="V85"/>
    </row>
    <row r="86" spans="18:22" x14ac:dyDescent="0.3">
      <c r="R86"/>
      <c r="S86"/>
      <c r="T86"/>
      <c r="U86"/>
      <c r="V86"/>
    </row>
    <row r="87" spans="18:22" x14ac:dyDescent="0.3">
      <c r="R87"/>
      <c r="S87"/>
      <c r="T87"/>
      <c r="U87"/>
      <c r="V87"/>
    </row>
    <row r="88" spans="18:22" x14ac:dyDescent="0.3">
      <c r="R88"/>
      <c r="S88"/>
      <c r="T88"/>
      <c r="U88"/>
      <c r="V88"/>
    </row>
    <row r="89" spans="18:22" x14ac:dyDescent="0.3">
      <c r="R89"/>
      <c r="S89"/>
      <c r="T89"/>
      <c r="U89"/>
      <c r="V89"/>
    </row>
    <row r="90" spans="18:22" x14ac:dyDescent="0.3">
      <c r="R90"/>
      <c r="S90"/>
      <c r="T90"/>
      <c r="U90"/>
      <c r="V90"/>
    </row>
    <row r="91" spans="18:22" x14ac:dyDescent="0.3">
      <c r="R91"/>
      <c r="S91"/>
      <c r="T91"/>
      <c r="U91"/>
      <c r="V91"/>
    </row>
    <row r="92" spans="18:22" x14ac:dyDescent="0.3">
      <c r="R92"/>
      <c r="S92"/>
      <c r="T92"/>
      <c r="U92"/>
      <c r="V92"/>
    </row>
    <row r="93" spans="18:22" x14ac:dyDescent="0.3">
      <c r="R93"/>
      <c r="S93"/>
      <c r="T93"/>
      <c r="U93"/>
      <c r="V93"/>
    </row>
    <row r="94" spans="18:22" x14ac:dyDescent="0.3">
      <c r="R94"/>
      <c r="S94"/>
      <c r="T94"/>
      <c r="U94"/>
      <c r="V94"/>
    </row>
    <row r="95" spans="18:22" x14ac:dyDescent="0.3">
      <c r="R95"/>
      <c r="S95"/>
      <c r="T95"/>
      <c r="U95"/>
      <c r="V95"/>
    </row>
    <row r="96" spans="18:22" x14ac:dyDescent="0.3">
      <c r="R96"/>
      <c r="S96"/>
      <c r="T96"/>
      <c r="U96"/>
      <c r="V96"/>
    </row>
    <row r="97" spans="18:22" x14ac:dyDescent="0.3">
      <c r="R97"/>
      <c r="S97"/>
      <c r="T97"/>
      <c r="U97"/>
      <c r="V97"/>
    </row>
    <row r="98" spans="18:22" x14ac:dyDescent="0.3">
      <c r="R98"/>
      <c r="S98"/>
      <c r="T98"/>
      <c r="U98"/>
      <c r="V98"/>
    </row>
    <row r="99" spans="18:22" x14ac:dyDescent="0.3">
      <c r="R99"/>
      <c r="S99"/>
      <c r="T99"/>
      <c r="U99"/>
      <c r="V99"/>
    </row>
    <row r="100" spans="18:22" x14ac:dyDescent="0.3">
      <c r="R100"/>
      <c r="S100"/>
      <c r="T100"/>
      <c r="U100"/>
      <c r="V100"/>
    </row>
    <row r="101" spans="18:22" x14ac:dyDescent="0.3">
      <c r="R101"/>
      <c r="S101"/>
      <c r="T101"/>
      <c r="U101"/>
      <c r="V101"/>
    </row>
    <row r="102" spans="18:22" x14ac:dyDescent="0.3">
      <c r="R102"/>
      <c r="S102"/>
      <c r="T102"/>
      <c r="U102"/>
      <c r="V102"/>
    </row>
    <row r="103" spans="18:22" x14ac:dyDescent="0.3">
      <c r="R103"/>
      <c r="S103"/>
      <c r="T103"/>
      <c r="U103"/>
      <c r="V103"/>
    </row>
    <row r="104" spans="18:22" x14ac:dyDescent="0.3">
      <c r="R104"/>
      <c r="S104"/>
      <c r="T104"/>
      <c r="U104"/>
      <c r="V104"/>
    </row>
    <row r="105" spans="18:22" x14ac:dyDescent="0.3">
      <c r="R105"/>
      <c r="S105"/>
      <c r="T105"/>
      <c r="U105"/>
      <c r="V105"/>
    </row>
    <row r="106" spans="18:22" x14ac:dyDescent="0.3">
      <c r="R106"/>
      <c r="S106"/>
      <c r="T106"/>
      <c r="U106"/>
      <c r="V106"/>
    </row>
    <row r="107" spans="18:22" x14ac:dyDescent="0.3">
      <c r="R107"/>
      <c r="S107"/>
      <c r="T107"/>
      <c r="U107"/>
      <c r="V107"/>
    </row>
    <row r="108" spans="18:22" x14ac:dyDescent="0.3">
      <c r="R108"/>
      <c r="S108"/>
      <c r="T108"/>
      <c r="U108"/>
      <c r="V108"/>
    </row>
    <row r="109" spans="18:22" x14ac:dyDescent="0.3">
      <c r="R109"/>
      <c r="S109"/>
      <c r="T109"/>
      <c r="U109"/>
      <c r="V109"/>
    </row>
    <row r="110" spans="18:22" x14ac:dyDescent="0.3">
      <c r="R110"/>
      <c r="S110"/>
      <c r="T110"/>
      <c r="U110"/>
      <c r="V110"/>
    </row>
    <row r="111" spans="18:22" x14ac:dyDescent="0.3">
      <c r="R111"/>
      <c r="S111"/>
      <c r="T111"/>
      <c r="U111"/>
      <c r="V111"/>
    </row>
    <row r="112" spans="18:22" x14ac:dyDescent="0.3">
      <c r="R112"/>
      <c r="S112"/>
      <c r="T112"/>
      <c r="U112"/>
      <c r="V112"/>
    </row>
    <row r="113" spans="18:22" x14ac:dyDescent="0.3">
      <c r="R113"/>
      <c r="S113"/>
      <c r="T113"/>
      <c r="U113"/>
      <c r="V113"/>
    </row>
    <row r="114" spans="18:22" x14ac:dyDescent="0.3">
      <c r="R114"/>
      <c r="S114"/>
      <c r="T114"/>
      <c r="U114"/>
      <c r="V114"/>
    </row>
    <row r="115" spans="18:22" x14ac:dyDescent="0.3">
      <c r="R115"/>
      <c r="S115"/>
      <c r="T115"/>
      <c r="U115"/>
      <c r="V115"/>
    </row>
    <row r="116" spans="18:22" x14ac:dyDescent="0.3">
      <c r="R116"/>
      <c r="S116"/>
      <c r="T116"/>
      <c r="U116"/>
      <c r="V116"/>
    </row>
    <row r="117" spans="18:22" x14ac:dyDescent="0.3">
      <c r="R117"/>
      <c r="S117"/>
      <c r="T117"/>
      <c r="U117"/>
      <c r="V117"/>
    </row>
    <row r="118" spans="18:22" x14ac:dyDescent="0.3">
      <c r="R118"/>
      <c r="S118"/>
      <c r="T118"/>
      <c r="U118"/>
      <c r="V118"/>
    </row>
    <row r="119" spans="18:22" x14ac:dyDescent="0.3">
      <c r="R119"/>
      <c r="S119"/>
      <c r="T119"/>
      <c r="U119"/>
      <c r="V119"/>
    </row>
    <row r="120" spans="18:22" x14ac:dyDescent="0.3">
      <c r="R120"/>
      <c r="S120"/>
      <c r="T120"/>
      <c r="U120"/>
      <c r="V120"/>
    </row>
    <row r="121" spans="18:22" x14ac:dyDescent="0.3">
      <c r="R121"/>
      <c r="S121"/>
      <c r="T121"/>
      <c r="U121"/>
      <c r="V121"/>
    </row>
    <row r="122" spans="18:22" x14ac:dyDescent="0.3">
      <c r="R122"/>
      <c r="S122"/>
      <c r="T122"/>
      <c r="U122"/>
      <c r="V122"/>
    </row>
    <row r="123" spans="18:22" x14ac:dyDescent="0.3">
      <c r="R123"/>
      <c r="S123"/>
      <c r="T123"/>
      <c r="U123"/>
      <c r="V123"/>
    </row>
    <row r="124" spans="18:22" x14ac:dyDescent="0.3">
      <c r="R124"/>
      <c r="S124"/>
      <c r="T124"/>
      <c r="U124"/>
      <c r="V124"/>
    </row>
    <row r="125" spans="18:22" x14ac:dyDescent="0.3">
      <c r="R125"/>
      <c r="S125"/>
      <c r="T125"/>
      <c r="U125"/>
      <c r="V125"/>
    </row>
    <row r="126" spans="18:22" x14ac:dyDescent="0.3">
      <c r="R126"/>
      <c r="S126"/>
      <c r="T126"/>
      <c r="U126"/>
      <c r="V126"/>
    </row>
    <row r="127" spans="18:22" x14ac:dyDescent="0.3">
      <c r="R127"/>
      <c r="S127"/>
      <c r="T127"/>
      <c r="U127"/>
      <c r="V127"/>
    </row>
    <row r="128" spans="18:22" x14ac:dyDescent="0.3">
      <c r="R128"/>
      <c r="S128"/>
      <c r="T128"/>
      <c r="U128"/>
      <c r="V128"/>
    </row>
    <row r="129" spans="18:22" x14ac:dyDescent="0.3">
      <c r="R129"/>
      <c r="S129"/>
      <c r="T129"/>
      <c r="U129"/>
      <c r="V129"/>
    </row>
    <row r="130" spans="18:22" x14ac:dyDescent="0.3">
      <c r="R130"/>
      <c r="S130"/>
      <c r="T130"/>
      <c r="U130"/>
      <c r="V130"/>
    </row>
    <row r="131" spans="18:22" x14ac:dyDescent="0.3">
      <c r="R131"/>
      <c r="S131"/>
      <c r="T131"/>
      <c r="U131"/>
      <c r="V131"/>
    </row>
    <row r="132" spans="18:22" x14ac:dyDescent="0.3">
      <c r="R132"/>
      <c r="S132"/>
      <c r="T132"/>
      <c r="U132"/>
      <c r="V132"/>
    </row>
    <row r="133" spans="18:22" x14ac:dyDescent="0.3">
      <c r="R133"/>
      <c r="S133"/>
      <c r="T133"/>
      <c r="U133"/>
      <c r="V133"/>
    </row>
    <row r="134" spans="18:22" x14ac:dyDescent="0.3">
      <c r="R134"/>
      <c r="S134"/>
      <c r="T134"/>
      <c r="U134"/>
      <c r="V134"/>
    </row>
    <row r="135" spans="18:22" x14ac:dyDescent="0.3">
      <c r="R135"/>
      <c r="S135"/>
      <c r="T135"/>
      <c r="U135"/>
      <c r="V135"/>
    </row>
    <row r="136" spans="18:22" x14ac:dyDescent="0.3">
      <c r="R136"/>
      <c r="S136"/>
      <c r="T136"/>
      <c r="U136"/>
      <c r="V136"/>
    </row>
    <row r="137" spans="18:22" x14ac:dyDescent="0.3">
      <c r="R137"/>
      <c r="S137"/>
      <c r="T137"/>
      <c r="U137"/>
      <c r="V137"/>
    </row>
    <row r="138" spans="18:22" x14ac:dyDescent="0.3">
      <c r="R138"/>
      <c r="S138"/>
      <c r="T138"/>
      <c r="U138"/>
      <c r="V138"/>
    </row>
    <row r="139" spans="18:22" x14ac:dyDescent="0.3">
      <c r="R139"/>
      <c r="S139"/>
      <c r="T139"/>
      <c r="U139"/>
      <c r="V139"/>
    </row>
    <row r="140" spans="18:22" x14ac:dyDescent="0.3">
      <c r="R140"/>
      <c r="S140"/>
      <c r="T140"/>
      <c r="U140"/>
      <c r="V140"/>
    </row>
    <row r="141" spans="18:22" x14ac:dyDescent="0.3">
      <c r="R141"/>
      <c r="S141"/>
      <c r="T141"/>
      <c r="U141"/>
      <c r="V141"/>
    </row>
    <row r="142" spans="18:22" x14ac:dyDescent="0.3">
      <c r="R142"/>
      <c r="S142"/>
      <c r="T142"/>
      <c r="U142"/>
      <c r="V142"/>
    </row>
    <row r="143" spans="18:22" x14ac:dyDescent="0.3">
      <c r="R143"/>
      <c r="S143"/>
      <c r="T143"/>
      <c r="U143"/>
      <c r="V143"/>
    </row>
    <row r="144" spans="18:22" x14ac:dyDescent="0.3">
      <c r="R144"/>
      <c r="S144"/>
      <c r="T144"/>
      <c r="U144"/>
      <c r="V144"/>
    </row>
    <row r="145" spans="18:22" x14ac:dyDescent="0.3">
      <c r="R145"/>
      <c r="S145"/>
      <c r="T145"/>
      <c r="U145"/>
      <c r="V145"/>
    </row>
    <row r="146" spans="18:22" x14ac:dyDescent="0.3">
      <c r="R146"/>
      <c r="S146"/>
      <c r="T146"/>
      <c r="U146"/>
      <c r="V146"/>
    </row>
    <row r="147" spans="18:22" x14ac:dyDescent="0.3">
      <c r="R147"/>
      <c r="S147"/>
      <c r="T147"/>
      <c r="U147"/>
      <c r="V147"/>
    </row>
    <row r="148" spans="18:22" x14ac:dyDescent="0.3">
      <c r="R148"/>
      <c r="S148"/>
      <c r="T148"/>
      <c r="U148"/>
      <c r="V148"/>
    </row>
    <row r="149" spans="18:22" x14ac:dyDescent="0.3">
      <c r="R149"/>
      <c r="S149"/>
      <c r="T149"/>
      <c r="U149"/>
      <c r="V149"/>
    </row>
    <row r="150" spans="18:22" x14ac:dyDescent="0.3">
      <c r="R150"/>
      <c r="S150"/>
      <c r="T150"/>
      <c r="U150"/>
      <c r="V150"/>
    </row>
    <row r="151" spans="18:22" x14ac:dyDescent="0.3">
      <c r="R151"/>
      <c r="S151"/>
      <c r="T151"/>
      <c r="U151"/>
      <c r="V151"/>
    </row>
    <row r="152" spans="18:22" x14ac:dyDescent="0.3">
      <c r="R152"/>
      <c r="S152"/>
      <c r="T152"/>
      <c r="U152"/>
      <c r="V152"/>
    </row>
    <row r="153" spans="18:22" x14ac:dyDescent="0.3">
      <c r="R153"/>
      <c r="S153"/>
      <c r="T153"/>
      <c r="U153"/>
      <c r="V153"/>
    </row>
    <row r="154" spans="18:22" x14ac:dyDescent="0.3">
      <c r="R154"/>
      <c r="S154"/>
      <c r="T154"/>
      <c r="U154"/>
      <c r="V154"/>
    </row>
    <row r="155" spans="18:22" x14ac:dyDescent="0.3">
      <c r="R155"/>
      <c r="S155"/>
      <c r="T155"/>
      <c r="U155"/>
      <c r="V155"/>
    </row>
    <row r="156" spans="18:22" x14ac:dyDescent="0.3">
      <c r="R156"/>
      <c r="S156"/>
      <c r="T156"/>
      <c r="U156"/>
      <c r="V156"/>
    </row>
    <row r="157" spans="18:22" x14ac:dyDescent="0.3">
      <c r="R157"/>
      <c r="S157"/>
      <c r="T157"/>
      <c r="U157"/>
      <c r="V157"/>
    </row>
    <row r="158" spans="18:22" x14ac:dyDescent="0.3">
      <c r="R158"/>
      <c r="S158"/>
      <c r="T158"/>
      <c r="U158"/>
      <c r="V158"/>
    </row>
    <row r="159" spans="18:22" x14ac:dyDescent="0.3">
      <c r="R159"/>
      <c r="S159"/>
      <c r="T159"/>
      <c r="U159"/>
      <c r="V159"/>
    </row>
    <row r="160" spans="18:22" x14ac:dyDescent="0.3">
      <c r="R160"/>
      <c r="S160"/>
      <c r="T160"/>
      <c r="U160"/>
      <c r="V160"/>
    </row>
    <row r="161" spans="18:22" x14ac:dyDescent="0.3">
      <c r="R161"/>
      <c r="S161"/>
      <c r="T161"/>
      <c r="U161"/>
      <c r="V161"/>
    </row>
    <row r="162" spans="18:22" x14ac:dyDescent="0.3">
      <c r="R162"/>
      <c r="S162"/>
      <c r="T162"/>
      <c r="U162"/>
      <c r="V162"/>
    </row>
    <row r="163" spans="18:22" x14ac:dyDescent="0.3">
      <c r="R163"/>
      <c r="S163"/>
      <c r="T163"/>
      <c r="U163"/>
      <c r="V163"/>
    </row>
    <row r="164" spans="18:22" x14ac:dyDescent="0.3">
      <c r="R164"/>
      <c r="S164"/>
      <c r="T164"/>
      <c r="U164"/>
      <c r="V164"/>
    </row>
    <row r="165" spans="18:22" x14ac:dyDescent="0.3">
      <c r="R165"/>
      <c r="S165"/>
      <c r="T165"/>
      <c r="U165"/>
      <c r="V165"/>
    </row>
    <row r="166" spans="18:22" x14ac:dyDescent="0.3">
      <c r="R166"/>
      <c r="S166"/>
      <c r="T166"/>
      <c r="U166"/>
      <c r="V166"/>
    </row>
    <row r="167" spans="18:22" x14ac:dyDescent="0.3">
      <c r="R167"/>
      <c r="S167"/>
      <c r="T167"/>
      <c r="U167"/>
      <c r="V167"/>
    </row>
    <row r="168" spans="18:22" x14ac:dyDescent="0.3">
      <c r="R168"/>
      <c r="S168"/>
      <c r="T168"/>
      <c r="U168"/>
      <c r="V168"/>
    </row>
    <row r="169" spans="18:22" x14ac:dyDescent="0.3">
      <c r="R169"/>
      <c r="S169"/>
      <c r="T169"/>
      <c r="U169"/>
      <c r="V169"/>
    </row>
    <row r="170" spans="18:22" x14ac:dyDescent="0.3">
      <c r="R170"/>
      <c r="S170"/>
      <c r="T170"/>
      <c r="U170"/>
      <c r="V170"/>
    </row>
    <row r="171" spans="18:22" x14ac:dyDescent="0.3">
      <c r="R171"/>
      <c r="S171"/>
      <c r="T171"/>
      <c r="U171"/>
      <c r="V171"/>
    </row>
    <row r="172" spans="18:22" x14ac:dyDescent="0.3">
      <c r="R172"/>
      <c r="S172"/>
      <c r="T172"/>
      <c r="U172"/>
      <c r="V172"/>
    </row>
    <row r="173" spans="18:22" x14ac:dyDescent="0.3">
      <c r="R173"/>
      <c r="S173"/>
      <c r="T173"/>
      <c r="U173"/>
      <c r="V173"/>
    </row>
    <row r="174" spans="18:22" x14ac:dyDescent="0.3">
      <c r="R174"/>
      <c r="S174"/>
      <c r="T174"/>
      <c r="U174"/>
      <c r="V174"/>
    </row>
    <row r="175" spans="18:22" x14ac:dyDescent="0.3">
      <c r="R175"/>
      <c r="S175"/>
      <c r="T175"/>
      <c r="U175"/>
      <c r="V175"/>
    </row>
    <row r="176" spans="18:22" x14ac:dyDescent="0.3">
      <c r="R176"/>
      <c r="S176"/>
      <c r="T176"/>
      <c r="U176"/>
      <c r="V176"/>
    </row>
    <row r="177" spans="18:22" x14ac:dyDescent="0.3">
      <c r="R177"/>
      <c r="S177"/>
      <c r="T177"/>
      <c r="U177"/>
      <c r="V177"/>
    </row>
    <row r="178" spans="18:22" x14ac:dyDescent="0.3">
      <c r="R178"/>
      <c r="S178"/>
      <c r="T178"/>
      <c r="U178"/>
      <c r="V178"/>
    </row>
    <row r="179" spans="18:22" x14ac:dyDescent="0.3">
      <c r="R179"/>
      <c r="S179"/>
      <c r="T179"/>
      <c r="U179"/>
      <c r="V179"/>
    </row>
    <row r="180" spans="18:22" x14ac:dyDescent="0.3">
      <c r="R180"/>
      <c r="S180"/>
      <c r="T180"/>
      <c r="U180"/>
      <c r="V180"/>
    </row>
    <row r="181" spans="18:22" x14ac:dyDescent="0.3">
      <c r="R181"/>
      <c r="S181"/>
      <c r="T181"/>
      <c r="U181"/>
      <c r="V181"/>
    </row>
    <row r="182" spans="18:22" x14ac:dyDescent="0.3">
      <c r="R182"/>
      <c r="S182"/>
      <c r="T182"/>
      <c r="U182"/>
      <c r="V182"/>
    </row>
    <row r="183" spans="18:22" x14ac:dyDescent="0.3">
      <c r="R183"/>
      <c r="S183"/>
      <c r="T183"/>
      <c r="U183"/>
      <c r="V183"/>
    </row>
    <row r="184" spans="18:22" x14ac:dyDescent="0.3">
      <c r="R184"/>
      <c r="S184"/>
      <c r="T184"/>
      <c r="U184"/>
      <c r="V184"/>
    </row>
    <row r="185" spans="18:22" x14ac:dyDescent="0.3">
      <c r="R185"/>
      <c r="S185"/>
      <c r="T185"/>
      <c r="U185"/>
      <c r="V185"/>
    </row>
    <row r="186" spans="18:22" x14ac:dyDescent="0.3">
      <c r="R186"/>
      <c r="S186"/>
      <c r="T186"/>
      <c r="U186"/>
      <c r="V186"/>
    </row>
    <row r="187" spans="18:22" x14ac:dyDescent="0.3">
      <c r="R187"/>
      <c r="S187"/>
      <c r="T187"/>
      <c r="U187"/>
      <c r="V187"/>
    </row>
    <row r="188" spans="18:22" x14ac:dyDescent="0.3">
      <c r="R188"/>
      <c r="S188"/>
      <c r="T188"/>
      <c r="U188"/>
      <c r="V188"/>
    </row>
    <row r="189" spans="18:22" x14ac:dyDescent="0.3">
      <c r="R189"/>
      <c r="S189"/>
      <c r="T189"/>
      <c r="U189"/>
      <c r="V189"/>
    </row>
    <row r="190" spans="18:22" x14ac:dyDescent="0.3">
      <c r="R190"/>
      <c r="S190"/>
      <c r="T190"/>
      <c r="U190"/>
      <c r="V190"/>
    </row>
    <row r="191" spans="18:22" x14ac:dyDescent="0.3">
      <c r="R191"/>
      <c r="S191"/>
      <c r="T191"/>
      <c r="U191"/>
      <c r="V191"/>
    </row>
    <row r="192" spans="18:22" x14ac:dyDescent="0.3">
      <c r="R192"/>
      <c r="S192"/>
      <c r="T192"/>
      <c r="U192"/>
      <c r="V192"/>
    </row>
    <row r="193" spans="18:22" x14ac:dyDescent="0.3">
      <c r="R193"/>
      <c r="S193"/>
      <c r="T193"/>
      <c r="U193"/>
      <c r="V193"/>
    </row>
    <row r="194" spans="18:22" x14ac:dyDescent="0.3">
      <c r="R194"/>
      <c r="S194"/>
      <c r="T194"/>
      <c r="U194"/>
      <c r="V194"/>
    </row>
    <row r="195" spans="18:22" x14ac:dyDescent="0.3">
      <c r="R195"/>
      <c r="S195"/>
      <c r="T195"/>
      <c r="U195"/>
      <c r="V195"/>
    </row>
    <row r="196" spans="18:22" x14ac:dyDescent="0.3">
      <c r="R196"/>
      <c r="S196"/>
      <c r="T196"/>
      <c r="U196"/>
      <c r="V196"/>
    </row>
    <row r="197" spans="18:22" x14ac:dyDescent="0.3">
      <c r="R197"/>
      <c r="S197"/>
      <c r="T197"/>
      <c r="U197"/>
      <c r="V197"/>
    </row>
    <row r="198" spans="18:22" x14ac:dyDescent="0.3">
      <c r="R198"/>
      <c r="S198"/>
      <c r="T198"/>
      <c r="U198"/>
      <c r="V198"/>
    </row>
    <row r="199" spans="18:22" x14ac:dyDescent="0.3">
      <c r="R199"/>
      <c r="S199"/>
      <c r="T199"/>
      <c r="U199"/>
      <c r="V199"/>
    </row>
    <row r="200" spans="18:22" x14ac:dyDescent="0.3">
      <c r="R200"/>
      <c r="S200"/>
      <c r="T200"/>
      <c r="U200"/>
      <c r="V200"/>
    </row>
    <row r="201" spans="18:22" x14ac:dyDescent="0.3">
      <c r="R201"/>
      <c r="S201"/>
      <c r="T201"/>
      <c r="U201"/>
      <c r="V201"/>
    </row>
    <row r="202" spans="18:22" x14ac:dyDescent="0.3">
      <c r="R202"/>
      <c r="S202"/>
      <c r="T202"/>
      <c r="U202"/>
      <c r="V202"/>
    </row>
    <row r="203" spans="18:22" x14ac:dyDescent="0.3">
      <c r="R203"/>
      <c r="S203"/>
      <c r="T203"/>
      <c r="U203"/>
      <c r="V203"/>
    </row>
    <row r="204" spans="18:22" x14ac:dyDescent="0.3">
      <c r="R204"/>
      <c r="S204"/>
      <c r="T204"/>
      <c r="U204"/>
      <c r="V204"/>
    </row>
    <row r="205" spans="18:22" x14ac:dyDescent="0.3">
      <c r="R205"/>
      <c r="S205"/>
      <c r="T205"/>
      <c r="U205"/>
      <c r="V205"/>
    </row>
    <row r="206" spans="18:22" x14ac:dyDescent="0.3">
      <c r="R206"/>
      <c r="S206"/>
      <c r="T206"/>
      <c r="U206"/>
      <c r="V206"/>
    </row>
    <row r="207" spans="18:22" x14ac:dyDescent="0.3">
      <c r="R207"/>
      <c r="S207"/>
      <c r="T207"/>
      <c r="U207"/>
      <c r="V207"/>
    </row>
    <row r="208" spans="18:22" x14ac:dyDescent="0.3">
      <c r="R208"/>
      <c r="S208"/>
      <c r="T208"/>
      <c r="U208"/>
      <c r="V208"/>
    </row>
    <row r="209" spans="18:22" x14ac:dyDescent="0.3">
      <c r="R209"/>
      <c r="S209"/>
      <c r="T209"/>
      <c r="U209"/>
      <c r="V209"/>
    </row>
    <row r="210" spans="18:22" x14ac:dyDescent="0.3">
      <c r="R210"/>
      <c r="S210"/>
      <c r="T210"/>
      <c r="U210"/>
      <c r="V210"/>
    </row>
    <row r="211" spans="18:22" x14ac:dyDescent="0.3">
      <c r="R211"/>
      <c r="S211"/>
      <c r="T211"/>
      <c r="U211"/>
      <c r="V211"/>
    </row>
    <row r="212" spans="18:22" x14ac:dyDescent="0.3">
      <c r="R212"/>
      <c r="S212"/>
      <c r="T212"/>
      <c r="U212"/>
      <c r="V212"/>
    </row>
    <row r="213" spans="18:22" x14ac:dyDescent="0.3">
      <c r="R213"/>
      <c r="S213"/>
      <c r="T213"/>
      <c r="U213"/>
      <c r="V213"/>
    </row>
    <row r="214" spans="18:22" x14ac:dyDescent="0.3">
      <c r="R214"/>
      <c r="S214"/>
      <c r="T214"/>
      <c r="U214"/>
      <c r="V214"/>
    </row>
    <row r="215" spans="18:22" x14ac:dyDescent="0.3">
      <c r="R215"/>
      <c r="S215"/>
      <c r="T215"/>
      <c r="U215"/>
      <c r="V215"/>
    </row>
    <row r="216" spans="18:22" x14ac:dyDescent="0.3">
      <c r="R216"/>
      <c r="S216"/>
      <c r="T216"/>
      <c r="U216"/>
      <c r="V216"/>
    </row>
    <row r="217" spans="18:22" x14ac:dyDescent="0.3">
      <c r="R217"/>
      <c r="S217"/>
      <c r="T217"/>
      <c r="U217"/>
      <c r="V217"/>
    </row>
    <row r="218" spans="18:22" x14ac:dyDescent="0.3">
      <c r="R218"/>
      <c r="S218"/>
      <c r="T218"/>
      <c r="U218"/>
      <c r="V218"/>
    </row>
    <row r="219" spans="18:22" x14ac:dyDescent="0.3">
      <c r="R219"/>
      <c r="S219"/>
      <c r="T219"/>
      <c r="U219"/>
      <c r="V219"/>
    </row>
    <row r="220" spans="18:22" x14ac:dyDescent="0.3">
      <c r="R220"/>
      <c r="S220"/>
      <c r="T220"/>
      <c r="U220"/>
      <c r="V220"/>
    </row>
    <row r="221" spans="18:22" x14ac:dyDescent="0.3">
      <c r="R221"/>
      <c r="S221"/>
      <c r="T221"/>
      <c r="U221"/>
      <c r="V221"/>
    </row>
    <row r="222" spans="18:22" x14ac:dyDescent="0.3">
      <c r="R222"/>
      <c r="S222"/>
      <c r="T222"/>
      <c r="U222"/>
      <c r="V222"/>
    </row>
    <row r="223" spans="18:22" x14ac:dyDescent="0.3">
      <c r="R223"/>
      <c r="S223"/>
      <c r="T223"/>
      <c r="U223"/>
      <c r="V223"/>
    </row>
    <row r="224" spans="18:22" x14ac:dyDescent="0.3">
      <c r="R224"/>
      <c r="S224"/>
      <c r="T224"/>
      <c r="U224"/>
      <c r="V224"/>
    </row>
    <row r="225" spans="18:22" x14ac:dyDescent="0.3">
      <c r="R225"/>
      <c r="S225"/>
      <c r="T225"/>
      <c r="U225"/>
      <c r="V225"/>
    </row>
    <row r="226" spans="18:22" x14ac:dyDescent="0.3">
      <c r="R226"/>
      <c r="S226"/>
      <c r="T226"/>
      <c r="U226"/>
      <c r="V226"/>
    </row>
    <row r="227" spans="18:22" x14ac:dyDescent="0.3">
      <c r="R227"/>
      <c r="S227"/>
      <c r="T227"/>
      <c r="U227"/>
      <c r="V227"/>
    </row>
    <row r="228" spans="18:22" x14ac:dyDescent="0.3">
      <c r="R228"/>
      <c r="S228"/>
      <c r="T228"/>
      <c r="U228"/>
      <c r="V228"/>
    </row>
    <row r="229" spans="18:22" x14ac:dyDescent="0.3">
      <c r="R229"/>
      <c r="S229"/>
      <c r="T229"/>
      <c r="U229"/>
      <c r="V229"/>
    </row>
    <row r="230" spans="18:22" x14ac:dyDescent="0.3">
      <c r="R230"/>
      <c r="S230"/>
      <c r="T230"/>
      <c r="U230"/>
      <c r="V230"/>
    </row>
    <row r="231" spans="18:22" x14ac:dyDescent="0.3">
      <c r="R231"/>
      <c r="S231"/>
      <c r="T231"/>
      <c r="U231"/>
      <c r="V231"/>
    </row>
    <row r="232" spans="18:22" x14ac:dyDescent="0.3">
      <c r="R232"/>
      <c r="S232"/>
      <c r="T232"/>
      <c r="U232"/>
      <c r="V232"/>
    </row>
    <row r="233" spans="18:22" x14ac:dyDescent="0.3">
      <c r="R233"/>
      <c r="S233"/>
      <c r="T233"/>
      <c r="U233"/>
      <c r="V233"/>
    </row>
    <row r="234" spans="18:22" x14ac:dyDescent="0.3">
      <c r="R234"/>
      <c r="S234"/>
      <c r="T234"/>
      <c r="U234"/>
      <c r="V234"/>
    </row>
    <row r="235" spans="18:22" x14ac:dyDescent="0.3">
      <c r="R235"/>
      <c r="S235"/>
      <c r="T235"/>
      <c r="U235"/>
      <c r="V235"/>
    </row>
    <row r="236" spans="18:22" x14ac:dyDescent="0.3">
      <c r="R236"/>
      <c r="S236"/>
      <c r="T236"/>
      <c r="U236"/>
      <c r="V236"/>
    </row>
    <row r="237" spans="18:22" x14ac:dyDescent="0.3">
      <c r="R237"/>
      <c r="S237"/>
      <c r="T237"/>
      <c r="U237"/>
      <c r="V237"/>
    </row>
    <row r="238" spans="18:22" x14ac:dyDescent="0.3">
      <c r="R238"/>
      <c r="S238"/>
      <c r="T238"/>
      <c r="U238"/>
      <c r="V238"/>
    </row>
    <row r="239" spans="18:22" x14ac:dyDescent="0.3">
      <c r="R239"/>
      <c r="S239"/>
      <c r="T239"/>
      <c r="U239"/>
      <c r="V239"/>
    </row>
    <row r="240" spans="18:22" x14ac:dyDescent="0.3">
      <c r="R240"/>
      <c r="S240"/>
      <c r="T240"/>
      <c r="U240"/>
      <c r="V240"/>
    </row>
    <row r="241" spans="18:22" x14ac:dyDescent="0.3">
      <c r="R241"/>
      <c r="S241"/>
      <c r="T241"/>
      <c r="U241"/>
      <c r="V241"/>
    </row>
    <row r="242" spans="18:22" x14ac:dyDescent="0.3">
      <c r="R242"/>
      <c r="S242"/>
      <c r="T242"/>
      <c r="U242"/>
      <c r="V242"/>
    </row>
    <row r="243" spans="18:22" x14ac:dyDescent="0.3">
      <c r="R243"/>
      <c r="S243"/>
      <c r="T243"/>
      <c r="U243"/>
      <c r="V243"/>
    </row>
    <row r="244" spans="18:22" x14ac:dyDescent="0.3">
      <c r="R244"/>
      <c r="S244"/>
      <c r="T244"/>
      <c r="U244"/>
      <c r="V244"/>
    </row>
    <row r="245" spans="18:22" x14ac:dyDescent="0.3">
      <c r="R245"/>
      <c r="S245"/>
      <c r="T245"/>
      <c r="U245"/>
      <c r="V245"/>
    </row>
    <row r="246" spans="18:22" x14ac:dyDescent="0.3">
      <c r="R246"/>
      <c r="S246"/>
      <c r="T246"/>
      <c r="U246"/>
      <c r="V246"/>
    </row>
    <row r="247" spans="18:22" x14ac:dyDescent="0.3">
      <c r="R247"/>
      <c r="S247"/>
      <c r="T247"/>
      <c r="U247"/>
      <c r="V247"/>
    </row>
    <row r="248" spans="18:22" x14ac:dyDescent="0.3">
      <c r="R248"/>
      <c r="S248"/>
      <c r="T248"/>
      <c r="U248"/>
      <c r="V248"/>
    </row>
    <row r="249" spans="18:22" x14ac:dyDescent="0.3">
      <c r="R249"/>
      <c r="S249"/>
      <c r="T249"/>
      <c r="U249"/>
      <c r="V249"/>
    </row>
    <row r="250" spans="18:22" x14ac:dyDescent="0.3">
      <c r="R250"/>
      <c r="S250"/>
      <c r="T250"/>
      <c r="U250"/>
      <c r="V250"/>
    </row>
    <row r="251" spans="18:22" x14ac:dyDescent="0.3">
      <c r="R251"/>
      <c r="S251"/>
      <c r="T251"/>
      <c r="U251"/>
      <c r="V251"/>
    </row>
    <row r="252" spans="18:22" x14ac:dyDescent="0.3">
      <c r="R252"/>
      <c r="S252"/>
      <c r="T252"/>
      <c r="U252"/>
      <c r="V252"/>
    </row>
    <row r="253" spans="18:22" x14ac:dyDescent="0.3">
      <c r="R253"/>
      <c r="S253"/>
      <c r="T253"/>
      <c r="U253"/>
      <c r="V253"/>
    </row>
    <row r="254" spans="18:22" x14ac:dyDescent="0.3">
      <c r="R254"/>
      <c r="S254"/>
      <c r="T254"/>
      <c r="U254"/>
      <c r="V254"/>
    </row>
    <row r="255" spans="18:22" x14ac:dyDescent="0.3">
      <c r="R255"/>
      <c r="S255"/>
      <c r="T255"/>
      <c r="U255"/>
      <c r="V255"/>
    </row>
    <row r="256" spans="18:22" x14ac:dyDescent="0.3">
      <c r="R256"/>
      <c r="S256"/>
      <c r="T256"/>
      <c r="U256"/>
      <c r="V256"/>
    </row>
    <row r="257" spans="18:22" x14ac:dyDescent="0.3">
      <c r="R257"/>
      <c r="S257"/>
      <c r="T257"/>
      <c r="U257"/>
      <c r="V257"/>
    </row>
    <row r="258" spans="18:22" x14ac:dyDescent="0.3">
      <c r="R258"/>
      <c r="S258"/>
      <c r="T258"/>
      <c r="U258"/>
      <c r="V258"/>
    </row>
    <row r="259" spans="18:22" x14ac:dyDescent="0.3">
      <c r="R259"/>
      <c r="S259"/>
      <c r="T259"/>
      <c r="U259"/>
      <c r="V259"/>
    </row>
    <row r="260" spans="18:22" x14ac:dyDescent="0.3">
      <c r="R260"/>
      <c r="S260"/>
      <c r="T260"/>
      <c r="U260"/>
      <c r="V260"/>
    </row>
    <row r="261" spans="18:22" x14ac:dyDescent="0.3">
      <c r="R261"/>
      <c r="S261"/>
      <c r="T261"/>
      <c r="U261"/>
      <c r="V261"/>
    </row>
    <row r="262" spans="18:22" x14ac:dyDescent="0.3">
      <c r="R262"/>
      <c r="S262"/>
      <c r="T262"/>
      <c r="U262"/>
      <c r="V262"/>
    </row>
    <row r="263" spans="18:22" x14ac:dyDescent="0.3">
      <c r="R263"/>
      <c r="S263"/>
      <c r="T263"/>
      <c r="U263"/>
      <c r="V263"/>
    </row>
    <row r="264" spans="18:22" x14ac:dyDescent="0.3">
      <c r="R264"/>
      <c r="S264"/>
      <c r="T264"/>
      <c r="U264"/>
      <c r="V264"/>
    </row>
    <row r="265" spans="18:22" x14ac:dyDescent="0.3">
      <c r="R265"/>
      <c r="S265"/>
      <c r="T265"/>
      <c r="U265"/>
      <c r="V265"/>
    </row>
    <row r="266" spans="18:22" x14ac:dyDescent="0.3">
      <c r="R266"/>
      <c r="S266"/>
      <c r="T266"/>
      <c r="U266"/>
      <c r="V266"/>
    </row>
    <row r="267" spans="18:22" x14ac:dyDescent="0.3">
      <c r="R267"/>
      <c r="S267"/>
      <c r="T267"/>
      <c r="U267"/>
      <c r="V267"/>
    </row>
    <row r="268" spans="18:22" x14ac:dyDescent="0.3">
      <c r="R268"/>
      <c r="S268"/>
      <c r="T268"/>
      <c r="U268"/>
      <c r="V268"/>
    </row>
    <row r="269" spans="18:22" x14ac:dyDescent="0.3">
      <c r="R269"/>
      <c r="S269"/>
      <c r="T269"/>
      <c r="U269"/>
      <c r="V269"/>
    </row>
    <row r="270" spans="18:22" x14ac:dyDescent="0.3">
      <c r="R270"/>
      <c r="S270"/>
      <c r="T270"/>
      <c r="U270"/>
      <c r="V270"/>
    </row>
    <row r="271" spans="18:22" x14ac:dyDescent="0.3">
      <c r="R271"/>
      <c r="S271"/>
      <c r="T271"/>
      <c r="U271"/>
      <c r="V271"/>
    </row>
    <row r="272" spans="18:22" x14ac:dyDescent="0.3">
      <c r="R272"/>
      <c r="S272"/>
      <c r="T272"/>
      <c r="U272"/>
      <c r="V272"/>
    </row>
    <row r="273" spans="18:22" x14ac:dyDescent="0.3">
      <c r="R273"/>
      <c r="S273"/>
      <c r="T273"/>
      <c r="U273"/>
      <c r="V273"/>
    </row>
    <row r="274" spans="18:22" x14ac:dyDescent="0.3">
      <c r="R274"/>
      <c r="S274"/>
      <c r="T274"/>
      <c r="U274"/>
      <c r="V274"/>
    </row>
    <row r="275" spans="18:22" x14ac:dyDescent="0.3">
      <c r="R275"/>
      <c r="S275"/>
      <c r="T275"/>
      <c r="U275"/>
      <c r="V275"/>
    </row>
    <row r="276" spans="18:22" x14ac:dyDescent="0.3">
      <c r="R276"/>
      <c r="S276"/>
      <c r="T276"/>
      <c r="U276"/>
      <c r="V276"/>
    </row>
    <row r="277" spans="18:22" x14ac:dyDescent="0.3">
      <c r="R277"/>
      <c r="S277"/>
      <c r="T277"/>
      <c r="U277"/>
      <c r="V277"/>
    </row>
    <row r="278" spans="18:22" x14ac:dyDescent="0.3">
      <c r="R278"/>
      <c r="S278"/>
      <c r="T278"/>
      <c r="U278"/>
      <c r="V278"/>
    </row>
    <row r="279" spans="18:22" x14ac:dyDescent="0.3">
      <c r="R279"/>
      <c r="S279"/>
      <c r="T279"/>
      <c r="U279"/>
      <c r="V279"/>
    </row>
    <row r="280" spans="18:22" x14ac:dyDescent="0.3">
      <c r="R280"/>
      <c r="S280"/>
      <c r="T280"/>
      <c r="U280"/>
      <c r="V280"/>
    </row>
    <row r="281" spans="18:22" x14ac:dyDescent="0.3">
      <c r="R281"/>
      <c r="S281"/>
      <c r="T281"/>
      <c r="U281"/>
      <c r="V281"/>
    </row>
    <row r="282" spans="18:22" x14ac:dyDescent="0.3">
      <c r="R282"/>
      <c r="S282"/>
      <c r="T282"/>
      <c r="U282"/>
      <c r="V282"/>
    </row>
    <row r="283" spans="18:22" x14ac:dyDescent="0.3">
      <c r="R283"/>
      <c r="S283"/>
      <c r="T283"/>
      <c r="U283"/>
      <c r="V283"/>
    </row>
    <row r="284" spans="18:22" x14ac:dyDescent="0.3">
      <c r="R284"/>
      <c r="S284"/>
      <c r="T284"/>
      <c r="U284"/>
      <c r="V284"/>
    </row>
    <row r="285" spans="18:22" x14ac:dyDescent="0.3">
      <c r="R285"/>
      <c r="S285"/>
      <c r="T285"/>
      <c r="U285"/>
      <c r="V285"/>
    </row>
    <row r="286" spans="18:22" x14ac:dyDescent="0.3">
      <c r="R286"/>
      <c r="S286"/>
      <c r="T286"/>
      <c r="U286"/>
      <c r="V286"/>
    </row>
    <row r="287" spans="18:22" x14ac:dyDescent="0.3">
      <c r="R287"/>
      <c r="S287"/>
      <c r="T287"/>
      <c r="U287"/>
      <c r="V287"/>
    </row>
    <row r="288" spans="18:22" x14ac:dyDescent="0.3">
      <c r="R288"/>
      <c r="S288"/>
      <c r="T288"/>
      <c r="U288"/>
      <c r="V288"/>
    </row>
    <row r="289" spans="18:22" x14ac:dyDescent="0.3">
      <c r="R289"/>
      <c r="S289"/>
      <c r="T289"/>
      <c r="U289"/>
      <c r="V289"/>
    </row>
    <row r="290" spans="18:22" x14ac:dyDescent="0.3">
      <c r="R290"/>
      <c r="S290"/>
      <c r="T290"/>
      <c r="U290"/>
      <c r="V290"/>
    </row>
    <row r="291" spans="18:22" x14ac:dyDescent="0.3">
      <c r="R291"/>
      <c r="S291"/>
      <c r="T291"/>
      <c r="U291"/>
      <c r="V291"/>
    </row>
    <row r="292" spans="18:22" x14ac:dyDescent="0.3">
      <c r="R292"/>
      <c r="S292"/>
      <c r="T292"/>
      <c r="U292"/>
      <c r="V292"/>
    </row>
    <row r="293" spans="18:22" x14ac:dyDescent="0.3">
      <c r="R293"/>
      <c r="S293"/>
      <c r="T293"/>
      <c r="U293"/>
      <c r="V293"/>
    </row>
    <row r="294" spans="18:22" x14ac:dyDescent="0.3">
      <c r="R294"/>
      <c r="S294"/>
      <c r="T294"/>
      <c r="U294"/>
      <c r="V294"/>
    </row>
    <row r="295" spans="18:22" x14ac:dyDescent="0.3">
      <c r="R295"/>
      <c r="S295"/>
      <c r="T295"/>
      <c r="U295"/>
      <c r="V295"/>
    </row>
    <row r="296" spans="18:22" x14ac:dyDescent="0.3">
      <c r="R296"/>
      <c r="S296"/>
      <c r="T296"/>
      <c r="U296"/>
      <c r="V296"/>
    </row>
    <row r="297" spans="18:22" x14ac:dyDescent="0.3">
      <c r="R297"/>
      <c r="S297"/>
      <c r="T297"/>
      <c r="U297"/>
      <c r="V297"/>
    </row>
    <row r="298" spans="18:22" x14ac:dyDescent="0.3">
      <c r="R298"/>
      <c r="S298"/>
      <c r="T298"/>
      <c r="U298"/>
      <c r="V298"/>
    </row>
    <row r="299" spans="18:22" x14ac:dyDescent="0.3">
      <c r="R299"/>
      <c r="S299"/>
      <c r="T299"/>
      <c r="U299"/>
      <c r="V299"/>
    </row>
    <row r="300" spans="18:22" x14ac:dyDescent="0.3">
      <c r="R300"/>
      <c r="S300"/>
      <c r="T300"/>
      <c r="U300"/>
      <c r="V300"/>
    </row>
    <row r="301" spans="18:22" x14ac:dyDescent="0.3">
      <c r="R301"/>
      <c r="S301"/>
      <c r="T301"/>
      <c r="U301"/>
      <c r="V301"/>
    </row>
    <row r="302" spans="18:22" x14ac:dyDescent="0.3">
      <c r="R302"/>
      <c r="S302"/>
      <c r="T302"/>
      <c r="U302"/>
      <c r="V302"/>
    </row>
    <row r="303" spans="18:22" x14ac:dyDescent="0.3">
      <c r="R303"/>
      <c r="S303"/>
      <c r="T303"/>
      <c r="U303"/>
      <c r="V303"/>
    </row>
    <row r="304" spans="18:22" x14ac:dyDescent="0.3">
      <c r="R304"/>
      <c r="S304"/>
      <c r="T304"/>
      <c r="U304"/>
      <c r="V304"/>
    </row>
    <row r="305" spans="18:22" x14ac:dyDescent="0.3">
      <c r="R305"/>
      <c r="S305"/>
      <c r="T305"/>
      <c r="U305"/>
      <c r="V305"/>
    </row>
    <row r="306" spans="18:22" x14ac:dyDescent="0.3">
      <c r="R306"/>
      <c r="S306"/>
      <c r="T306"/>
      <c r="U306"/>
      <c r="V306"/>
    </row>
    <row r="307" spans="18:22" x14ac:dyDescent="0.3">
      <c r="R307"/>
      <c r="S307"/>
      <c r="T307"/>
      <c r="U307"/>
      <c r="V307"/>
    </row>
    <row r="308" spans="18:22" x14ac:dyDescent="0.3">
      <c r="R308"/>
      <c r="S308"/>
      <c r="T308"/>
      <c r="U308"/>
      <c r="V308"/>
    </row>
    <row r="309" spans="18:22" x14ac:dyDescent="0.3">
      <c r="R309"/>
      <c r="S309"/>
      <c r="T309"/>
      <c r="U309"/>
      <c r="V309"/>
    </row>
    <row r="310" spans="18:22" x14ac:dyDescent="0.3">
      <c r="R310"/>
      <c r="S310"/>
      <c r="T310"/>
      <c r="U310"/>
      <c r="V310"/>
    </row>
    <row r="311" spans="18:22" x14ac:dyDescent="0.3">
      <c r="R311"/>
      <c r="S311"/>
      <c r="T311"/>
      <c r="U311"/>
      <c r="V311"/>
    </row>
    <row r="312" spans="18:22" x14ac:dyDescent="0.3">
      <c r="R312"/>
      <c r="S312"/>
      <c r="T312"/>
      <c r="U312"/>
      <c r="V312"/>
    </row>
    <row r="313" spans="18:22" x14ac:dyDescent="0.3">
      <c r="R313"/>
      <c r="S313"/>
      <c r="T313"/>
      <c r="U313"/>
      <c r="V313"/>
    </row>
    <row r="314" spans="18:22" x14ac:dyDescent="0.3">
      <c r="R314"/>
      <c r="S314"/>
      <c r="T314"/>
      <c r="U314"/>
      <c r="V314"/>
    </row>
    <row r="315" spans="18:22" x14ac:dyDescent="0.3">
      <c r="R315"/>
      <c r="S315"/>
      <c r="T315"/>
      <c r="U315"/>
      <c r="V315"/>
    </row>
    <row r="316" spans="18:22" x14ac:dyDescent="0.3">
      <c r="R316"/>
      <c r="S316"/>
      <c r="T316"/>
      <c r="U316"/>
      <c r="V316"/>
    </row>
    <row r="317" spans="18:22" x14ac:dyDescent="0.3">
      <c r="R317"/>
      <c r="S317"/>
      <c r="T317"/>
      <c r="U317"/>
      <c r="V317"/>
    </row>
    <row r="318" spans="18:22" x14ac:dyDescent="0.3">
      <c r="R318"/>
      <c r="S318"/>
      <c r="T318"/>
      <c r="U318"/>
      <c r="V318"/>
    </row>
    <row r="319" spans="18:22" x14ac:dyDescent="0.3">
      <c r="R319"/>
      <c r="S319"/>
      <c r="T319"/>
      <c r="U319"/>
      <c r="V319"/>
    </row>
    <row r="320" spans="18:22" x14ac:dyDescent="0.3">
      <c r="R320"/>
      <c r="S320"/>
      <c r="T320"/>
      <c r="U320"/>
      <c r="V320"/>
    </row>
    <row r="321" spans="18:22" x14ac:dyDescent="0.3">
      <c r="R321"/>
      <c r="S321"/>
      <c r="T321"/>
      <c r="U321"/>
      <c r="V321"/>
    </row>
    <row r="322" spans="18:22" x14ac:dyDescent="0.3">
      <c r="R322"/>
      <c r="S322"/>
      <c r="T322"/>
      <c r="U322"/>
      <c r="V322"/>
    </row>
    <row r="323" spans="18:22" x14ac:dyDescent="0.3">
      <c r="R323"/>
      <c r="S323"/>
      <c r="T323"/>
      <c r="U323"/>
      <c r="V323"/>
    </row>
    <row r="324" spans="18:22" x14ac:dyDescent="0.3">
      <c r="R324"/>
      <c r="S324"/>
      <c r="T324"/>
      <c r="U324"/>
      <c r="V324"/>
    </row>
    <row r="325" spans="18:22" x14ac:dyDescent="0.3">
      <c r="R325"/>
      <c r="S325"/>
      <c r="T325"/>
      <c r="U325"/>
      <c r="V325"/>
    </row>
    <row r="326" spans="18:22" x14ac:dyDescent="0.3">
      <c r="R326"/>
      <c r="S326"/>
      <c r="T326"/>
      <c r="U326"/>
      <c r="V326"/>
    </row>
    <row r="327" spans="18:22" x14ac:dyDescent="0.3">
      <c r="R327"/>
      <c r="S327"/>
      <c r="T327"/>
      <c r="U327"/>
      <c r="V327"/>
    </row>
    <row r="328" spans="18:22" x14ac:dyDescent="0.3">
      <c r="R328"/>
      <c r="S328"/>
      <c r="T328"/>
      <c r="U328"/>
      <c r="V328"/>
    </row>
    <row r="329" spans="18:22" x14ac:dyDescent="0.3">
      <c r="R329"/>
      <c r="S329"/>
      <c r="T329"/>
      <c r="U329"/>
      <c r="V329"/>
    </row>
    <row r="330" spans="18:22" x14ac:dyDescent="0.3">
      <c r="R330"/>
      <c r="S330"/>
      <c r="T330"/>
      <c r="U330"/>
      <c r="V330"/>
    </row>
    <row r="331" spans="18:22" x14ac:dyDescent="0.3">
      <c r="R331"/>
      <c r="S331"/>
      <c r="T331"/>
      <c r="U331"/>
      <c r="V331"/>
    </row>
    <row r="332" spans="18:22" x14ac:dyDescent="0.3">
      <c r="R332"/>
      <c r="S332"/>
      <c r="T332"/>
      <c r="U332"/>
      <c r="V332"/>
    </row>
    <row r="333" spans="18:22" x14ac:dyDescent="0.3">
      <c r="R333"/>
      <c r="S333"/>
      <c r="T333"/>
      <c r="U333"/>
      <c r="V333"/>
    </row>
    <row r="334" spans="18:22" x14ac:dyDescent="0.3">
      <c r="R334"/>
      <c r="S334"/>
      <c r="T334"/>
      <c r="U334"/>
      <c r="V334"/>
    </row>
    <row r="335" spans="18:22" x14ac:dyDescent="0.3">
      <c r="R335"/>
      <c r="S335"/>
      <c r="T335"/>
      <c r="U335"/>
      <c r="V335"/>
    </row>
    <row r="336" spans="18:22" x14ac:dyDescent="0.3">
      <c r="R336"/>
      <c r="S336"/>
      <c r="T336"/>
      <c r="U336"/>
      <c r="V336"/>
    </row>
    <row r="337" spans="18:22" x14ac:dyDescent="0.3">
      <c r="R337"/>
      <c r="S337"/>
      <c r="T337"/>
      <c r="U337"/>
      <c r="V337"/>
    </row>
    <row r="338" spans="18:22" x14ac:dyDescent="0.3">
      <c r="R338"/>
      <c r="S338"/>
      <c r="T338"/>
      <c r="U338"/>
      <c r="V338"/>
    </row>
    <row r="339" spans="18:22" x14ac:dyDescent="0.3">
      <c r="R339"/>
      <c r="S339"/>
      <c r="T339"/>
      <c r="U339"/>
      <c r="V339"/>
    </row>
    <row r="340" spans="18:22" x14ac:dyDescent="0.3">
      <c r="R340"/>
      <c r="S340"/>
      <c r="T340"/>
      <c r="U340"/>
      <c r="V340"/>
    </row>
    <row r="341" spans="18:22" x14ac:dyDescent="0.3">
      <c r="R341"/>
      <c r="S341"/>
      <c r="T341"/>
      <c r="U341"/>
      <c r="V341"/>
    </row>
    <row r="342" spans="18:22" x14ac:dyDescent="0.3">
      <c r="R342"/>
      <c r="S342"/>
      <c r="T342"/>
      <c r="U342"/>
      <c r="V342"/>
    </row>
    <row r="343" spans="18:22" x14ac:dyDescent="0.3">
      <c r="R343"/>
      <c r="S343"/>
      <c r="T343"/>
      <c r="U343"/>
      <c r="V343"/>
    </row>
    <row r="344" spans="18:22" x14ac:dyDescent="0.3">
      <c r="R344"/>
      <c r="S344"/>
      <c r="T344"/>
      <c r="U344"/>
      <c r="V344"/>
    </row>
    <row r="345" spans="18:22" x14ac:dyDescent="0.3">
      <c r="R345"/>
      <c r="S345"/>
      <c r="T345"/>
      <c r="U345"/>
      <c r="V345"/>
    </row>
    <row r="346" spans="18:22" x14ac:dyDescent="0.3">
      <c r="R346"/>
      <c r="S346"/>
      <c r="T346"/>
      <c r="U346"/>
      <c r="V346"/>
    </row>
    <row r="347" spans="18:22" x14ac:dyDescent="0.3">
      <c r="R347"/>
      <c r="S347"/>
      <c r="T347"/>
      <c r="U347"/>
      <c r="V347"/>
    </row>
    <row r="348" spans="18:22" x14ac:dyDescent="0.3">
      <c r="R348"/>
      <c r="S348"/>
      <c r="T348"/>
      <c r="U348"/>
      <c r="V348"/>
    </row>
    <row r="349" spans="18:22" x14ac:dyDescent="0.3">
      <c r="R349"/>
      <c r="S349"/>
      <c r="T349"/>
      <c r="U349"/>
      <c r="V349"/>
    </row>
    <row r="350" spans="18:22" x14ac:dyDescent="0.3">
      <c r="R350"/>
      <c r="S350"/>
      <c r="T350"/>
      <c r="U350"/>
      <c r="V350"/>
    </row>
    <row r="351" spans="18:22" x14ac:dyDescent="0.3">
      <c r="R351"/>
      <c r="S351"/>
      <c r="T351"/>
      <c r="U351"/>
      <c r="V351"/>
    </row>
    <row r="352" spans="18:22" x14ac:dyDescent="0.3">
      <c r="R352"/>
      <c r="S352"/>
      <c r="T352"/>
      <c r="U352"/>
      <c r="V352"/>
    </row>
    <row r="353" spans="18:22" x14ac:dyDescent="0.3">
      <c r="R353"/>
      <c r="S353"/>
      <c r="T353"/>
      <c r="U353"/>
      <c r="V353"/>
    </row>
    <row r="354" spans="18:22" x14ac:dyDescent="0.3">
      <c r="R354"/>
      <c r="S354"/>
      <c r="T354"/>
      <c r="U354"/>
      <c r="V354"/>
    </row>
    <row r="355" spans="18:22" x14ac:dyDescent="0.3">
      <c r="R355"/>
      <c r="S355"/>
      <c r="T355"/>
      <c r="U355"/>
      <c r="V355"/>
    </row>
    <row r="356" spans="18:22" x14ac:dyDescent="0.3">
      <c r="R356"/>
      <c r="S356"/>
      <c r="T356"/>
      <c r="U356"/>
      <c r="V356"/>
    </row>
    <row r="357" spans="18:22" x14ac:dyDescent="0.3">
      <c r="R357"/>
      <c r="S357"/>
      <c r="T357"/>
      <c r="U357"/>
      <c r="V357"/>
    </row>
    <row r="358" spans="18:22" x14ac:dyDescent="0.3">
      <c r="R358"/>
      <c r="S358"/>
      <c r="T358"/>
      <c r="U358"/>
      <c r="V358"/>
    </row>
    <row r="359" spans="18:22" x14ac:dyDescent="0.3">
      <c r="R359"/>
      <c r="S359"/>
      <c r="T359"/>
      <c r="U359"/>
      <c r="V359"/>
    </row>
    <row r="360" spans="18:22" x14ac:dyDescent="0.3">
      <c r="R360"/>
      <c r="S360"/>
      <c r="T360"/>
      <c r="U360"/>
      <c r="V360"/>
    </row>
    <row r="361" spans="18:22" x14ac:dyDescent="0.3">
      <c r="R361"/>
      <c r="S361"/>
      <c r="T361"/>
      <c r="U361"/>
      <c r="V361"/>
    </row>
    <row r="362" spans="18:22" x14ac:dyDescent="0.3">
      <c r="R362"/>
      <c r="S362"/>
      <c r="T362"/>
      <c r="U362"/>
      <c r="V362"/>
    </row>
    <row r="363" spans="18:22" x14ac:dyDescent="0.3">
      <c r="R363"/>
      <c r="S363"/>
      <c r="T363"/>
      <c r="U363"/>
      <c r="V363"/>
    </row>
    <row r="364" spans="18:22" x14ac:dyDescent="0.3">
      <c r="R364"/>
      <c r="S364"/>
      <c r="T364"/>
      <c r="U364"/>
      <c r="V364"/>
    </row>
    <row r="365" spans="18:22" x14ac:dyDescent="0.3">
      <c r="R365"/>
      <c r="S365"/>
      <c r="T365"/>
      <c r="U365"/>
      <c r="V365"/>
    </row>
    <row r="366" spans="18:22" x14ac:dyDescent="0.3">
      <c r="R366"/>
      <c r="S366"/>
      <c r="T366"/>
      <c r="U366"/>
      <c r="V366"/>
    </row>
    <row r="367" spans="18:22" x14ac:dyDescent="0.3">
      <c r="R367"/>
      <c r="S367"/>
      <c r="T367"/>
      <c r="U367"/>
      <c r="V367"/>
    </row>
    <row r="368" spans="18:22" x14ac:dyDescent="0.3">
      <c r="R368"/>
      <c r="S368"/>
      <c r="T368"/>
      <c r="U368"/>
      <c r="V368"/>
    </row>
    <row r="369" spans="18:22" x14ac:dyDescent="0.3">
      <c r="R369"/>
      <c r="S369"/>
      <c r="T369"/>
      <c r="U369"/>
      <c r="V369"/>
    </row>
    <row r="370" spans="18:22" x14ac:dyDescent="0.3">
      <c r="R370"/>
      <c r="S370"/>
      <c r="T370"/>
      <c r="U370"/>
      <c r="V370"/>
    </row>
    <row r="371" spans="18:22" x14ac:dyDescent="0.3">
      <c r="R371"/>
      <c r="S371"/>
      <c r="T371"/>
      <c r="U371"/>
      <c r="V371"/>
    </row>
    <row r="372" spans="18:22" x14ac:dyDescent="0.3">
      <c r="R372"/>
      <c r="S372"/>
      <c r="T372"/>
      <c r="U372"/>
      <c r="V372"/>
    </row>
    <row r="373" spans="18:22" x14ac:dyDescent="0.3">
      <c r="R373"/>
      <c r="S373"/>
      <c r="T373"/>
      <c r="U373"/>
      <c r="V373"/>
    </row>
    <row r="374" spans="18:22" x14ac:dyDescent="0.3">
      <c r="R374"/>
      <c r="S374"/>
      <c r="T374"/>
      <c r="U374"/>
      <c r="V374"/>
    </row>
    <row r="375" spans="18:22" x14ac:dyDescent="0.3">
      <c r="R375"/>
      <c r="S375"/>
      <c r="T375"/>
      <c r="U375"/>
      <c r="V375"/>
    </row>
    <row r="376" spans="18:22" x14ac:dyDescent="0.3">
      <c r="R376"/>
      <c r="S376"/>
      <c r="T376"/>
      <c r="U376"/>
      <c r="V376"/>
    </row>
    <row r="377" spans="18:22" x14ac:dyDescent="0.3">
      <c r="R377"/>
      <c r="S377"/>
      <c r="T377"/>
      <c r="U377"/>
      <c r="V377"/>
    </row>
    <row r="378" spans="18:22" x14ac:dyDescent="0.3">
      <c r="R378"/>
      <c r="S378"/>
      <c r="T378"/>
      <c r="U378"/>
      <c r="V378"/>
    </row>
    <row r="379" spans="18:22" x14ac:dyDescent="0.3">
      <c r="R379"/>
      <c r="S379"/>
      <c r="T379"/>
      <c r="U379"/>
      <c r="V379"/>
    </row>
    <row r="380" spans="18:22" x14ac:dyDescent="0.3">
      <c r="R380"/>
      <c r="S380"/>
      <c r="T380"/>
      <c r="U380"/>
      <c r="V380"/>
    </row>
    <row r="381" spans="18:22" x14ac:dyDescent="0.3">
      <c r="R381"/>
      <c r="S381"/>
      <c r="T381"/>
      <c r="U381"/>
      <c r="V381"/>
    </row>
    <row r="382" spans="18:22" x14ac:dyDescent="0.3">
      <c r="R382"/>
      <c r="S382"/>
      <c r="T382"/>
      <c r="U382"/>
      <c r="V382"/>
    </row>
    <row r="383" spans="18:22" x14ac:dyDescent="0.3">
      <c r="R383"/>
      <c r="S383"/>
      <c r="T383"/>
      <c r="U383"/>
      <c r="V383"/>
    </row>
    <row r="384" spans="18:22" x14ac:dyDescent="0.3">
      <c r="R384"/>
      <c r="S384"/>
      <c r="T384"/>
      <c r="U384"/>
      <c r="V384"/>
    </row>
    <row r="385" spans="18:22" x14ac:dyDescent="0.3">
      <c r="R385"/>
      <c r="S385"/>
      <c r="T385"/>
      <c r="U385"/>
      <c r="V385"/>
    </row>
    <row r="386" spans="18:22" x14ac:dyDescent="0.3">
      <c r="R386"/>
      <c r="S386"/>
      <c r="T386"/>
      <c r="U386"/>
      <c r="V386"/>
    </row>
    <row r="387" spans="18:22" x14ac:dyDescent="0.3">
      <c r="R387"/>
      <c r="S387"/>
      <c r="T387"/>
      <c r="U387"/>
      <c r="V387"/>
    </row>
    <row r="388" spans="18:22" x14ac:dyDescent="0.3">
      <c r="R388"/>
      <c r="S388"/>
      <c r="T388"/>
      <c r="U388"/>
      <c r="V388"/>
    </row>
    <row r="389" spans="18:22" x14ac:dyDescent="0.3">
      <c r="R389"/>
      <c r="S389"/>
      <c r="T389"/>
      <c r="U389"/>
      <c r="V389"/>
    </row>
    <row r="390" spans="18:22" x14ac:dyDescent="0.3">
      <c r="R390"/>
      <c r="S390"/>
      <c r="T390"/>
      <c r="U390"/>
      <c r="V390"/>
    </row>
    <row r="391" spans="18:22" x14ac:dyDescent="0.3">
      <c r="R391"/>
      <c r="S391"/>
      <c r="T391"/>
      <c r="U391"/>
      <c r="V391"/>
    </row>
    <row r="392" spans="18:22" x14ac:dyDescent="0.3">
      <c r="R392"/>
      <c r="S392"/>
      <c r="T392"/>
      <c r="U392"/>
      <c r="V392"/>
    </row>
    <row r="393" spans="18:22" x14ac:dyDescent="0.3">
      <c r="R393"/>
      <c r="S393"/>
      <c r="T393"/>
      <c r="U393"/>
      <c r="V393"/>
    </row>
    <row r="394" spans="18:22" x14ac:dyDescent="0.3">
      <c r="R394"/>
      <c r="S394"/>
      <c r="T394"/>
      <c r="U394"/>
      <c r="V394"/>
    </row>
    <row r="395" spans="18:22" x14ac:dyDescent="0.3">
      <c r="R395"/>
      <c r="S395"/>
      <c r="T395"/>
      <c r="U395"/>
      <c r="V395"/>
    </row>
  </sheetData>
  <mergeCells count="4">
    <mergeCell ref="B2:V3"/>
    <mergeCell ref="B4:V4"/>
    <mergeCell ref="Q42:V42"/>
    <mergeCell ref="Q56:V56"/>
  </mergeCells>
  <pageMargins left="0.75" right="0.75" top="1" bottom="1" header="0.5" footer="0.5"/>
  <pageSetup orientation="landscape"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vt:i4>
      </vt:variant>
    </vt:vector>
  </HeadingPairs>
  <TitlesOfParts>
    <vt:vector size="10" baseType="lpstr">
      <vt:lpstr>Raw_Data</vt:lpstr>
      <vt:lpstr>Obj1_Volume_and_Value</vt:lpstr>
      <vt:lpstr>Obj2_High_Value_Customers</vt:lpstr>
      <vt:lpstr>Obj3_Product_Popularity</vt:lpstr>
      <vt:lpstr>Obj4_Geographic_Distribution</vt:lpstr>
      <vt:lpstr>Obj5_Growth_Trajectory</vt:lpstr>
      <vt:lpstr>Obj6_Business_Drivers_Summary</vt:lpstr>
      <vt:lpstr>Pivot_Engine</vt:lpstr>
      <vt:lpstr>Executive_Dashboard</vt:lpstr>
      <vt:lpstr>Executive_Dashboard!Print_Area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HP</cp:lastModifiedBy>
  <dcterms:created xsi:type="dcterms:W3CDTF">2026-09-28T16:08:15Z</dcterms:created>
  <dcterms:modified xsi:type="dcterms:W3CDTF">2026-09-28T16:08:31Z</dcterms:modified>
</cp:coreProperties>
</file>